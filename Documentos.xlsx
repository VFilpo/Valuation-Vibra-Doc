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python\valuation\data\"/>
    </mc:Choice>
  </mc:AlternateContent>
  <xr:revisionPtr revIDLastSave="0" documentId="13_ncr:1_{C24DB06A-29C9-42B4-A8D0-4017AE025585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02. DRE" sheetId="6" r:id="rId1"/>
    <sheet name="04. DFC" sheetId="7" r:id="rId2"/>
    <sheet name="08. Investimentos (CAPEX)" sheetId="9" r:id="rId3"/>
    <sheet name="11. Endividamento" sheetId="8" r:id="rId4"/>
    <sheet name="Bovespa Historical Data 2007-20" sheetId="5" r:id="rId5"/>
    <sheet name="Vibra Energia Stock Price Histo" sheetId="4" r:id="rId6"/>
    <sheet name="selic 20 anos" sheetId="3" r:id="rId7"/>
  </sheets>
  <externalReferences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11" i="9" l="1"/>
  <c r="AM11" i="9"/>
  <c r="AL11" i="9"/>
  <c r="AN10" i="9"/>
  <c r="AM10" i="9"/>
  <c r="AL10" i="9"/>
  <c r="AK22" i="8"/>
  <c r="AJ22" i="8"/>
  <c r="T20" i="8"/>
  <c r="T23" i="8" s="1"/>
  <c r="AK19" i="8"/>
  <c r="AJ19" i="8"/>
  <c r="AK18" i="8"/>
  <c r="AJ18" i="8"/>
  <c r="AK17" i="8"/>
  <c r="AJ17" i="8"/>
  <c r="AI17" i="8"/>
  <c r="AH17" i="8"/>
  <c r="AG17" i="8"/>
  <c r="AF17" i="8"/>
  <c r="T15" i="8"/>
  <c r="I15" i="8"/>
  <c r="I20" i="8" s="1"/>
  <c r="I23" i="8" s="1"/>
  <c r="AE12" i="8"/>
  <c r="AE15" i="8" s="1"/>
  <c r="AE20" i="8" s="1"/>
  <c r="AE23" i="8" s="1"/>
  <c r="AD12" i="8"/>
  <c r="AD15" i="8" s="1"/>
  <c r="AD20" i="8" s="1"/>
  <c r="AD23" i="8" s="1"/>
  <c r="AC12" i="8"/>
  <c r="AC15" i="8" s="1"/>
  <c r="AC20" i="8" s="1"/>
  <c r="AC23" i="8" s="1"/>
  <c r="AB12" i="8"/>
  <c r="AB15" i="8" s="1"/>
  <c r="AB20" i="8" s="1"/>
  <c r="AB23" i="8" s="1"/>
  <c r="AA12" i="8"/>
  <c r="AA15" i="8" s="1"/>
  <c r="AA20" i="8" s="1"/>
  <c r="AA23" i="8" s="1"/>
  <c r="Z12" i="8"/>
  <c r="Z15" i="8" s="1"/>
  <c r="Z20" i="8" s="1"/>
  <c r="Z23" i="8" s="1"/>
  <c r="Y12" i="8"/>
  <c r="Y15" i="8" s="1"/>
  <c r="Y20" i="8" s="1"/>
  <c r="Y23" i="8" s="1"/>
  <c r="X12" i="8"/>
  <c r="X15" i="8" s="1"/>
  <c r="X20" i="8" s="1"/>
  <c r="X23" i="8" s="1"/>
  <c r="W12" i="8"/>
  <c r="W15" i="8" s="1"/>
  <c r="W20" i="8" s="1"/>
  <c r="W23" i="8" s="1"/>
  <c r="V12" i="8"/>
  <c r="V15" i="8" s="1"/>
  <c r="V20" i="8" s="1"/>
  <c r="V23" i="8" s="1"/>
  <c r="U12" i="8"/>
  <c r="U15" i="8" s="1"/>
  <c r="U20" i="8" s="1"/>
  <c r="U23" i="8" s="1"/>
  <c r="S12" i="8"/>
  <c r="S15" i="8" s="1"/>
  <c r="S20" i="8" s="1"/>
  <c r="S23" i="8" s="1"/>
  <c r="R12" i="8"/>
  <c r="R15" i="8" s="1"/>
  <c r="R20" i="8" s="1"/>
  <c r="R23" i="8" s="1"/>
  <c r="Q12" i="8"/>
  <c r="Q15" i="8" s="1"/>
  <c r="Q20" i="8" s="1"/>
  <c r="Q23" i="8" s="1"/>
  <c r="P12" i="8"/>
  <c r="P15" i="8" s="1"/>
  <c r="P20" i="8" s="1"/>
  <c r="P23" i="8" s="1"/>
  <c r="O12" i="8"/>
  <c r="O15" i="8" s="1"/>
  <c r="O20" i="8" s="1"/>
  <c r="O23" i="8" s="1"/>
  <c r="N12" i="8"/>
  <c r="N15" i="8" s="1"/>
  <c r="N20" i="8" s="1"/>
  <c r="N23" i="8" s="1"/>
  <c r="M12" i="8"/>
  <c r="M15" i="8" s="1"/>
  <c r="M20" i="8" s="1"/>
  <c r="M23" i="8" s="1"/>
  <c r="L12" i="8"/>
  <c r="L15" i="8" s="1"/>
  <c r="L20" i="8" s="1"/>
  <c r="L23" i="8" s="1"/>
  <c r="K12" i="8"/>
  <c r="K15" i="8" s="1"/>
  <c r="K20" i="8" s="1"/>
  <c r="K23" i="8" s="1"/>
  <c r="J12" i="8"/>
  <c r="J15" i="8" s="1"/>
  <c r="J20" i="8" s="1"/>
  <c r="J23" i="8" s="1"/>
  <c r="I12" i="8"/>
  <c r="H12" i="8"/>
  <c r="H15" i="8" s="1"/>
  <c r="H20" i="8" s="1"/>
  <c r="H23" i="8" s="1"/>
  <c r="G12" i="8"/>
  <c r="G15" i="8" s="1"/>
  <c r="G20" i="8" s="1"/>
  <c r="G23" i="8" s="1"/>
  <c r="F12" i="8"/>
  <c r="F15" i="8" s="1"/>
  <c r="F20" i="8" s="1"/>
  <c r="F23" i="8" s="1"/>
  <c r="E12" i="8"/>
  <c r="E15" i="8" s="1"/>
  <c r="E20" i="8" s="1"/>
  <c r="E23" i="8" s="1"/>
  <c r="D12" i="8"/>
  <c r="D15" i="8" s="1"/>
  <c r="D20" i="8" s="1"/>
  <c r="D23" i="8" s="1"/>
  <c r="C12" i="8"/>
  <c r="C15" i="8" s="1"/>
  <c r="C20" i="8" s="1"/>
  <c r="C23" i="8" s="1"/>
  <c r="AK11" i="8"/>
  <c r="AJ11" i="8"/>
  <c r="AG11" i="8"/>
  <c r="AF11" i="8"/>
  <c r="AK10" i="8"/>
  <c r="AJ10" i="8"/>
  <c r="AK9" i="8"/>
  <c r="AK12" i="8" s="1"/>
  <c r="AK15" i="8" s="1"/>
  <c r="AK20" i="8" s="1"/>
  <c r="AK23" i="8" s="1"/>
  <c r="AJ9" i="8"/>
  <c r="AJ12" i="8" s="1"/>
  <c r="AJ15" i="8" s="1"/>
  <c r="AJ20" i="8" s="1"/>
  <c r="AJ23" i="8" s="1"/>
  <c r="AI9" i="8"/>
  <c r="AI12" i="8" s="1"/>
  <c r="AI15" i="8" s="1"/>
  <c r="AI20" i="8" s="1"/>
  <c r="AI23" i="8" s="1"/>
  <c r="AH9" i="8"/>
  <c r="AH12" i="8" s="1"/>
  <c r="AH15" i="8" s="1"/>
  <c r="AH20" i="8" s="1"/>
  <c r="AH23" i="8" s="1"/>
  <c r="AG9" i="8"/>
  <c r="AG12" i="8" s="1"/>
  <c r="AG15" i="8" s="1"/>
  <c r="AG20" i="8" s="1"/>
  <c r="AG23" i="8" s="1"/>
  <c r="AF9" i="8"/>
  <c r="AF12" i="8" s="1"/>
  <c r="AF15" i="8" s="1"/>
  <c r="AF20" i="8" s="1"/>
  <c r="AF23" i="8" s="1"/>
  <c r="AI110" i="7"/>
  <c r="AH110" i="7"/>
  <c r="W108" i="7"/>
  <c r="V108" i="7"/>
  <c r="S108" i="7"/>
  <c r="R108" i="7"/>
  <c r="Q108" i="7"/>
  <c r="P108" i="7"/>
  <c r="O108" i="7"/>
  <c r="N108" i="7"/>
  <c r="M108" i="7"/>
  <c r="L108" i="7"/>
  <c r="J108" i="7"/>
  <c r="I108" i="7"/>
  <c r="H108" i="7"/>
  <c r="AG106" i="7"/>
  <c r="AF106" i="7"/>
  <c r="AE106" i="7"/>
  <c r="AD106" i="7"/>
  <c r="AB106" i="7"/>
  <c r="AA106" i="7"/>
  <c r="Z106" i="7"/>
  <c r="AL102" i="7"/>
  <c r="AK102" i="7"/>
  <c r="AJ102" i="7"/>
  <c r="AI102" i="7"/>
  <c r="AH102" i="7"/>
  <c r="AG102" i="7"/>
  <c r="AF102" i="7"/>
  <c r="AE102" i="7"/>
  <c r="AD102" i="7"/>
  <c r="AC102" i="7"/>
  <c r="AB102" i="7"/>
  <c r="AA102" i="7"/>
  <c r="Z102" i="7"/>
  <c r="Y102" i="7"/>
  <c r="Y106" i="7" s="1"/>
  <c r="X102" i="7"/>
  <c r="X106" i="7" s="1"/>
  <c r="W102" i="7"/>
  <c r="W106" i="7" s="1"/>
  <c r="V102" i="7"/>
  <c r="V106" i="7" s="1"/>
  <c r="U102" i="7"/>
  <c r="T102" i="7"/>
  <c r="T106" i="7" s="1"/>
  <c r="S102" i="7"/>
  <c r="S106" i="7" s="1"/>
  <c r="R102" i="7"/>
  <c r="R106" i="7" s="1"/>
  <c r="Q102" i="7"/>
  <c r="Q106" i="7" s="1"/>
  <c r="P102" i="7"/>
  <c r="P106" i="7" s="1"/>
  <c r="O102" i="7"/>
  <c r="O106" i="7" s="1"/>
  <c r="N102" i="7"/>
  <c r="N106" i="7" s="1"/>
  <c r="M102" i="7"/>
  <c r="M106" i="7" s="1"/>
  <c r="L102" i="7"/>
  <c r="L106" i="7" s="1"/>
  <c r="K102" i="7"/>
  <c r="K106" i="7" s="1"/>
  <c r="J102" i="7"/>
  <c r="J106" i="7" s="1"/>
  <c r="I102" i="7"/>
  <c r="I106" i="7" s="1"/>
  <c r="H102" i="7"/>
  <c r="H106" i="7" s="1"/>
  <c r="G102" i="7"/>
  <c r="G106" i="7" s="1"/>
  <c r="F102" i="7"/>
  <c r="F106" i="7" s="1"/>
  <c r="E102" i="7"/>
  <c r="E106" i="7" s="1"/>
  <c r="D102" i="7"/>
  <c r="D106" i="7" s="1"/>
  <c r="C102" i="7"/>
  <c r="C106" i="7" s="1"/>
  <c r="AN98" i="7"/>
  <c r="AN102" i="7" s="1"/>
  <c r="AN106" i="7" s="1"/>
  <c r="AN110" i="7" s="1"/>
  <c r="AM98" i="7"/>
  <c r="AM102" i="7" s="1"/>
  <c r="AM106" i="7" s="1"/>
  <c r="AM110" i="7" s="1"/>
  <c r="AN83" i="7"/>
  <c r="AM83" i="7"/>
  <c r="AL83" i="7"/>
  <c r="AK83" i="7"/>
  <c r="AJ83" i="7"/>
  <c r="AI83" i="7"/>
  <c r="AH83" i="7"/>
  <c r="AG83" i="7"/>
  <c r="AF83" i="7"/>
  <c r="AE83" i="7"/>
  <c r="AD83" i="7"/>
  <c r="AC83" i="7"/>
  <c r="AB83" i="7"/>
  <c r="AA83" i="7"/>
  <c r="Z83" i="7"/>
  <c r="Y83" i="7"/>
  <c r="X83" i="7"/>
  <c r="W83" i="7"/>
  <c r="U83" i="7"/>
  <c r="T83" i="7"/>
  <c r="S83" i="7"/>
  <c r="R83" i="7"/>
  <c r="Q83" i="7"/>
  <c r="P83" i="7"/>
  <c r="O83" i="7"/>
  <c r="N83" i="7"/>
  <c r="M83" i="7"/>
  <c r="L83" i="7"/>
  <c r="K83" i="7"/>
  <c r="J83" i="7"/>
  <c r="I83" i="7"/>
  <c r="H83" i="7"/>
  <c r="G83" i="7"/>
  <c r="F83" i="7"/>
  <c r="E83" i="7"/>
  <c r="D83" i="7"/>
  <c r="C83" i="7"/>
  <c r="AN67" i="7"/>
  <c r="AM67" i="7"/>
  <c r="AH67" i="7"/>
  <c r="AG67" i="7"/>
  <c r="AF67" i="7"/>
  <c r="AE67" i="7"/>
  <c r="AD67" i="7"/>
  <c r="AC67" i="7"/>
  <c r="AC106" i="7" s="1"/>
  <c r="AB67" i="7"/>
  <c r="AA67" i="7"/>
  <c r="Z67" i="7"/>
  <c r="Y67" i="7"/>
  <c r="X67" i="7"/>
  <c r="W67" i="7"/>
  <c r="V67" i="7"/>
  <c r="T67" i="7"/>
  <c r="S67" i="7"/>
  <c r="R67" i="7"/>
  <c r="Q67" i="7"/>
  <c r="P67" i="7"/>
  <c r="O67" i="7"/>
  <c r="N67" i="7"/>
  <c r="M67" i="7"/>
  <c r="L67" i="7"/>
  <c r="K67" i="7"/>
  <c r="J67" i="7"/>
  <c r="I67" i="7"/>
  <c r="H67" i="7"/>
  <c r="G67" i="7"/>
  <c r="F67" i="7"/>
  <c r="E67" i="7"/>
  <c r="D67" i="7"/>
  <c r="C67" i="7"/>
  <c r="U34" i="7"/>
  <c r="U67" i="7" s="1"/>
  <c r="AL10" i="7"/>
  <c r="AL67" i="7" s="1"/>
  <c r="AL106" i="7" s="1"/>
  <c r="AL110" i="7" s="1"/>
  <c r="AN41" i="6"/>
  <c r="AM41" i="6"/>
  <c r="AL41" i="6"/>
  <c r="AN33" i="6"/>
  <c r="AM33" i="6"/>
  <c r="AL33" i="6"/>
  <c r="AL31" i="6"/>
  <c r="AK31" i="6"/>
  <c r="AJ31" i="6"/>
  <c r="AI31" i="6"/>
  <c r="AH31" i="6"/>
  <c r="AG31" i="6"/>
  <c r="AF31" i="6"/>
  <c r="AE31" i="6"/>
  <c r="AD31" i="6"/>
  <c r="AC31" i="6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H31" i="6"/>
  <c r="G31" i="6"/>
  <c r="F31" i="6"/>
  <c r="E31" i="6"/>
  <c r="D31" i="6"/>
  <c r="C31" i="6"/>
  <c r="P27" i="6"/>
  <c r="P32" i="6" s="1"/>
  <c r="P41" i="6" s="1"/>
  <c r="AL25" i="6"/>
  <c r="AK25" i="6"/>
  <c r="AJ25" i="6"/>
  <c r="AI25" i="6"/>
  <c r="AH25" i="6"/>
  <c r="AG25" i="6"/>
  <c r="AF25" i="6"/>
  <c r="AE25" i="6"/>
  <c r="AD25" i="6"/>
  <c r="AC25" i="6"/>
  <c r="AB25" i="6"/>
  <c r="AA25" i="6"/>
  <c r="Z25" i="6"/>
  <c r="Y25" i="6"/>
  <c r="X25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C25" i="6"/>
  <c r="AL20" i="6"/>
  <c r="AK20" i="6"/>
  <c r="AK27" i="6" s="1"/>
  <c r="AK32" i="6" s="1"/>
  <c r="AJ20" i="6"/>
  <c r="AJ27" i="6" s="1"/>
  <c r="AJ32" i="6" s="1"/>
  <c r="AI20" i="6"/>
  <c r="AI27" i="6" s="1"/>
  <c r="AI32" i="6" s="1"/>
  <c r="AH20" i="6"/>
  <c r="AH27" i="6" s="1"/>
  <c r="AH32" i="6" s="1"/>
  <c r="AH41" i="6" s="1"/>
  <c r="AG20" i="6"/>
  <c r="AG27" i="6" s="1"/>
  <c r="AG32" i="6" s="1"/>
  <c r="AG41" i="6" s="1"/>
  <c r="AF20" i="6"/>
  <c r="AF27" i="6" s="1"/>
  <c r="AF32" i="6" s="1"/>
  <c r="AF41" i="6" s="1"/>
  <c r="AE20" i="6"/>
  <c r="AE27" i="6" s="1"/>
  <c r="AE32" i="6" s="1"/>
  <c r="AE41" i="6" s="1"/>
  <c r="AD20" i="6"/>
  <c r="AD27" i="6" s="1"/>
  <c r="AD32" i="6" s="1"/>
  <c r="AD41" i="6" s="1"/>
  <c r="AC20" i="6"/>
  <c r="AC27" i="6" s="1"/>
  <c r="AC32" i="6" s="1"/>
  <c r="AC41" i="6" s="1"/>
  <c r="AB20" i="6"/>
  <c r="AB27" i="6" s="1"/>
  <c r="AB32" i="6" s="1"/>
  <c r="AB41" i="6" s="1"/>
  <c r="AA20" i="6"/>
  <c r="AA27" i="6" s="1"/>
  <c r="AA32" i="6" s="1"/>
  <c r="AA41" i="6" s="1"/>
  <c r="Z20" i="6"/>
  <c r="Z27" i="6" s="1"/>
  <c r="Z32" i="6" s="1"/>
  <c r="Z41" i="6" s="1"/>
  <c r="Y20" i="6"/>
  <c r="Y27" i="6" s="1"/>
  <c r="Y32" i="6" s="1"/>
  <c r="Y41" i="6" s="1"/>
  <c r="X20" i="6"/>
  <c r="X27" i="6" s="1"/>
  <c r="X32" i="6" s="1"/>
  <c r="X41" i="6" s="1"/>
  <c r="W20" i="6"/>
  <c r="W27" i="6" s="1"/>
  <c r="W32" i="6" s="1"/>
  <c r="W41" i="6" s="1"/>
  <c r="V20" i="6"/>
  <c r="V27" i="6" s="1"/>
  <c r="V32" i="6" s="1"/>
  <c r="V41" i="6" s="1"/>
  <c r="U20" i="6"/>
  <c r="U27" i="6" s="1"/>
  <c r="U32" i="6" s="1"/>
  <c r="U41" i="6" s="1"/>
  <c r="T20" i="6"/>
  <c r="T27" i="6" s="1"/>
  <c r="T32" i="6" s="1"/>
  <c r="T41" i="6" s="1"/>
  <c r="S20" i="6"/>
  <c r="S27" i="6" s="1"/>
  <c r="S32" i="6" s="1"/>
  <c r="S41" i="6" s="1"/>
  <c r="R20" i="6"/>
  <c r="R27" i="6" s="1"/>
  <c r="R32" i="6" s="1"/>
  <c r="R41" i="6" s="1"/>
  <c r="Q20" i="6"/>
  <c r="Q27" i="6" s="1"/>
  <c r="Q32" i="6" s="1"/>
  <c r="Q41" i="6" s="1"/>
  <c r="P20" i="6"/>
  <c r="O20" i="6"/>
  <c r="O27" i="6" s="1"/>
  <c r="O32" i="6" s="1"/>
  <c r="O41" i="6" s="1"/>
  <c r="N20" i="6"/>
  <c r="N27" i="6" s="1"/>
  <c r="N32" i="6" s="1"/>
  <c r="N41" i="6" s="1"/>
  <c r="M20" i="6"/>
  <c r="M27" i="6" s="1"/>
  <c r="M32" i="6" s="1"/>
  <c r="M41" i="6" s="1"/>
  <c r="L20" i="6"/>
  <c r="L27" i="6" s="1"/>
  <c r="L32" i="6" s="1"/>
  <c r="L41" i="6" s="1"/>
  <c r="K20" i="6"/>
  <c r="K27" i="6" s="1"/>
  <c r="K32" i="6" s="1"/>
  <c r="K41" i="6" s="1"/>
  <c r="J20" i="6"/>
  <c r="J27" i="6" s="1"/>
  <c r="J32" i="6" s="1"/>
  <c r="J41" i="6" s="1"/>
  <c r="I20" i="6"/>
  <c r="I27" i="6" s="1"/>
  <c r="I32" i="6" s="1"/>
  <c r="I41" i="6" s="1"/>
  <c r="H20" i="6"/>
  <c r="H27" i="6" s="1"/>
  <c r="H32" i="6" s="1"/>
  <c r="H41" i="6" s="1"/>
  <c r="G20" i="6"/>
  <c r="G27" i="6" s="1"/>
  <c r="G32" i="6" s="1"/>
  <c r="G41" i="6" s="1"/>
  <c r="F20" i="6"/>
  <c r="F27" i="6" s="1"/>
  <c r="F32" i="6" s="1"/>
  <c r="F41" i="6" s="1"/>
  <c r="E20" i="6"/>
  <c r="E27" i="6" s="1"/>
  <c r="E32" i="6" s="1"/>
  <c r="E41" i="6" s="1"/>
  <c r="D20" i="6"/>
  <c r="D27" i="6" s="1"/>
  <c r="D32" i="6" s="1"/>
  <c r="D41" i="6" s="1"/>
  <c r="C20" i="6"/>
  <c r="C27" i="6" s="1"/>
  <c r="C32" i="6" s="1"/>
  <c r="C41" i="6" s="1"/>
  <c r="AL19" i="6"/>
  <c r="AK19" i="6"/>
  <c r="AJ19" i="6"/>
  <c r="AI19" i="6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C19" i="6"/>
  <c r="AK12" i="6"/>
  <c r="AJ12" i="6"/>
  <c r="AI12" i="6"/>
  <c r="AH12" i="6"/>
  <c r="AG12" i="6"/>
  <c r="AF12" i="6"/>
  <c r="AE12" i="6"/>
  <c r="AD12" i="6"/>
  <c r="AC12" i="6"/>
  <c r="AB12" i="6"/>
  <c r="AA12" i="6"/>
  <c r="Z12" i="6"/>
  <c r="Y12" i="6"/>
  <c r="X12" i="6"/>
  <c r="W12" i="6"/>
  <c r="V12" i="6"/>
  <c r="U12" i="6"/>
  <c r="T12" i="6"/>
  <c r="S12" i="6"/>
  <c r="R12" i="6"/>
  <c r="Q12" i="6"/>
  <c r="P12" i="6"/>
  <c r="O12" i="6"/>
  <c r="N12" i="6"/>
  <c r="M12" i="6"/>
  <c r="L12" i="6"/>
  <c r="K12" i="6"/>
  <c r="J12" i="6"/>
  <c r="I12" i="6"/>
  <c r="H12" i="6"/>
  <c r="G12" i="6"/>
  <c r="F12" i="6"/>
  <c r="E12" i="6"/>
  <c r="D12" i="6"/>
  <c r="C12" i="6"/>
  <c r="AK33" i="6" l="1"/>
  <c r="AK10" i="7"/>
  <c r="AK67" i="7" s="1"/>
  <c r="AK106" i="7" s="1"/>
  <c r="AK110" i="7" s="1"/>
  <c r="AK41" i="6"/>
  <c r="AJ41" i="6"/>
  <c r="AJ10" i="7"/>
  <c r="AJ67" i="7" s="1"/>
  <c r="AJ106" i="7" s="1"/>
  <c r="AJ110" i="7" s="1"/>
  <c r="AI41" i="6"/>
  <c r="AI10" i="7"/>
  <c r="AI67" i="7" s="1"/>
  <c r="W110" i="7"/>
  <c r="X108" i="7" s="1"/>
  <c r="X110" i="7" s="1"/>
  <c r="Y108" i="7" s="1"/>
  <c r="Y110" i="7" s="1"/>
  <c r="Z108" i="7" s="1"/>
  <c r="Z110" i="7" s="1"/>
  <c r="AA108" i="7" s="1"/>
  <c r="AA110" i="7" s="1"/>
  <c r="AB108" i="7" s="1"/>
  <c r="AB110" i="7" s="1"/>
  <c r="AC108" i="7" s="1"/>
  <c r="AC110" i="7" s="1"/>
  <c r="AD108" i="7" s="1"/>
  <c r="AD110" i="7" s="1"/>
  <c r="AE108" i="7" s="1"/>
  <c r="AE110" i="7" s="1"/>
  <c r="AF108" i="7" s="1"/>
  <c r="AF110" i="7" s="1"/>
  <c r="AG108" i="7" s="1"/>
  <c r="AG110" i="7" s="1"/>
  <c r="S110" i="7"/>
  <c r="T108" i="7" s="1"/>
  <c r="T110" i="7" s="1"/>
  <c r="U108" i="7" s="1"/>
  <c r="U106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tc={14438BE6-2258-4742-88A1-C9350EDCFEDA}</author>
  </authors>
  <commentList>
    <comment ref="AB25" authorId="0" shapeId="0" xr:uid="{14438BE6-2258-4742-88A1-C9350EDCFED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Kd Custo Contratual</t>
      </text>
    </comment>
  </commentList>
</comments>
</file>

<file path=xl/sharedStrings.xml><?xml version="1.0" encoding="utf-8"?>
<sst xmlns="http://schemas.openxmlformats.org/spreadsheetml/2006/main" count="7354" uniqueCount="7238">
  <si>
    <t>1178 - Taxa de juros - Selic anualizada base 252 - % a.a.</t>
  </si>
  <si>
    <t>BCB-Demab</t>
  </si>
  <si>
    <t>Data</t>
  </si>
  <si>
    <t>Fonte</t>
  </si>
  <si>
    <t>Date,"Price","Open","High","Low","Vol.","Change %"</t>
  </si>
  <si>
    <t>09/04/2026,"36.99","36.79","37.16","36.58","7.43M","0.33%"</t>
  </si>
  <si>
    <t>09/03/2026,"36.87","36.75","37.15","36.14","20.45M","1.43%"</t>
  </si>
  <si>
    <t>09/02/2026,"36.35","35.22","36.57","35.07","15.90M","4.36%"</t>
  </si>
  <si>
    <t>09/01/2026,"34.83","34.65","35.57","34.09","10.93M","1.19%"</t>
  </si>
  <si>
    <t>08/31/2026,"34.42","34.00","34.47","33.92","15.19M","3.12%"</t>
  </si>
  <si>
    <t>08/28/2026,"33.38","33.60","33.60","33.05","5.80M","0.09%"</t>
  </si>
  <si>
    <t>08/27/2026,"33.35","33.52","33.72","33.22","9.46M","-0.77%"</t>
  </si>
  <si>
    <t>08/26/2026,"33.61","33.22","33.68","33.05","11.43M","-1.41%"</t>
  </si>
  <si>
    <t>08/25/2026,"34.09","33.84","34.09","33.13","7.77M","0.68%"</t>
  </si>
  <si>
    <t>08/24/2026,"33.86","34.21","34.36","33.61","5.47M","-2.17%"</t>
  </si>
  <si>
    <t>08/21/2026,"34.61","34.73","35.03","34.41","8.89M","0.41%"</t>
  </si>
  <si>
    <t>08/20/2026,"34.47","35.42","35.50","34.02","8.33M","-2.65%"</t>
  </si>
  <si>
    <t>08/19/2026,"35.41","34.26","36.13","34.26","13.42M","3.54%"</t>
  </si>
  <si>
    <t>08/18/2026,"34.20","33.70","34.99","33.64","12.30M","1.63%"</t>
  </si>
  <si>
    <t>08/17/2026,"33.65","33.42","34.28","33.30","12.21M","0.15%"</t>
  </si>
  <si>
    <t>08/14/2026,"33.60","33.52","33.78","32.85","6.13M","-0.33%"</t>
  </si>
  <si>
    <t>08/13/2026,"33.71","33.27","33.72","33.06","10.11M","2.03%"</t>
  </si>
  <si>
    <t>08/12/2026,"33.04","33.30","33.58","32.73","11.86M","-0.57%"</t>
  </si>
  <si>
    <t>08/11/2026,"33.23","33.28","33.83","32.85","11.32M","-0.63%"</t>
  </si>
  <si>
    <t>08/10/2026,"33.44","34.14","34.17","33.30","7.00M","-2.31%"</t>
  </si>
  <si>
    <t>08/07/2026,"34.23","35.01","35.53","34.00","6.13M","-2.34%"</t>
  </si>
  <si>
    <t>08/06/2026,"35.05","34.73","35.27","34.68","7.85M","-0.11%"</t>
  </si>
  <si>
    <t>08/05/2026,"35.09","35.76","35.88","34.87","7.54M","-0.99%"</t>
  </si>
  <si>
    <t>08/04/2026,"35.44","36.59","36.63","35.14","7.22M","-1.91%"</t>
  </si>
  <si>
    <t>08/03/2026,"36.13","35.98","36.44","35.56","5.73M","0.22%"</t>
  </si>
  <si>
    <t>07/31/2026,"36.05","36.00","36.08","35.40","6.05M","1.18%"</t>
  </si>
  <si>
    <t>07/30/2026,"35.63","34.94","35.86","34.54","6.03M","2.98%"</t>
  </si>
  <si>
    <t>07/29/2026,"34.60","35.24","35.54","34.60","4.99M","-1.51%"</t>
  </si>
  <si>
    <t>07/28/2026,"35.13","35.32","35.48","34.85","7.88M","1.83%"</t>
  </si>
  <si>
    <t>07/27/2026,"34.50","35.04","35.15","34.22","8.19M","-1.71%"</t>
  </si>
  <si>
    <t>07/24/2026,"35.10","35.34","35.53","34.97","4.69M","-1.40%"</t>
  </si>
  <si>
    <t>07/23/2026,"35.60","34.99","35.63","34.79","9.46M","1.77%"</t>
  </si>
  <si>
    <t>07/22/2026,"34.98","34.18","35.00","33.99","9.16M","3.03%"</t>
  </si>
  <si>
    <t>07/21/2026,"33.95","34.07","34.09","32.99","10.38M","-0.47%"</t>
  </si>
  <si>
    <t>07/20/2026,"34.11","35.00","35.18","34.00","9.72M","-2.32%"</t>
  </si>
  <si>
    <t>07/17/2026,"34.92","34.26","35.08","34.08","12.39M","1.60%"</t>
  </si>
  <si>
    <t>07/16/2026,"34.37","33.85","34.75","33.51","11.57M","1.84%"</t>
  </si>
  <si>
    <t>07/15/2026,"33.75","33.24","33.75","33.15","9.06M","1.35%"</t>
  </si>
  <si>
    <t>07/14/2026,"33.30","32.92","33.30","31.98","10.73M","1.65%"</t>
  </si>
  <si>
    <t>07/13/2026,"32.76","33.05","33.55","32.62","10.71M","-0.73%"</t>
  </si>
  <si>
    <t>07/10/2026,"33.00","32.99","33.00","32.43","10.93M","2.80%"</t>
  </si>
  <si>
    <t>07/09/2026,"32.10","31.66","32.48","31.19","10.96M","1.42%"</t>
  </si>
  <si>
    <t>07/08/2026,"31.65","30.80","31.79","30.79","11.36M","2.56%"</t>
  </si>
  <si>
    <t>07/07/2026,"30.86","30.27","30.90","29.66","13.62M","2.46%"</t>
  </si>
  <si>
    <t>07/06/2026,"30.12","30.15","30.50","29.83","4.76M","-0.86%"</t>
  </si>
  <si>
    <t>07/03/2026,"30.38","29.92","30.49","29.69","6.53M","1.84%"</t>
  </si>
  <si>
    <t>07/02/2026,"29.83","29.76","30.10","29.41","3.13M","1.19%"</t>
  </si>
  <si>
    <t>07/01/2026,"29.48","29.33","29.68","29.23","3.93M","-1.37%"</t>
  </si>
  <si>
    <t>06/30/2026,"29.89","29.65","29.96","29.47","6.15M","-0.10%"</t>
  </si>
  <si>
    <t>06/29/2026,"29.92","29.56","30.13","29.56","2.26M","0.77%"</t>
  </si>
  <si>
    <t>06/26/2026,"29.69","29.15","29.82","28.98","4.49M","1.78%"</t>
  </si>
  <si>
    <t>06/25/2026,"29.17","29.15","29.59","29.02","2.41M","0.21%"</t>
  </si>
  <si>
    <t>06/24/2026,"29.11","29.16","29.53","29.01","8.88M","-0.95%"</t>
  </si>
  <si>
    <t>06/23/2026,"29.39","28.62","29.56","28.62","5.42M","1.58%"</t>
  </si>
  <si>
    <t>06/22/2026,"28.93","28.66","29.00","28.52","10.99M","2.08%"</t>
  </si>
  <si>
    <t>06/19/2026,"28.34","28.25","28.47","28.01","8.65M","0.73%"</t>
  </si>
  <si>
    <t>06/18/2026,"28.14","27.83","28.45","27.83","10.36M","0.95%"</t>
  </si>
  <si>
    <t>06/17/2026,"27.87","27.81","28.59","27.59","13.67M","1.43%"</t>
  </si>
  <si>
    <t>06/16/2026,"27.48","28.04","28.04","27.14","12.91M","-4.40%"</t>
  </si>
  <si>
    <t>06/15/2026,"28.74","29.06","29.63","28.66","9.92M","-1.41%"</t>
  </si>
  <si>
    <t>06/12/2026,"29.15","29.23","29.61","29.14","5.17M","-1.29%"</t>
  </si>
  <si>
    <t>06/11/2026,"29.53","29.24","29.91","28.90","13.78M","0.72%"</t>
  </si>
  <si>
    <t>06/10/2026,"29.32","29.05","29.47","29.00","7.64M","-0.27%"</t>
  </si>
  <si>
    <t>06/09/2026,"29.40","28.89","29.68","28.82","12.29M","2.40%"</t>
  </si>
  <si>
    <t>06/08/2026,"28.71","28.89","28.99","28.56","6.09M","-0.62%"</t>
  </si>
  <si>
    <t>06/05/2026,"28.89","29.33","29.74","28.75","12.49M","-2.00%"</t>
  </si>
  <si>
    <t>06/03/2026,"29.48","29.35","30.06","29.17","12.16M","-2.16%"</t>
  </si>
  <si>
    <t>06/02/2026,"30.13","29.85","30.43","29.76","8.94M","0.74%"</t>
  </si>
  <si>
    <t>06/01/2026,"29.91","29.88","30.13","29.42","7.51M","0.54%"</t>
  </si>
  <si>
    <t>05/29/2026,"29.75","30.90","30.95","29.70","13.52M","-3.75%"</t>
  </si>
  <si>
    <t>05/28/2026,"30.91","31.07","31.67","30.83","5.42M","-0.35%"</t>
  </si>
  <si>
    <t>05/27/2026,"31.02","32.20","32.28","30.82","6.39M","-2.67%"</t>
  </si>
  <si>
    <t>05/26/2026,"31.87","32.27","32.27","31.38","6.45M","-1.27%"</t>
  </si>
  <si>
    <t>05/25/2026,"32.28","33.01","33.15","32.08","4.18M","-1.44%"</t>
  </si>
  <si>
    <t>05/22/2026,"32.75","33.03","33.29","32.37","9.73M","-1.98%"</t>
  </si>
  <si>
    <t>05/21/2026,"33.41","33.14","33.65","32.97","4.33M","0.21%"</t>
  </si>
  <si>
    <t>05/20/2026,"33.34","32.86","33.63","32.75","7.71M","2.05%"</t>
  </si>
  <si>
    <t>05/19/2026,"32.67","32.74","33.09","32.36","8.02M","-1.77%"</t>
  </si>
  <si>
    <t>05/18/2026,"33.26","33.05","33.46","32.80","7.61M","0.42%"</t>
  </si>
  <si>
    <t>05/15/2026,"33.12","32.85","33.32","32.73","7.18M","-0.81%"</t>
  </si>
  <si>
    <t>05/14/2026,"33.39","33.39","33.86","33.00","9.52M","1.58%"</t>
  </si>
  <si>
    <t>05/13/2026,"32.87","33.90","33.95","32.58","10.21M","-2.46%"</t>
  </si>
  <si>
    <t>05/12/2026,"33.70","32.80","33.86","32.80","8.54M","1.57%"</t>
  </si>
  <si>
    <t>05/11/2026,"33.18","33.38","34.07","32.99","7.61M","-1.83%"</t>
  </si>
  <si>
    <t>05/08/2026,"33.80","32.90","33.86","32.47","10.10M","4.55%"</t>
  </si>
  <si>
    <t>05/07/2026,"32.33","32.87","33.18","32.07","11.27M","-1.52%"</t>
  </si>
  <si>
    <t>05/06/2026,"32.83","32.99","33.19","32.22","6.82M","0.06%"</t>
  </si>
  <si>
    <t>05/05/2026,"32.81","32.53","33.08","32.53","4.55M","-0.03%"</t>
  </si>
  <si>
    <t>05/04/2026,"32.82","31.81","33.33","31.76","6.43M","-1.44%"</t>
  </si>
  <si>
    <t>04/30/2026,"33.30","32.52","33.43","32.48","10.55M","2.71%"</t>
  </si>
  <si>
    <t>04/29/2026,"32.42","32.89","33.27","32.22","8.54M","-1.64%"</t>
  </si>
  <si>
    <t>04/28/2026,"32.96","32.90","33.08","32.58","3.74M","0.00%"</t>
  </si>
  <si>
    <t>04/27/2026,"32.96","33.30","33.35","32.96","3.10M","-1.02%"</t>
  </si>
  <si>
    <t>04/24/2026,"33.30","32.97","33.36","32.97","4.30M","0.15%"</t>
  </si>
  <si>
    <t>04/23/2026,"33.25","33.21","33.49","32.96","4.83M","0.12%"</t>
  </si>
  <si>
    <t>04/22/2026,"33.21","33.50","33.65","33.08","5.66M","-0.45%"</t>
  </si>
  <si>
    <t>04/20/2026,"33.36","33.37","33.73","33.11","4.32M","0.45%"</t>
  </si>
  <si>
    <t>04/17/2026,"33.21","33.90","33.98","32.85","12.60M","-1.13%"</t>
  </si>
  <si>
    <t>04/16/2026,"33.59","34.07","34.19","33.17","7.36M","-1.78%"</t>
  </si>
  <si>
    <t>04/15/2026,"34.20","33.10","34.20","33.09","13.01M","2.80%"</t>
  </si>
  <si>
    <t>04/14/2026,"33.27","33.74","33.78","32.90","13.94M","-1.13%"</t>
  </si>
  <si>
    <t>04/13/2026,"33.65","33.77","33.87","33.45","10.33M","-0.36%"</t>
  </si>
  <si>
    <t>04/10/2026,"33.77","33.20","33.86","32.93","11.50M","2.33%"</t>
  </si>
  <si>
    <t>04/09/2026,"33.00","32.00","33.00","31.95","14.56M","3.71%"</t>
  </si>
  <si>
    <t>04/08/2026,"31.82","32.74","32.91","30.60","14.31M","0.35%"</t>
  </si>
  <si>
    <t>04/07/2026,"31.71","30.99","31.76","30.91","12.10M","1.34%"</t>
  </si>
  <si>
    <t>04/06/2026,"31.29","31.58","31.86","31.21","5.25M","-0.64%"</t>
  </si>
  <si>
    <t>04/02/2026,"31.49","30.58","31.49","30.38","8.13M","0.74%"</t>
  </si>
  <si>
    <t>04/01/2026,"31.26","31.65","32.17","31.20","8.42M","-1.14%"</t>
  </si>
  <si>
    <t>03/31/2026,"31.62","32.00","32.34","31.23","10.57M","1.35%"</t>
  </si>
  <si>
    <t>03/30/2026,"31.20","31.32","31.87","31.05","4.98M","1.17%"</t>
  </si>
  <si>
    <t>03/27/2026,"30.84","30.82","31.27","30.63","6.41M","-0.87%"</t>
  </si>
  <si>
    <t>03/26/2026,"31.11","31.22","31.26","30.48","8.74M","-0.88%"</t>
  </si>
  <si>
    <t>03/25/2026,"31.39","30.94","31.56","30.66","10.15M","2.82%"</t>
  </si>
  <si>
    <t>03/24/2026,"30.53","30.34","30.82","29.61","10.63M","0.92%"</t>
  </si>
  <si>
    <t>03/23/2026,"30.25","29.30","30.71","29.30","12.57M","5.09%"</t>
  </si>
  <si>
    <t>03/20/2026,"28.78","29.59","29.63","28.43","14.96M","-4.47%"</t>
  </si>
  <si>
    <t>03/19/2026,"30.13","29.14","30.28","29.06","11.98M","1.11%"</t>
  </si>
  <si>
    <t>03/18/2026,"29.80","29.65","30.33","29.43","9.52M","-2.45%"</t>
  </si>
  <si>
    <t>03/17/2026,"30.55","29.93","30.93","29.67","8.67M","2.41%"</t>
  </si>
  <si>
    <t>03/16/2026,"29.83","29.98","30.36","29.64","6.77M","1.50%"</t>
  </si>
  <si>
    <t>03/13/2026,"29.39","29.45","30.08","29.04","8.68M","0.72%"</t>
  </si>
  <si>
    <t>03/12/2026,"29.18","31.45","31.45","29.10","15.49M","-7.48%"</t>
  </si>
  <si>
    <t>03/11/2026,"31.54","31.11","31.92","30.96","5.84M","-0.35%"</t>
  </si>
  <si>
    <t>03/10/2026,"31.65","31.38","32.00","30.77","9.20M","1.83%"</t>
  </si>
  <si>
    <t>03/09/2026,"31.08","30.55","31.57","30.39","10.69M","1.70%"</t>
  </si>
  <si>
    <t>03/06/2026,"30.56","29.70","30.75","29.41","8.99M","2.31%"</t>
  </si>
  <si>
    <t>03/05/2026,"29.87","30.02","30.66","29.69","7.84M","-1.42%"</t>
  </si>
  <si>
    <t>03/04/2026,"30.30","30.09","30.50","29.86","5.56M","2.05%"</t>
  </si>
  <si>
    <t>03/03/2026,"29.69","28.62","29.98","28.55","12.42M","-1.95%"</t>
  </si>
  <si>
    <t>03/02/2026,"30.28","29.34","30.59","28.96","8.91M","1.20%"</t>
  </si>
  <si>
    <t>02/27/2026,"29.92","30.60","30.60","29.47","15.82M","-2.86%"</t>
  </si>
  <si>
    <t>02/26/2026,"30.80","31.16","31.16","30.49","7.69M","0.20%"</t>
  </si>
  <si>
    <t>02/25/2026,"30.74","31.16","31.16","30.47","9.13M","-0.84%"</t>
  </si>
  <si>
    <t>02/24/2026,"31.00","30.41","31.64","30.30","12.31M","2.38%"</t>
  </si>
  <si>
    <t>02/23/2026,"30.28","31.26","31.52","30.19","10.28M","-4.87%"</t>
  </si>
  <si>
    <t>02/20/2026,"31.83","31.50","31.88","31.20","5.69M","0.82%"</t>
  </si>
  <si>
    <t>02/19/2026,"31.57","31.56","31.80","31.27","6.40M","0.22%"</t>
  </si>
  <si>
    <t>02/18/2026,"31.50","31.88","31.99","31.29","8.39M","-0.72%"</t>
  </si>
  <si>
    <t>02/13/2026,"31.73","31.09","31.88","31.09","4.43M","-0.28%"</t>
  </si>
  <si>
    <t>02/12/2026,"31.82","31.90","31.99","31.55","4.41M","-0.44%"</t>
  </si>
  <si>
    <t>02/11/2026,"31.96","31.59","32.23","31.34","7.26M","1.95%"</t>
  </si>
  <si>
    <t>02/10/2026,"31.35","31.65","31.86","31.13","7.42M","-1.20%"</t>
  </si>
  <si>
    <t>02/09/2026,"31.73","31.99","31.99","31.36","7.63M","-0.09%"</t>
  </si>
  <si>
    <t>02/06/2026,"31.76","30.99","31.91","30.73","12.34M","2.82%"</t>
  </si>
  <si>
    <t>02/05/2026,"30.89","30.30","30.98","30.12","19.64M","3.69%"</t>
  </si>
  <si>
    <t>02/04/2026,"29.79","30.15","30.42","29.17","7.07M","-1.19%"</t>
  </si>
  <si>
    <t>02/03/2026,"30.15","29.85","30.56","29.66","10.08M","1.79%"</t>
  </si>
  <si>
    <t>02/02/2026,"29.62","28.99","29.71","28.70","7.71M","2.99%"</t>
  </si>
  <si>
    <t>01/30/2026,"28.76","28.60","28.88","28.27","7.99M","0.31%"</t>
  </si>
  <si>
    <t>01/29/2026,"28.67","29.21","29.30","28.19","6.13M","-1.44%"</t>
  </si>
  <si>
    <t>01/28/2026,"29.09","28.89","29.21","28.59","8.69M","1.11%"</t>
  </si>
  <si>
    <t>01/27/2026,"28.77","28.90","29.06","28.70","8.28M","0.84%"</t>
  </si>
  <si>
    <t>01/26/2026,"28.53","28.49","28.64","27.98","5.09M","0.46%"</t>
  </si>
  <si>
    <t>01/23/2026,"28.40","27.98","28.74","27.72","12.00M","1.83%"</t>
  </si>
  <si>
    <t>01/22/2026,"27.89","27.16","28.26","27.14","14.30M","3.49%"</t>
  </si>
  <si>
    <t>01/21/2026,"26.95","26.01","27.05","25.99","14.24M","4.46%"</t>
  </si>
  <si>
    <t>01/20/2026,"25.80","25.53","25.89","25.23","6.89M","1.74%"</t>
  </si>
  <si>
    <t>01/19/2026,"25.36","25.52","25.63","25.32","2.78M","-1.05%"</t>
  </si>
  <si>
    <t>01/16/2026,"25.63","26.00","26.00","25.48","6.28M","-1.27%"</t>
  </si>
  <si>
    <t>01/15/2026,"25.96","26.07","26.19","25.65","9.69M","0.19%"</t>
  </si>
  <si>
    <t>01/14/2026,"25.91","25.60","26.07","25.56","9.83M","1.97%"</t>
  </si>
  <si>
    <t>01/13/2026,"25.41","25.30","25.52","25.05","7.55M","-0.43%"</t>
  </si>
  <si>
    <t>01/12/2026,"25.52","25.50","25.60","25.15","7.04M","-0.04%"</t>
  </si>
  <si>
    <t>01/09/2026,"25.53","25.67","25.73","25.35","8.94M","-0.27%"</t>
  </si>
  <si>
    <t>01/08/2026,"25.60","25.48","25.74","25.36","8.40M","0.47%"</t>
  </si>
  <si>
    <t>01/07/2026,"25.48","25.37","25.68","25.12","6.62M","-0.39%"</t>
  </si>
  <si>
    <t>01/06/2026,"25.58","25.82","25.88","25.35","5.05M","0.20%"</t>
  </si>
  <si>
    <t>01/05/2026,"25.53","25.61","25.82","25.37","4.94M","-0.89%"</t>
  </si>
  <si>
    <t>01/02/2026,"25.76","25.28","25.76","25.27","9.66M","1.70%"</t>
  </si>
  <si>
    <t>12/30/2025,"25.33","25.37","25.56","25.26","4.77M","0.56%"</t>
  </si>
  <si>
    <t>12/29/2025,"25.19","25.25","25.27","24.94","3.91M","-0.24%"</t>
  </si>
  <si>
    <t>12/26/2025,"25.25","25.05","25.26","25.01","5.50M","0.04%"</t>
  </si>
  <si>
    <t>12/23/2025,"25.24","24.88","25.30","24.88","5.86M","1.61%"</t>
  </si>
  <si>
    <t>12/22/2025,"24.84","25.02","25.05","24.35","10.01M","0.04%"</t>
  </si>
  <si>
    <t>12/19/2025,"24.83","24.60","25.40","24.60","17.46M","0.85%"</t>
  </si>
  <si>
    <t>12/18/2025,"24.62","24.42","24.96","24.42","11.46M","0.12%"</t>
  </si>
  <si>
    <t>12/17/2025,"24.59","24.69","24.90","24.15","17.07M","-2.27%"</t>
  </si>
  <si>
    <t>12/16/2025,"25.16","25.53","25.61","25.05","9.80M","-2.52%"</t>
  </si>
  <si>
    <t>12/15/2025,"25.81","25.70","26.05","25.56","9.39M","1.18%"</t>
  </si>
  <si>
    <t>12/12/2025,"25.51","25.06","25.74","25.06","31.88M","1.80%"</t>
  </si>
  <si>
    <t>12/11/2025,"25.06","24.73","25.15","24.57","6.10M","0.72%"</t>
  </si>
  <si>
    <t>12/10/2025,"24.88","24.59","25.08","24.53","8.13M","1.18%"</t>
  </si>
  <si>
    <t>12/09/2025,"24.59","24.80","24.89","24.25","5.20M","-1.64%"</t>
  </si>
  <si>
    <t>12/08/2025,"25.00","24.76","25.10","24.70","14.08M","1.54%"</t>
  </si>
  <si>
    <t>12/05/2025,"24.62","25.89","26.24","24.27","27.20M","-4.91%"</t>
  </si>
  <si>
    <t>12/04/2025,"25.89","25.79","26.23","25.66","8.42M","1.49%"</t>
  </si>
  <si>
    <t>12/03/2025,"25.51","25.58","25.85","25.39","7.02M","0.51%"</t>
  </si>
  <si>
    <t>12/02/2025,"25.38","25.03","25.55","24.99","12.28M","1.97%"</t>
  </si>
  <si>
    <t>12/01/2025,"24.89","24.86","25.14","24.61","8.77M","0.04%"</t>
  </si>
  <si>
    <t>11/28/2025,"24.88","24.59","24.99","24.50","8.65M","1.30%"</t>
  </si>
  <si>
    <t>11/27/2025,"24.56","24.12","24.87","24.12","8.50M","2.04%"</t>
  </si>
  <si>
    <t>11/26/2025,"24.07","24.21","24.66","24.04","11.88M","-0.56%"</t>
  </si>
  <si>
    <t>11/25/2025,"24.21","23.80","24.21","23.65","7.13M","1.87%"</t>
  </si>
  <si>
    <t>11/24/2025,"23.76","23.53","23.94","23.46","11.63M","1.16%"</t>
  </si>
  <si>
    <t>11/21/2025,"23.49","23.90","23.90","23.14","18.17M","0.08%"</t>
  </si>
  <si>
    <t>11/19/2025,"23.47","23.87","23.89","23.29","11.09M","-2.08%"</t>
  </si>
  <si>
    <t>11/18/2025,"23.97","23.24","24.19","23.23","13.94M","2.05%"</t>
  </si>
  <si>
    <t>11/17/2025,"23.49","23.33","23.72","23.24","7.70M","0.62%"</t>
  </si>
  <si>
    <t>11/14/2025,"23.34","22.98","23.38","22.86","6.08M","1.14%"</t>
  </si>
  <si>
    <t>11/13/2025,"23.08","23.35","23.38","22.73","7.96M","-0.59%"</t>
  </si>
  <si>
    <t>11/12/2025,"23.22","23.20","23.29","22.66","9.78M","0.04%"</t>
  </si>
  <si>
    <t>11/11/2025,"23.21","23.02","23.51","22.94","13.66M","1.27%"</t>
  </si>
  <si>
    <t>11/10/2025,"22.92","22.67","22.94","22.58","8.44M","1.85%"</t>
  </si>
  <si>
    <t>11/07/2025,"22.50","22.17","22.53","22.15","4.16M","0.45%"</t>
  </si>
  <si>
    <t>11/06/2025,"22.40","21.88","23.01","21.88","12.89M","1.56%"</t>
  </si>
  <si>
    <t>11/05/2025,"22.06","21.48","22.07","21.33","9.64M","3.09%"</t>
  </si>
  <si>
    <t>11/04/2025,"21.39","21.43","21.60","21.27","10.29M","-0.38%"</t>
  </si>
  <si>
    <t>11/03/2025,"21.48","21.68","21.77","21.29","8.28M","-0.50%"</t>
  </si>
  <si>
    <t>10/31/2025,"21.58","21.71","21.80","21.51","6.01M","-0.63%"</t>
  </si>
  <si>
    <t>10/30/2025,"21.72","21.13","21.74","21.05","6.91M","2.00%"</t>
  </si>
  <si>
    <t>10/29/2025,"21.29","21.53","21.77","21.24","5.64M","-1.59%"</t>
  </si>
  <si>
    <t>10/28/2025,"21.64","21.81","21.92","21.51","6.63M","-1.08%"</t>
  </si>
  <si>
    <t>10/27/2025,"21.87","22.21","22.21","21.53","7.45M","0.08%"</t>
  </si>
  <si>
    <t>10/24/2025,"21.86","21.72","22.03","21.63","5.56M","0.88%"</t>
  </si>
  <si>
    <t>10/23/2025,"21.67","21.32","21.83","21.31","8.53M","2.44%"</t>
  </si>
  <si>
    <t>10/22/2025,"21.15","21.12","21.15","20.87","7.57M","0.39%"</t>
  </si>
  <si>
    <t>10/21/2025,"21.07","21.15","21.35","21.01","5.44M","-1.48%"</t>
  </si>
  <si>
    <t>10/20/2025,"21.39","21.25","21.59","21.23","8.51M","0.38%"</t>
  </si>
  <si>
    <t>10/17/2025,"21.30","21.00","21.48","20.84","19.55M","0.64%"</t>
  </si>
  <si>
    <t>10/16/2025,"21.17","21.46","21.60","20.98","14.08M","-2.14%"</t>
  </si>
  <si>
    <t>10/15/2025,"21.63","21.05","21.70","21.04","14.27M","1.40%"</t>
  </si>
  <si>
    <t>10/14/2025,"21.33","21.44","21.45","21.20","23.66M","-0.51%"</t>
  </si>
  <si>
    <t>10/13/2025,"21.44","21.33","21.69","21.14","7.41M","0.68%"</t>
  </si>
  <si>
    <t>10/10/2025,"21.29","21.51","21.58","21.11","11.87M","-0.68%"</t>
  </si>
  <si>
    <t>10/09/2025,"21.44","21.53","21.77","21.30","12.36M","0.34%"</t>
  </si>
  <si>
    <t>10/08/2025,"21.37","20.93","21.45","20.83","11.48M","2.21%"</t>
  </si>
  <si>
    <t>10/07/2025,"20.90","21.16","21.29","20.57","23.76M","-1.91%"</t>
  </si>
  <si>
    <t>10/06/2025,"21.31","21.71","21.77","21.23","7.38M","-1.88%"</t>
  </si>
  <si>
    <t>10/03/2025,"21.72","21.60","21.77","21.41","6.45M","0.50%"</t>
  </si>
  <si>
    <t>10/02/2025,"21.61","21.91","21.95","21.51","8.20M","-1.37%"</t>
  </si>
  <si>
    <t>10/01/2025,"21.91","22.41","22.46","21.78","12.50M","-1.75%"</t>
  </si>
  <si>
    <t>09/30/2025,"22.30","22.49","22.74","22.08","15.39M","-0.24%"</t>
  </si>
  <si>
    <t>09/29/2025,"22.36","22.38","22.62","22.17","12.54M","1.90%"</t>
  </si>
  <si>
    <t>09/26/2025,"21.94","21.90","22.26","21.79","11.02M","0.58%"</t>
  </si>
  <si>
    <t>09/25/2025,"21.81","21.78","21.87","21.47","10.98M","0.17%"</t>
  </si>
  <si>
    <t>09/24/2025,"21.77","21.91","22.32","21.77","9.76M","-0.25%"</t>
  </si>
  <si>
    <t>09/23/2025,"21.83","21.50","22.02","21.38","11.75M","1.48%"</t>
  </si>
  <si>
    <t>09/22/2025,"21.51","21.30","21.56","21.13","12.70M","-0.17%"</t>
  </si>
  <si>
    <t>09/19/2025,"21.55","21.89","22.01","21.27","25.03M","-1.98%"</t>
  </si>
  <si>
    <t>09/18/2025,"21.98","22.07","22.14","21.81","12.23M","-0.21%"</t>
  </si>
  <si>
    <t>09/17/2025,"22.03","22.24","22.42","21.96","8.92M","-0.90%"</t>
  </si>
  <si>
    <t>09/16/2025,"22.23","22.47","22.49","22.16","6.61M","-0.65%"</t>
  </si>
  <si>
    <t>09/15/2025,"22.37","22.41","22.41","22.03","3.73M","0.61%"</t>
  </si>
  <si>
    <t>09/12/2025,"22.24","21.88","22.25","21.82","8.07M","0.25%"</t>
  </si>
  <si>
    <t>09/11/2025,"22.18","22.10","22.26","21.97","4.37M","0.41%"</t>
  </si>
  <si>
    <t>09/10/2025,"22.09","21.86","22.38","21.83","7.62M","0.70%"</t>
  </si>
  <si>
    <t>09/09/2025,"21.94","22.40","22.40","21.70","6.93M","-1.47%"</t>
  </si>
  <si>
    <t>09/08/2025,"22.26","22.63","22.65","22.09","7.57M","-1.60%"</t>
  </si>
  <si>
    <t>09/05/2025,"22.63","22.34","22.67","22.12","8.65M","3.31%"</t>
  </si>
  <si>
    <t>09/04/2025,"21.90","22.05","22.09","21.72","6.76M","-0.58%"</t>
  </si>
  <si>
    <t>09/03/2025,"22.03","21.87","22.12","21.77","6.92M","0.75%"</t>
  </si>
  <si>
    <t>09/02/2025,"21.87","21.68","22.09","21.63","7.93M","0.00%"</t>
  </si>
  <si>
    <t>09/01/2025,"21.87","21.77","21.99","21.69","4.45M","0.29%"</t>
  </si>
  <si>
    <t>08/29/2025,"21.80","22.02","22.07","21.76","9.07M","-1.07%"</t>
  </si>
  <si>
    <t>08/28/2025,"22.04","21.68","22.40","21.64","27.10M","4.97%"</t>
  </si>
  <si>
    <t>08/27/2025,"21.00","20.07","21.00","20.03","16.81M","4.09%"</t>
  </si>
  <si>
    <t>08/26/2025,"20.17","19.64","20.17","19.53","19.90M","3.11%"</t>
  </si>
  <si>
    <t>08/25/2025,"19.56","19.72","19.93","19.53","6.46M","-0.14%"</t>
  </si>
  <si>
    <t>08/22/2025,"19.59","18.82","19.59","18.81","7.41M","4.80%"</t>
  </si>
  <si>
    <t>08/21/2025,"18.69","18.75","18.80","18.50","7.64M","-0.29%"</t>
  </si>
  <si>
    <t>08/20/2025,"18.75","18.62","18.85","18.59","7.65M","0.05%"</t>
  </si>
  <si>
    <t>08/19/2025,"18.74","18.50","18.74","18.47","9.35M","-1.05%"</t>
  </si>
  <si>
    <t>08/18/2025,"18.94","18.95","19.13","18.62","12.28M","0.10%"</t>
  </si>
  <si>
    <t>08/15/2025,"18.92","19.14","19.37","18.80","15.19M","-1.97%"</t>
  </si>
  <si>
    <t>08/14/2025,"19.30","19.05","19.60","18.98","10.52M","0.38%"</t>
  </si>
  <si>
    <t>08/13/2025,"19.23","19.64","19.67","19.07","17.11M","-2.53%"</t>
  </si>
  <si>
    <t>08/12/2025,"19.73","19.34","20.54","19.34","19.42M","2.40%"</t>
  </si>
  <si>
    <t>08/11/2025,"19.26","19.32","19.57","19.23","7.68M","-0.75%"</t>
  </si>
  <si>
    <t>08/08/2025,"19.41","19.58","19.71","19.37","10.34M","-1.15%"</t>
  </si>
  <si>
    <t>08/07/2025,"19.63","19.41","19.96","19.24","9.96M","1.64%"</t>
  </si>
  <si>
    <t>08/06/2025,"19.32","19.42","19.49","19.26","11.60M","0.00%"</t>
  </si>
  <si>
    <t>08/05/2025,"19.32","19.06","19.35","19.03","3.15M","1.19%"</t>
  </si>
  <si>
    <t>08/04/2025,"19.09","19.50","19.64","18.95","9.02M","-0.71%"</t>
  </si>
  <si>
    <t>08/01/2025,"19.23","19.63","19.73","19.14","11.73M","-0.05%"</t>
  </si>
  <si>
    <t>07/31/2025,"19.24","19.47","19.49","19.16","9.44M","-2.57%"</t>
  </si>
  <si>
    <t>07/30/2025,"19.74","19.03","19.77","19.02","13.13M","3.13%"</t>
  </si>
  <si>
    <t>07/29/2025,"19.14","19.09","19.36","18.92","10.12M","0.43%"</t>
  </si>
  <si>
    <t>07/28/2025,"19.06","19.15","19.74","19.06","15.29M","-0.14%"</t>
  </si>
  <si>
    <t>07/25/2025,"19.09","18.53","19.18","18.42","14.68M","3.39%"</t>
  </si>
  <si>
    <t>07/24/2025,"18.46","18.15","18.46","18.07","13.27M","0.74%"</t>
  </si>
  <si>
    <t>07/23/2025,"18.33","18.07","18.48","17.98","14.01M","1.10%"</t>
  </si>
  <si>
    <t>07/22/2025,"18.13","18.36","18.72","18.07","10.55M","-1.28%"</t>
  </si>
  <si>
    <t>07/21/2025,"18.36","18.40","18.53","18.09","8.20M","0.05%"</t>
  </si>
  <si>
    <t>07/18/2025,"18.36","18.87","19.00","18.32","16.28M","-4.12%"</t>
  </si>
  <si>
    <t>07/17/2025,"19.14","19.56","19.57","18.93","17.29M","-2.22%"</t>
  </si>
  <si>
    <t>07/16/2025,"19.58","19.78","19.81","19.34","11.48M","-0.64%"</t>
  </si>
  <si>
    <t>07/15/2025,"19.71","19.59","19.85","19.41","6.73M","0.60%"</t>
  </si>
  <si>
    <t>07/14/2025,"19.59","19.65","19.79","19.41","6.81M","-0.64%"</t>
  </si>
  <si>
    <t>07/11/2025,"19.72","20.00","20.02","19.63","10.60M","-1.58%"</t>
  </si>
  <si>
    <t>07/10/2025,"20.03","19.40","20.12","19.24","17.44M","1.38%"</t>
  </si>
  <si>
    <t>07/09/2025,"19.76","19.94","20.02","19.59","15.79M","-0.77%"</t>
  </si>
  <si>
    <t>07/08/2025,"19.92","19.92","20.09","19.66","8.39M","-0.41%"</t>
  </si>
  <si>
    <t>07/07/2025,"20.00","20.47","20.47","19.91","6.78M","-2.39%"</t>
  </si>
  <si>
    <t>07/04/2025,"20.49","20.16","20.84","20.16","12.73M","2.68%"</t>
  </si>
  <si>
    <t>07/03/2025,"19.95","19.44","20.02","19.35","9.24M","2.66%"</t>
  </si>
  <si>
    <t>07/02/2025,"19.44","19.79","19.80","19.32","8.47M","-1.79%"</t>
  </si>
  <si>
    <t>07/01/2025,"19.79","19.61","19.96","19.54","5.22M","0.74%"</t>
  </si>
  <si>
    <t>06/30/2025,"19.64","19.64","19.86","19.34","14.29M","2.12%"</t>
  </si>
  <si>
    <t>06/27/2025,"19.24","19.10","19.33","19.03","11.66M","0.00%"</t>
  </si>
  <si>
    <t>06/26/2025,"19.24","19.65","19.68","19.14","17.15M","-2.26%"</t>
  </si>
  <si>
    <t>06/25/2025,"19.68","19.63","19.81","19.49","16.23M","-0.46%"</t>
  </si>
  <si>
    <t>06/24/2025,"19.77","19.55","19.97","19.53","16.22M","1.25%"</t>
  </si>
  <si>
    <t>06/23/2025,"19.53","19.50","19.53","19.10","8.96M","0.47%"</t>
  </si>
  <si>
    <t>06/20/2025,"19.44","19.47","19.78","19.36","10.77M","-0.92%"</t>
  </si>
  <si>
    <t>06/18/2025,"19.62","19.40","19.87","19.38","7.21M","0.60%"</t>
  </si>
  <si>
    <t>06/17/2025,"19.50","19.43","19.67","19.32","7.73M","0.19%"</t>
  </si>
  <si>
    <t>06/16/2025,"19.46","19.28","19.61","19.18","9.10M","1.85%"</t>
  </si>
  <si>
    <t>06/13/2025,"19.11","19.09","19.31","18.91","8.72M","-0.19%"</t>
  </si>
  <si>
    <t>06/12/2025,"19.14","18.86","19.24","18.84","6.42M","0.48%"</t>
  </si>
  <si>
    <t>06/11/2025,"19.05","18.50","19.50","18.39","10.02M","2.49%"</t>
  </si>
  <si>
    <t>06/10/2025,"18.59","18.85","19.01","18.46","10.53M","-0.05%"</t>
  </si>
  <si>
    <t>06/09/2025,"18.60","18.24","18.68","17.95","10.89M","1.89%"</t>
  </si>
  <si>
    <t>06/06/2025,"18.26","18.36","18.55","18.10","5.48M","-0.59%"</t>
  </si>
  <si>
    <t>06/05/2025,"18.36","18.51","18.62","18.22","12.20M","-1.17%"</t>
  </si>
  <si>
    <t>06/04/2025,"18.58","18.64","18.85","18.47","7.62M","0.20%"</t>
  </si>
  <si>
    <t>06/03/2025,"18.55","18.28","18.66","18.04","8.11M","1.59%"</t>
  </si>
  <si>
    <t>06/02/2025,"18.26","18.52","18.70","18.11","14.82M","-0.25%"</t>
  </si>
  <si>
    <t>05/30/2025,"18.30","18.85","19.05","18.21","15.54M","-2.46%"</t>
  </si>
  <si>
    <t>05/29/2025,"18.76","18.39","18.89","18.37","9.45M","1.32%"</t>
  </si>
  <si>
    <t>05/28/2025,"18.52","18.27","18.59","18.07","9.62M","1.19%"</t>
  </si>
  <si>
    <t>05/27/2025,"18.30","18.18","18.73","18.18","17.50M","3.01%"</t>
  </si>
  <si>
    <t>05/26/2025,"17.77","17.54","17.94","17.45","5.27M","2.14%"</t>
  </si>
  <si>
    <t>05/23/2025,"17.39","17.14","17.48","16.87","7.63M","0.37%"</t>
  </si>
  <si>
    <t>05/22/2025,"17.33","17.43","17.49","17.14","8.65M","0.16%"</t>
  </si>
  <si>
    <t>05/21/2025,"17.30","17.55","17.63","17.30","7.59M","-2.45%"</t>
  </si>
  <si>
    <t>05/20/2025,"17.74","17.79","17.84","17.37","7.13M","-0.20%"</t>
  </si>
  <si>
    <t>05/19/2025,"17.78","17.68","17.99","17.62","9.09M","0.20%"</t>
  </si>
  <si>
    <t>05/16/2025,"17.74","17.00","17.80","16.90","10.09M","3.22%"</t>
  </si>
  <si>
    <t>05/15/2025,"17.19","16.69","17.44","16.61","11.76M","3.38%"</t>
  </si>
  <si>
    <t>05/14/2025,"16.62","16.80","16.87","16.57","12.71M","-1.03%"</t>
  </si>
  <si>
    <t>05/13/2025,"16.80","16.53","16.88","16.49","9.58M","2.04%"</t>
  </si>
  <si>
    <t>05/12/2025,"16.46","16.74","16.74","16.37","4.56M","-0.38%"</t>
  </si>
  <si>
    <t>05/09/2025,"16.52","16.18","16.57","16.17","14.05M","1.90%"</t>
  </si>
  <si>
    <t>05/08/2025,"16.22","16.60","16.92","16.21","26.87M","-0.50%"</t>
  </si>
  <si>
    <t>05/07/2025,"16.30","16.71","16.94","16.12","20.40M","-3.90%"</t>
  </si>
  <si>
    <t>05/06/2025,"16.96","17.10","17.31","16.71","9.24M","-0.32%"</t>
  </si>
  <si>
    <t>05/05/2025,"17.01","17.10","17.23","16.66","8.96M","-0.32%"</t>
  </si>
  <si>
    <t>05/02/2025,"17.07","17.01","17.21","16.72","6.38M","0.11%"</t>
  </si>
  <si>
    <t>04/30/2025,"17.05","16.91","17.25","16.87","8.74M","0.32%"</t>
  </si>
  <si>
    <t>04/29/2025,"17.00","17.01","17.37","17.00","9.18M","-1.06%"</t>
  </si>
  <si>
    <t>04/28/2025,"17.18","17.33","17.50","17.04","5.71M","-0.84%"</t>
  </si>
  <si>
    <t>04/25/2025,"17.32","17.22","17.51","17.12","10.30M","0.84%"</t>
  </si>
  <si>
    <t>04/24/2025,"17.18","16.81","17.32","16.59","11.92M","3.10%"</t>
  </si>
  <si>
    <t>04/23/2025,"16.66","16.65","16.80","16.56","7.99M","1.32%"</t>
  </si>
  <si>
    <t>04/22/2025,"16.44","16.32","16.60","16.20","7.41M","0.17%"</t>
  </si>
  <si>
    <t>04/17/2025,"16.42","16.23","16.52","15.93","14.18M","0.92%"</t>
  </si>
  <si>
    <t>04/16/2025,"16.27","16.04","16.50","16.04","11.90M","0.93%"</t>
  </si>
  <si>
    <t>04/15/2025,"16.12","16.07","16.38","16.04","7.51M","-0.05%"</t>
  </si>
  <si>
    <t>04/14/2025,"16.12","16.05","16.29","15.91","9.04M","2.12%"</t>
  </si>
  <si>
    <t>04/11/2025,"15.79","15.67","15.93","15.37","10.06M","1.59%"</t>
  </si>
  <si>
    <t>04/10/2025,"15.54","15.46","15.68","15.23","9.70M","-0.73%"</t>
  </si>
  <si>
    <t>04/09/2025,"15.66","14.92","15.75","14.92","15.42M","3.56%"</t>
  </si>
  <si>
    <t>04/08/2025,"15.12","15.36","15.77","15.02","11.39M","-0.52%"</t>
  </si>
  <si>
    <t>04/07/2025,"15.20","15.34","15.73","15.01","13.73M","-2.60%"</t>
  </si>
  <si>
    <t>04/04/2025,"15.60","16.06","16.13","15.36","13.16M","-4.94%"</t>
  </si>
  <si>
    <t>04/03/2025,"16.42","16.05","16.60","16.00","8.38M","1.86%"</t>
  </si>
  <si>
    <t>04/02/2025,"16.12","16.11","16.27","16.00","5.06M","0.05%"</t>
  </si>
  <si>
    <t>04/01/2025,"16.11","15.63","16.38","15.58","11.01M","2.70%"</t>
  </si>
  <si>
    <t>03/31/2025,"15.68","16.05","16.09","15.68","6.56M","-2.25%"</t>
  </si>
  <si>
    <t>03/28/2025,"16.05","15.90","16.25","15.83","8.90M","0.39%"</t>
  </si>
  <si>
    <t>03/27/2025,"15.98","15.67","16.13","15.60","10.15M","2.26%"</t>
  </si>
  <si>
    <t>03/26/2025,"15.63","15.54","16.00","15.52","6.90M","0.57%"</t>
  </si>
  <si>
    <t>03/25/2025,"15.54","15.24","15.81","15.22","7.52M","2.56%"</t>
  </si>
  <si>
    <t>03/24/2025,"15.15","15.36","15.44","15.06","6.96M","-1.47%"</t>
  </si>
  <si>
    <t>03/21/2025,"15.38","15.48","15.69","15.38","20.43M","-0.73%"</t>
  </si>
  <si>
    <t>03/20/2025,"15.49","15.30","15.59","15.26","12.96M","0.96%"</t>
  </si>
  <si>
    <t>03/19/2025,"15.35","15.29","15.51","15.20","7.58M","1.37%"</t>
  </si>
  <si>
    <t>03/18/2025,"15.14","15.35","15.38","15.01","11.75M","-1.36%"</t>
  </si>
  <si>
    <t>03/17/2025,"15.35","15.22","15.42","15.05","8.15M","1.03%"</t>
  </si>
  <si>
    <t>03/14/2025,"15.19","14.82","15.40","14.74","11.15M","3.97%"</t>
  </si>
  <si>
    <t>03/13/2025,"14.61","14.21","14.77","14.12","24.69M","2.87%"</t>
  </si>
  <si>
    <t>03/12/2025,"14.20","14.28","14.35","14.06","7.95M","-0.24%"</t>
  </si>
  <si>
    <t>03/11/2025,"14.24","14.27","14.36","14.03","10.12M","-0.42%"</t>
  </si>
  <si>
    <t>03/10/2025,"14.30","14.36","14.39","14.09","10.93M","-1.02%"</t>
  </si>
  <si>
    <t>03/07/2025,"14.44","14.05","14.55","14.00","9.27M","2.14%"</t>
  </si>
  <si>
    <t>03/06/2025,"14.14","14.31","14.45","14.06","10.42M","-0.49%"</t>
  </si>
  <si>
    <t>03/05/2025,"14.21","14.82","14.82","14.05","16.29M","-3.64%"</t>
  </si>
  <si>
    <t>02/28/2025,"14.75","15.08","15.49","14.63","20.74M","-3.24%"</t>
  </si>
  <si>
    <t>02/27/2025,"15.24","14.97","15.45","14.91","10.46M","2.03%"</t>
  </si>
  <si>
    <t>02/26/2025,"14.94","15.89","16.14","14.91","20.28M","-5.27%"</t>
  </si>
  <si>
    <t>02/25/2025,"15.77","14.91","15.92","14.72","25.84M","5.69%"</t>
  </si>
  <si>
    <t>02/24/2025,"14.92","15.35","15.35","14.90","8.58M","-2.05%"</t>
  </si>
  <si>
    <t>02/21/2025,"15.23","15.29","15.38","15.01","8.37M","-0.45%"</t>
  </si>
  <si>
    <t>02/20/2025,"15.30","15.38","15.52","15.25","5.83M","-0.84%"</t>
  </si>
  <si>
    <t>02/19/2025,"15.43","15.69","15.86","15.39","8.70M","-2.73%"</t>
  </si>
  <si>
    <t>02/18/2025,"15.87","16.03","16.18","15.76","16.97M","-1.19%"</t>
  </si>
  <si>
    <t>02/17/2025,"16.06","15.74","16.56","15.68","16.19M","1.98%"</t>
  </si>
  <si>
    <t>02/14/2025,"15.74","15.27","15.83","14.93","25.09M","3.65%"</t>
  </si>
  <si>
    <t>02/13/2025,"15.19","14.88","15.30","14.85","16.84M","1.45%"</t>
  </si>
  <si>
    <t>02/12/2025,"14.97","14.77","15.09","14.70","28.02M","-0.58%"</t>
  </si>
  <si>
    <t>02/11/2025,"15.06","14.69","15.18","14.57","17.54M","2.36%"</t>
  </si>
  <si>
    <t>02/10/2025,"14.71","14.44","14.85","14.35","14.26M","3.03%"</t>
  </si>
  <si>
    <t>02/07/2025,"14.28","14.32","14.38","14.17","11.01M","0.67%"</t>
  </si>
  <si>
    <t>02/06/2025,"14.18","14.16","14.21","13.91","9.23M","0.92%"</t>
  </si>
  <si>
    <t>02/05/2025,"14.05","14.34","14.38","14.00","7.30M","-1.82%"</t>
  </si>
  <si>
    <t>02/04/2025,"14.31","14.44","14.44","14.04","15.33M","-0.78%"</t>
  </si>
  <si>
    <t>02/03/2025,"14.43","14.58","14.72","14.41","12.66M","-1.25%"</t>
  </si>
  <si>
    <t>01/31/2025,"14.61","15.05","15.18","14.61","23.96M","-5.07%"</t>
  </si>
  <si>
    <t>01/30/2025,"15.39","15.09","15.48","15.03","11.20M","2.60%"</t>
  </si>
  <si>
    <t>01/29/2025,"15.00","15.41","15.41","14.95","12.20M","-1.87%"</t>
  </si>
  <si>
    <t>01/28/2025,"15.29","15.87","15.92","15.24","11.84M","-4.08%"</t>
  </si>
  <si>
    <t>01/27/2025,"15.93","15.25","15.93","15.16","10.45M","4.55%"</t>
  </si>
  <si>
    <t>01/24/2025,"15.24","15.28","15.48","15.16","5.15M","-0.51%"</t>
  </si>
  <si>
    <t>01/23/2025,"15.32","15.55","15.72","15.29","10.41M","-1.61%"</t>
  </si>
  <si>
    <t>01/22/2025,"15.57","15.48","15.67","15.23","12.24M","1.93%"</t>
  </si>
  <si>
    <t>01/21/2025,"15.28","14.89","15.42","14.88","14.06M","2.32%"</t>
  </si>
  <si>
    <t>01/20/2025,"14.93","14.73","15.03","14.58","5.73M","1.23%"</t>
  </si>
  <si>
    <t>01/17/2025,"14.75","14.86","15.02","14.71","6.70M","-0.58%"</t>
  </si>
  <si>
    <t>01/16/2025,"14.83","15.51","15.51","14.83","8.31M","-4.20%"</t>
  </si>
  <si>
    <t>01/15/2025,"15.48","15.35","15.59","15.19","14.25M","2.76%"</t>
  </si>
  <si>
    <t>01/14/2025,"15.07","15.10","15.24","14.95","15.12M","-0.63%"</t>
  </si>
  <si>
    <t>01/13/2025,"15.16","15.18","15.28","15.03","10.99M","0.57%"</t>
  </si>
  <si>
    <t>01/10/2025,"15.08","15.22","15.30","14.99","8.57M","-1.19%"</t>
  </si>
  <si>
    <t>01/09/2025,"15.26","15.34","15.42","15.06","8.96M","-0.28%"</t>
  </si>
  <si>
    <t>01/08/2025,"15.30","15.45","15.62","15.25","17.40M","-2.00%"</t>
  </si>
  <si>
    <t>01/07/2025,"15.61","15.46","15.79","15.35","16.38M","2.10%"</t>
  </si>
  <si>
    <t>01/06/2025,"15.29","15.34","15.50","15.09","15.32M","0.28%"</t>
  </si>
  <si>
    <t>01/03/2025,"15.25","15.35","15.48","15.24","8.41M","-0.68%"</t>
  </si>
  <si>
    <t>01/02/2025,"15.35","15.45","15.58","15.25","12.82M","-0.67%"</t>
  </si>
  <si>
    <t>12/30/2024,"15.46","15.52","15.68","15.42","8.72M","-0.34%"</t>
  </si>
  <si>
    <t>12/27/2024,"15.51","15.82","15.82","15.39","9.71M","-1.27%"</t>
  </si>
  <si>
    <t>12/26/2024,"15.71","15.85","15.99","15.59","9.16M","-0.65%"</t>
  </si>
  <si>
    <t>12/23/2024,"15.81","16.16","16.16","15.78","10.60M","-1.33%"</t>
  </si>
  <si>
    <t>12/20/2024,"16.03","15.67","16.15","15.63","19.48M","2.23%"</t>
  </si>
  <si>
    <t>12/19/2024,"15.68","15.79","15.85","15.41","13.27M","1.38%"</t>
  </si>
  <si>
    <t>12/18/2024,"15.46","16.41","16.41","15.25","27.81M","-5.97%"</t>
  </si>
  <si>
    <t>12/17/2024,"16.44","16.50","16.52","16.23","15.74M","0.52%"</t>
  </si>
  <si>
    <t>12/16/2024,"16.36","17.16","17.16","16.32","14.66M","-4.68%"</t>
  </si>
  <si>
    <t>12/13/2024,"17.16","17.32","17.40","17.14","9.28M","-1.28%"</t>
  </si>
  <si>
    <t>12/12/2024,"17.38","17.76","17.81","17.13","11.27M","-3.10%"</t>
  </si>
  <si>
    <t>12/11/2024,"17.94","17.65","18.22","17.42","9.25M","1.69%"</t>
  </si>
  <si>
    <t>12/10/2024,"17.64","17.55","17.93","17.43","10.03M","1.77%"</t>
  </si>
  <si>
    <t>12/09/2024,"17.33","17.26","17.63","17.25","8.82M","0.50%"</t>
  </si>
  <si>
    <t>12/06/2024,"17.25","17.47","17.65","17.11","7.19M","-2.32%"</t>
  </si>
  <si>
    <t>12/05/2024,"17.66","17.60","17.79","17.51","8.53M","1.52%"</t>
  </si>
  <si>
    <t>12/04/2024,"17.39","17.41","17.49","17.21","10.89M","-0.20%"</t>
  </si>
  <si>
    <t>12/03/2024,"17.43","17.53","17.76","17.26","11.80M","-0.29%"</t>
  </si>
  <si>
    <t>12/02/2024,"17.48","17.52","17.60","17.26","10.50M","-0.82%"</t>
  </si>
  <si>
    <t>11/29/2024,"17.62","17.39","17.73","17.12","16.34M","1.33%"</t>
  </si>
  <si>
    <t>11/28/2024,"17.39","18.28","18.31","17.26","15.00M","-4.90%"</t>
  </si>
  <si>
    <t>11/27/2024,"18.29","18.90","18.99","18.26","6.57M","-2.90%"</t>
  </si>
  <si>
    <t>11/26/2024,"18.84","18.72","19.13","18.59","7.04M","1.15%"</t>
  </si>
  <si>
    <t>11/25/2024,"18.62","18.67","18.74","18.54","8.51M","-0.14%"</t>
  </si>
  <si>
    <t>11/22/2024,"18.65","18.56","18.65","18.26","9.88M","1.53%"</t>
  </si>
  <si>
    <t>11/21/2024,"18.37","18.42","18.57","18.15","9.82M","-1.38%"</t>
  </si>
  <si>
    <t>11/19/2024,"18.62","18.62","18.75","18.44","9.96M","0.00%"</t>
  </si>
  <si>
    <t>11/18/2024,"18.62","19.07","19.07","18.58","8.68M","-1.85%"</t>
  </si>
  <si>
    <t>11/14/2024,"18.97","18.95","19.31","18.83","10.44M","-0.49%"</t>
  </si>
  <si>
    <t>11/13/2024,"19.07","19.13","19.25","18.78","9.87M","-0.49%"</t>
  </si>
  <si>
    <t>11/12/2024,"19.16","19.33","19.33","19.09","9.75M","-0.49%"</t>
  </si>
  <si>
    <t>11/11/2024,"19.25","19.18","19.42","19.13","8.32M","0.40%"</t>
  </si>
  <si>
    <t>11/08/2024,"19.18","18.47","19.28","18.37","9.25M","0.18%"</t>
  </si>
  <si>
    <t>11/07/2024,"19.14","19.70","19.82","19.03","16.85M","-3.78%"</t>
  </si>
  <si>
    <t>11/06/2024,"19.90","19.60","20.04","19.26","18.08M","2.10%"</t>
  </si>
  <si>
    <t>11/05/2024,"19.49","19.20","19.55","19.00","8.81M","0.84%"</t>
  </si>
  <si>
    <t>11/04/2024,"19.32","19.20","19.46","19.02","6.38M","2.26%"</t>
  </si>
  <si>
    <t>11/01/2024,"18.90","19.25","19.25","18.78","7.29M","-0.85%"</t>
  </si>
  <si>
    <t>10/31/2024,"19.06","19.06","19.37","18.96","10.29M","0.00%"</t>
  </si>
  <si>
    <t>10/30/2024,"19.06","19.01","19.27","18.98","4.72M","0.50%"</t>
  </si>
  <si>
    <t>10/29/2024,"18.96","19.02","19.34","18.92","4.84M","-0.58%"</t>
  </si>
  <si>
    <t>10/28/2024,"19.08","18.88","19.26","18.80","5.03M","1.92%"</t>
  </si>
  <si>
    <t>10/25/2024,"18.72","18.95","19.03","18.58","3.82M","-1.17%"</t>
  </si>
  <si>
    <t>10/24/2024,"18.94","18.84","19.25","18.72","8.26M","-0.09%"</t>
  </si>
  <si>
    <t>10/23/2024,"18.96","18.83","18.99","18.61","5.45M","-0.18%"</t>
  </si>
  <si>
    <t>10/22/2024,"18.99","19.17","19.28","18.91","6.94M","-2.03%"</t>
  </si>
  <si>
    <t>10/21/2024,"19.38","19.44","19.54","19.32","7.48M","0.35%"</t>
  </si>
  <si>
    <t>10/18/2024,"19.31","19.46","19.70","19.28","7.29M","-0.13%"</t>
  </si>
  <si>
    <t>10/17/2024,"19.34","19.46","19.49","19.17","4.53M","-1.99%"</t>
  </si>
  <si>
    <t>10/16/2024,"19.73","19.88","20.06","19.66","9.80M","-0.73%"</t>
  </si>
  <si>
    <t>10/15/2024,"19.88","19.59","19.90","19.54","6.96M","1.62%"</t>
  </si>
  <si>
    <t>10/14/2024,"19.56","19.54","19.62","19.26","9.68M","0.13%"</t>
  </si>
  <si>
    <t>10/11/2024,"19.54","19.46","19.54","19.26","6.16M","0.48%"</t>
  </si>
  <si>
    <t>10/10/2024,"19.44","19.42","19.59","19.31","7.28M","-0.39%"</t>
  </si>
  <si>
    <t>10/09/2024,"19.52","19.69","19.83","19.47","6.43M","-1.85%"</t>
  </si>
  <si>
    <t>10/08/2024,"19.89","19.70","19.97","19.49","8.76M","0.39%"</t>
  </si>
  <si>
    <t>10/07/2024,"19.81","19.87","20.03","19.61","7.71M","0.43%"</t>
  </si>
  <si>
    <t>10/04/2024,"19.72","19.34","19.79","19.34","8.77M","0.61%"</t>
  </si>
  <si>
    <t>10/03/2024,"19.60","19.64","19.65","19.20","8.09M","-1.88%"</t>
  </si>
  <si>
    <t>10/02/2024,"19.98","20.18","20.25","19.82","4.03M","0.47%"</t>
  </si>
  <si>
    <t>10/01/2024,"19.89","20.00","20.14","19.82","4.09M","-0.51%"</t>
  </si>
  <si>
    <t>09/30/2024,"19.99","20.13","20.19","19.84","5.45M","-0.93%"</t>
  </si>
  <si>
    <t>09/27/2024,"20.18","20.44","20.59","20.00","7.36M","-1.99%"</t>
  </si>
  <si>
    <t>09/26/2024,"20.59","20.66","20.71","20.40","5.83M","0.37%"</t>
  </si>
  <si>
    <t>09/25/2024,"20.51","20.67","20.76","20.35","10.02M","-0.79%"</t>
  </si>
  <si>
    <t>09/24/2024,"20.67","20.27","20.76","20.13","6.77M","2.78%"</t>
  </si>
  <si>
    <t>09/23/2024,"20.11","20.94","20.94","20.09","20.35M","-4.04%"</t>
  </si>
  <si>
    <t>09/20/2024,"20.96","20.57","20.96","20.50","19.36M","1.14%"</t>
  </si>
  <si>
    <t>09/19/2024,"20.72","20.90","20.96","20.59","6.00M","-0.65%"</t>
  </si>
  <si>
    <t>09/18/2024,"20.86","20.81","21.18","20.76","8.03M","-1.12%"</t>
  </si>
  <si>
    <t>09/17/2024,"21.09","20.87","21.09","20.60","7.88M","0.81%"</t>
  </si>
  <si>
    <t>09/16/2024,"20.92","21.57","21.57","20.84","9.23M","-2.14%"</t>
  </si>
  <si>
    <t>09/13/2024,"21.38","21.61","22.01","21.36","8.99M","-1.60%"</t>
  </si>
  <si>
    <t>09/12/2024,"21.73","21.67","21.77","21.49","4.67M","-0.31%"</t>
  </si>
  <si>
    <t>09/11/2024,"21.80","21.91","22.00","21.70","4.30M","-0.31%"</t>
  </si>
  <si>
    <t>09/10/2024,"21.86","21.84","22.11","21.78","5.00M","-0.77%"</t>
  </si>
  <si>
    <t>09/09/2024,"22.03","21.98","22.27","21.96","5.41M","0.54%"</t>
  </si>
  <si>
    <t>09/06/2024,"21.91","22.57","22.70","21.91","6.50M","-2.23%"</t>
  </si>
  <si>
    <t>09/05/2024,"22.41","22.08","22.95","21.87","8.36M","1.57%"</t>
  </si>
  <si>
    <t>09/04/2024,"22.07","21.91","22.29","21.81","8.87M","1.44%"</t>
  </si>
  <si>
    <t>09/03/2024,"21.75","21.48","21.82","21.34","9.85M","1.26%"</t>
  </si>
  <si>
    <t>09/02/2024,"21.48","21.59","21.79","21.36","7.37M","-1.24%"</t>
  </si>
  <si>
    <t>08/30/2024,"21.75","21.32","21.80","21.23","17.08M","0.51%"</t>
  </si>
  <si>
    <t>08/29/2024,"21.64","21.95","21.95","21.23","10.63M","-0.85%"</t>
  </si>
  <si>
    <t>08/28/2024,"21.83","21.48","21.93","21.44","8.09M","0.90%"</t>
  </si>
  <si>
    <t>08/27/2024,"21.64","21.58","21.77","21.37","3.74M","0.04%"</t>
  </si>
  <si>
    <t>08/26/2024,"21.63","21.73","21.73","21.21","7.26M","0.47%"</t>
  </si>
  <si>
    <t>08/23/2024,"21.53","21.42","21.64","21.25","8.20M","1.07%"</t>
  </si>
  <si>
    <t>08/22/2024,"21.30","20.84","21.54","20.65","28.74M","-3.45%"</t>
  </si>
  <si>
    <t>08/21/2024,"22.06","22.08","22.30","21.89","7.51M","-0.19%"</t>
  </si>
  <si>
    <t>08/20/2024,"22.10","22.41","22.46","21.89","8.97M","-0.46%"</t>
  </si>
  <si>
    <t>08/19/2024,"22.20","22.07","22.35","21.97","8.52M","0.85%"</t>
  </si>
  <si>
    <t>08/16/2024,"22.02","21.95","22.32","21.94","9.28M","0.81%"</t>
  </si>
  <si>
    <t>08/15/2024,"21.84","21.33","21.94","21.18","9.95M","2.30%"</t>
  </si>
  <si>
    <t>08/14/2024,"21.35","21.30","21.60","21.25","7.29M","-0.24%"</t>
  </si>
  <si>
    <t>08/13/2024,"21.40","21.09","21.46","20.65","8.97M","3.35%"</t>
  </si>
  <si>
    <t>08/12/2024,"20.71","21.14","21.14","20.65","6.50M","-1.09%"</t>
  </si>
  <si>
    <t>08/09/2024,"20.93","20.54","21.06","20.33","8.62M","2.65%"</t>
  </si>
  <si>
    <t>08/08/2024,"20.39","20.38","20.63","20.21","7.58M","0.04%"</t>
  </si>
  <si>
    <t>08/07/2024,"20.38","20.21","20.44","19.48","10.74M","2.51%"</t>
  </si>
  <si>
    <t>08/06/2024,"19.88","19.89","20.15","19.71","10.08M","2.26%"</t>
  </si>
  <si>
    <t>08/05/2024,"19.44","19.16","19.63","18.90","13.32M","-1.37%"</t>
  </si>
  <si>
    <t>08/02/2024,"19.72","19.81","20.03","19.71","7.17M","-0.47%"</t>
  </si>
  <si>
    <t>08/01/2024,"19.81","19.73","20.08","19.64","8.51M","1.12%"</t>
  </si>
  <si>
    <t>07/31/2024,"19.59","19.55","19.78","19.50","6.40M","-0.13%"</t>
  </si>
  <si>
    <t>07/30/2024,"19.61","19.44","19.78","19.37","4.39M","0.39%"</t>
  </si>
  <si>
    <t>07/29/2024,"19.54","19.60","19.83","19.43","3.55M","-0.60%"</t>
  </si>
  <si>
    <t>07/26/2024,"19.66","19.28","19.72","18.87","5.45M","2.20%"</t>
  </si>
  <si>
    <t>07/25/2024,"19.23","19.29","19.32","19.08","6.37M","-0.39%"</t>
  </si>
  <si>
    <t>07/24/2024,"19.31","19.34","19.44","19.13","4.19M","-0.35%"</t>
  </si>
  <si>
    <t>07/23/2024,"19.38","19.71","19.72","19.34","7.88M","-1.59%"</t>
  </si>
  <si>
    <t>07/22/2024,"19.69","19.45","19.83","19.40","3.04M","0.82%"</t>
  </si>
  <si>
    <t>07/19/2024,"19.53","19.61","19.80","19.50","3.62M","0.13%"</t>
  </si>
  <si>
    <t>07/18/2024,"19.50","19.65","19.85","19.46","3.84M","-1.07%"</t>
  </si>
  <si>
    <t>07/17/2024,"19.72","19.24","19.77","19.22","4.86M","2.10%"</t>
  </si>
  <si>
    <t>07/16/2024,"19.31","19.17","19.62","19.17","5.30M","0.71%"</t>
  </si>
  <si>
    <t>07/15/2024,"19.17","19.33","19.44","19.11","4.87M","-0.35%"</t>
  </si>
  <si>
    <t>07/12/2024,"19.24","19.48","19.50","19.19","5.28M","-1.09%"</t>
  </si>
  <si>
    <t>07/11/2024,"19.45","19.05","19.53","18.96","5.40M","2.31%"</t>
  </si>
  <si>
    <t>07/10/2024,"19.01","18.86","19.14","18.81","6.41M","1.26%"</t>
  </si>
  <si>
    <t>07/09/2024,"18.78","18.51","18.81","18.48","5.71M","0.82%"</t>
  </si>
  <si>
    <t>07/08/2024,"18.62","18.66","18.79","18.47","5.15M","-0.41%"</t>
  </si>
  <si>
    <t>07/05/2024,"18.70","18.62","18.86","18.28","9.17M","2.89%"</t>
  </si>
  <si>
    <t>07/04/2024,"18.18","17.96","18.37","17.91","5.65M","2.24%"</t>
  </si>
  <si>
    <t>07/03/2024,"17.78","17.22","18.00","17.22","6.95M","3.55%"</t>
  </si>
  <si>
    <t>07/02/2024,"17.17","16.87","17.25","16.86","6.18M","1.75%"</t>
  </si>
  <si>
    <t>07/01/2024,"16.87","17.39","17.46","16.87","8.51M","-2.36%"</t>
  </si>
  <si>
    <t>06/28/2024,"17.28","17.54","17.68","17.23","5.80M","-2.06%"</t>
  </si>
  <si>
    <t>06/27/2024,"17.65","17.24","17.69","17.15","26.00M","2.65%"</t>
  </si>
  <si>
    <t>06/26/2024,"17.19","16.95","17.24","16.82","10.13M","1.76%"</t>
  </si>
  <si>
    <t>06/25/2024,"16.89","17.36","17.36","16.89","4.68M","-2.90%"</t>
  </si>
  <si>
    <t>06/24/2024,"17.40","17.38","17.59","17.23","4.25M","0.53%"</t>
  </si>
  <si>
    <t>06/21/2024,"17.31","16.89","17.46","16.84","9.43M","1.90%"</t>
  </si>
  <si>
    <t>06/20/2024,"16.98","17.08","17.24","16.87","4.29M","0.29%"</t>
  </si>
  <si>
    <t>06/19/2024,"16.93","16.79","16.98","16.63","2.21M","0.15%"</t>
  </si>
  <si>
    <t>06/18/2024,"16.91","16.62","17.10","16.55","5.49M","1.29%"</t>
  </si>
  <si>
    <t>06/17/2024,"16.70","17.12","17.14","16.70","3.74M","-2.56%"</t>
  </si>
  <si>
    <t>06/14/2024,"17.13","17.03","17.32","16.98","3.72M","0.39%"</t>
  </si>
  <si>
    <t>06/13/2024,"17.07","17.30","17.48","17.03","3.48M","-1.34%"</t>
  </si>
  <si>
    <t>06/12/2024,"17.30","17.90","18.03","17.22","12.95M","-3.15%"</t>
  </si>
  <si>
    <t>06/11/2024,"17.86","17.76","18.05","17.65","11.40M","1.41%"</t>
  </si>
  <si>
    <t>06/10/2024,"17.61","17.07","17.61","17.03","7.97M","2.40%"</t>
  </si>
  <si>
    <t>06/07/2024,"17.20","17.10","17.44","17.06","7.21M","-1.14%"</t>
  </si>
  <si>
    <t>06/06/2024,"17.40","17.28","17.58","17.14","7.38M","0.72%"</t>
  </si>
  <si>
    <t>06/05/2024,"17.27","17.14","17.43","17.02","6.68M","-0.29%"</t>
  </si>
  <si>
    <t>06/04/2024,"17.32","17.57","17.62","16.76","15.06M","-2.06%"</t>
  </si>
  <si>
    <t>06/03/2024,"17.69","17.86","17.99","17.62","4.92M","-0.70%"</t>
  </si>
  <si>
    <t>05/31/2024,"17.81","18.07","18.13","17.73","27.45M","-1.55%"</t>
  </si>
  <si>
    <t>05/29/2024,"18.09","18.38","18.53","18.06","8.67M","-2.37%"</t>
  </si>
  <si>
    <t>05/28/2024,"18.53","19.00","19.00","18.51","6.93M","-1.23%"</t>
  </si>
  <si>
    <t>05/27/2024,"18.76","18.52","18.82","18.52","2.93M","-16.43%"</t>
  </si>
  <si>
    <t>05/25/2024,"22.45","22.45","22.45","22.45","","21.04%"</t>
  </si>
  <si>
    <t>05/24/2024,"18.55","18.51","18.88","18.51","3.58M","-0.09%"</t>
  </si>
  <si>
    <t>05/23/2024,"18.56","18.86","19.15","18.50","6.47M","-2.77%"</t>
  </si>
  <si>
    <t>05/22/2024,"19.09","19.21","19.39","18.99","7.09M","-1.99%"</t>
  </si>
  <si>
    <t>05/21/2024,"19.48","19.56","19.76","19.23","10.11M","-0.76%"</t>
  </si>
  <si>
    <t>05/20/2024,"19.63","19.39","19.94","19.39","5.13M","0.21%"</t>
  </si>
  <si>
    <t>05/17/2024,"19.59","19.70","19.77","19.32","7.76M","-0.88%"</t>
  </si>
  <si>
    <t>05/16/2024,"19.76","19.78","19.90","19.51","6.54M","0.46%"</t>
  </si>
  <si>
    <t>05/15/2024,"19.67","19.85","19.91","19.40","7.66M","-0.88%"</t>
  </si>
  <si>
    <t>05/14/2024,"19.85","19.54","20.08","19.53","9.85M","1.57%"</t>
  </si>
  <si>
    <t>05/13/2024,"19.54","19.89","19.90","19.51","13.06M","-1.05%"</t>
  </si>
  <si>
    <t>05/10/2024,"19.75","19.54","19.85","19.47","11.29M","1.23%"</t>
  </si>
  <si>
    <t>05/09/2024,"19.51","19.49","19.68","18.65","16.29M","0.86%"</t>
  </si>
  <si>
    <t>05/08/2024,"19.34","19.11","19.34","18.98","8.60M","0.17%"</t>
  </si>
  <si>
    <t>05/07/2024,"19.31","19.59","19.63","19.28","4.45M","-0.51%"</t>
  </si>
  <si>
    <t>05/06/2024,"19.41","19.93","19.96","19.28","6.49M","-2.57%"</t>
  </si>
  <si>
    <t>05/03/2024,"19.92","19.61","20.07","19.43","7.22M","3.35%"</t>
  </si>
  <si>
    <t>05/02/2024,"19.28","19.62","19.85","19.28","9.78M","-0.64%"</t>
  </si>
  <si>
    <t>04/30/2024,"19.40","19.52","19.67","19.29","6.56M","-0.97%"</t>
  </si>
  <si>
    <t>04/29/2024,"19.59","19.48","19.66","19.44","5.21M","0.42%"</t>
  </si>
  <si>
    <t>04/26/2024,"19.51","19.01","19.61","18.99","7.72M","3.56%"</t>
  </si>
  <si>
    <t>04/25/2024,"18.84","18.54","18.94","18.38","10.78M","1.29%"</t>
  </si>
  <si>
    <t>04/24/2024,"18.60","18.92","18.99","18.60","7.17M","-1.66%"</t>
  </si>
  <si>
    <t>04/23/2024,"18.91","18.88","19.22","18.66","9.06M","-1.29%"</t>
  </si>
  <si>
    <t>04/22/2024,"19.16","19.10","19.43","19.03","6.15M","-0.56%"</t>
  </si>
  <si>
    <t>04/19/2024,"19.27","19.53","19.61","19.17","6.50M","-0.99%"</t>
  </si>
  <si>
    <t>04/18/2024,"19.46","19.62","19.69","19.09","8.42M","-0.82%"</t>
  </si>
  <si>
    <t>04/17/2024,"19.62","19.49","19.68","19.31","11.47M","0.62%"</t>
  </si>
  <si>
    <t>04/16/2024,"19.50","19.71","19.71","19.47","8.08M","-2.26%"</t>
  </si>
  <si>
    <t>04/15/2024,"19.95","20.00","20.43","19.90","10.85M","-0.24%"</t>
  </si>
  <si>
    <t>04/12/2024,"20.00","20.37","20.49","19.92","8.76M","-2.51%"</t>
  </si>
  <si>
    <t>04/11/2024,"20.52","20.44","20.58","20.19","5.40M","-0.24%"</t>
  </si>
  <si>
    <t>04/10/2024,"20.56","20.93","21.00","20.44","5.83M","-1.96%"</t>
  </si>
  <si>
    <t>04/09/2024,"20.98","20.69","21.00","20.59","6.68M","1.44%"</t>
  </si>
  <si>
    <t>04/08/2024,"20.68","20.64","20.89","20.41","8.73M","0.98%"</t>
  </si>
  <si>
    <t>04/05/2024,"20.48","20.11","20.65","20.11","12.04M","1.56%"</t>
  </si>
  <si>
    <t>04/04/2024,"20.16","20.02","20.60","19.90","14.23M","1.38%"</t>
  </si>
  <si>
    <t>04/03/2024,"19.89","20.44","20.48","19.81","12.80M","-2.84%"</t>
  </si>
  <si>
    <t>04/02/2024,"20.47","20.28","20.56","20.06","11.27M","0.75%"</t>
  </si>
  <si>
    <t>04/01/2024,"20.31","20.15","20.47","20.15","11.54M","0.76%"</t>
  </si>
  <si>
    <t>03/28/2024,"20.16","20.39","20.40","20.10","6.47M","-1.38%"</t>
  </si>
  <si>
    <t>03/27/2024,"20.44","20.16","20.52","20.03","7.72M","1.04%"</t>
  </si>
  <si>
    <t>03/26/2024,"20.23","20.26","20.73","20.23","11.35M","-0.20%"</t>
  </si>
  <si>
    <t>03/25/2024,"20.27","19.93","20.36","19.84","7.85M","-18.18%"</t>
  </si>
  <si>
    <t>03/23/2024,"24.78","24.78","24.78","24.78","","23.80%"</t>
  </si>
  <si>
    <t>03/22/2024,"20.02","20.21","20.35","20.02","6.91M","-1.74%"</t>
  </si>
  <si>
    <t>03/21/2024,"20.37","20.15","20.40","19.98","7.41M","1.08%"</t>
  </si>
  <si>
    <t>03/20/2024,"20.15","20.23","20.29","19.67","8.81M","0.00%"</t>
  </si>
  <si>
    <t>03/19/2024,"20.15","20.27","20.34","20.01","8.80M","-1.03%"</t>
  </si>
  <si>
    <t>03/18/2024,"20.36","20.40","20.56","20.25","6.23M","-0.12%"</t>
  </si>
  <si>
    <t>03/15/2024,"20.39","20.44","20.57","20.13","12.45M","0.24%"</t>
  </si>
  <si>
    <t>03/14/2024,"20.34","19.96","20.60","19.91","16.39M","2.31%"</t>
  </si>
  <si>
    <t>03/13/2024,"19.88","19.44","19.91","19.44","5.73M","1.82%"</t>
  </si>
  <si>
    <t>03/12/2024,"19.52","19.65","19.86","19.43","8.45M","-0.16%"</t>
  </si>
  <si>
    <t>03/11/2024,"19.56","19.27","19.62","19.04","14.65M","1.38%"</t>
  </si>
  <si>
    <t>03/08/2024,"19.29","19.20","19.42","19.11","8.17M","-0.25%"</t>
  </si>
  <si>
    <t>03/07/2024,"19.34","19.91","20.24","19.25","14.14M","-3.46%"</t>
  </si>
  <si>
    <t>03/06/2024,"20.03","20.34","20.40","19.93","12.26M","-1.00%"</t>
  </si>
  <si>
    <t>03/05/2024,"20.23","20.98","20.98","20.04","21.13M","-5.50%"</t>
  </si>
  <si>
    <t>03/04/2024,"21.41","21.52","21.60","21.27","8.03M","-0.15%"</t>
  </si>
  <si>
    <t>03/01/2024,"21.44","20.88","21.60","20.74","8.51M","2.86%"</t>
  </si>
  <si>
    <t>02/29/2024,"20.85","20.97","21.08","20.52","13.25M","-0.88%"</t>
  </si>
  <si>
    <t>02/28/2024,"21.03","20.86","21.03","20.62","8.82M","0.50%"</t>
  </si>
  <si>
    <t>02/27/2024,"20.93","20.99","21.07","20.56","10.06M","0.23%"</t>
  </si>
  <si>
    <t>02/26/2024,"20.88","20.71","21.02","20.57","6.62M","0.58%"</t>
  </si>
  <si>
    <t>02/23/2024,"20.76","20.85","20.96","20.52","6.35M","-0.43%"</t>
  </si>
  <si>
    <t>02/22/2024,"20.85","20.64","20.89","20.44","6.71M","1.37%"</t>
  </si>
  <si>
    <t>02/21/2024,"20.56","20.07","20.83","19.96","14.88M","2.49%"</t>
  </si>
  <si>
    <t>02/20/2024,"20.06","19.27","20.10","19.14","7.66M","3.71%"</t>
  </si>
  <si>
    <t>02/19/2024,"19.35","19.60","19.65","19.23","2.95M","-1.07%"</t>
  </si>
  <si>
    <t>02/16/2024,"19.56","19.27","19.81","19.10","9.24M","1.93%"</t>
  </si>
  <si>
    <t>02/15/2024,"19.19","19.41","19.42","18.96","9.36M","-0.25%"</t>
  </si>
  <si>
    <t>02/14/2024,"19.23","19.75","20.01","19.16","7.48M","-2.81%"</t>
  </si>
  <si>
    <t>02/09/2024,"19.79","19.23","19.86","19.06","9.11M","2.89%"</t>
  </si>
  <si>
    <t>02/08/2024,"19.23","19.25","19.32","18.88","6.20M","-0.42%"</t>
  </si>
  <si>
    <t>02/07/2024,"19.31","19.25","19.65","19.24","6.19M","0.04%"</t>
  </si>
  <si>
    <t>02/06/2024,"19.31","18.85","19.39","18.61","7.73M","1.23%"</t>
  </si>
  <si>
    <t>02/05/2024,"19.07","18.75","19.35","18.67","11.34M","1.41%"</t>
  </si>
  <si>
    <t>02/02/2024,"18.81","18.94","19.15","18.52","12.83M","-0.64%"</t>
  </si>
  <si>
    <t>02/01/2024,"18.93","19.15","19.20","18.89","7.53M","-1.14%"</t>
  </si>
  <si>
    <t>01/31/2024,"19.15","18.90","19.37","18.90","15.66M","1.76%"</t>
  </si>
  <si>
    <t>01/30/2024,"18.82","18.64","19.02","18.33","6.64M","1.43%"</t>
  </si>
  <si>
    <t>01/29/2024,"18.55","18.77","18.77","18.40","2.38M","-0.95%"</t>
  </si>
  <si>
    <t>01/26/2024,"18.73","18.86","18.86","18.52","2.69M","-0.47%"</t>
  </si>
  <si>
    <t>01/25/2024,"18.82","18.85","18.94","18.69","3.45M","-0.09%"</t>
  </si>
  <si>
    <t>01/24/2024,"18.83","18.63","18.85","18.52","5.70M","1.52%"</t>
  </si>
  <si>
    <t>01/23/2024,"18.55","18.42","18.55","18.19","5.08M","0.88%"</t>
  </si>
  <si>
    <t>01/22/2024,"18.39","18.28","18.52","17.99","5.86M","0.57%"</t>
  </si>
  <si>
    <t>01/19/2024,"18.28","17.98","18.34","17.78","10.06M","2.16%"</t>
  </si>
  <si>
    <t>01/18/2024,"17.90","18.01","18.01","17.57","6.52M","-0.67%"</t>
  </si>
  <si>
    <t>01/17/2024,"18.02","17.81","18.06","17.74","11.18M","0.63%"</t>
  </si>
  <si>
    <t>01/16/2024,"17.90","18.38","18.52","17.82","13.22M","-3.48%"</t>
  </si>
  <si>
    <t>01/15/2024,"18.55","18.55","18.65","18.36","7.71M","-0.30%"</t>
  </si>
  <si>
    <t>01/12/2024,"18.61","18.14","18.64","18.01","6.68M","2.71%"</t>
  </si>
  <si>
    <t>01/11/2024,"18.11","18.17","18.32","17.98","8.47M","-0.93%"</t>
  </si>
  <si>
    <t>01/10/2024,"18.28","18.00","18.40","17.98","5.86M","0.80%"</t>
  </si>
  <si>
    <t>01/09/2024,"18.14","18.22","18.40","17.95","11.00M","-1.45%"</t>
  </si>
  <si>
    <t>01/08/2024,"18.40","18.37","18.70","18.24","7.00M","0.00%"</t>
  </si>
  <si>
    <t>01/05/2024,"18.40","18.10","18.57","17.99","9.00M","1.83%"</t>
  </si>
  <si>
    <t>01/04/2024,"18.07","18.64","18.71","18.04","10.38M","-3.32%"</t>
  </si>
  <si>
    <t>01/03/2024,"18.69","18.40","18.90","18.33","9.22M","0.96%"</t>
  </si>
  <si>
    <t>01/02/2024,"18.52","18.29","18.57","18.19","12.54M","0.92%"</t>
  </si>
  <si>
    <t>12/28/2023,"18.35","18.26","18.39","17.99","8.81M","0.00%"</t>
  </si>
  <si>
    <t>12/27/2023,"18.35","18.02","18.35","17.92","5.07M","1.83%"</t>
  </si>
  <si>
    <t>12/26/2023,"18.02","17.92","18.07","17.72","6.00M","1.10%"</t>
  </si>
  <si>
    <t>12/22/2023,"17.82","17.70","17.83","17.44","8.73M","0.72%"</t>
  </si>
  <si>
    <t>12/21/2023,"17.69","17.22","17.73","17.17","10.37M","2.90%"</t>
  </si>
  <si>
    <t>12/20/2023,"17.20","17.38","17.49","17.06","13.15M","-0.46%"</t>
  </si>
  <si>
    <t>12/19/2023,"17.27","17.42","17.50","17.01","12.23M","-0.46%"</t>
  </si>
  <si>
    <t>12/18/2023,"17.35","17.45","17.57","17.21","16.13M","-0.32%"</t>
  </si>
  <si>
    <t>12/15/2023,"17.41","17.19","17.58","17.04","13.84M","1.38%"</t>
  </si>
  <si>
    <t>12/14/2023,"17.17","17.42","17.64","16.92","17.66M","-0.09%"</t>
  </si>
  <si>
    <t>12/13/2023,"17.19","17.02","17.23","16.93","15.17M","1.02%"</t>
  </si>
  <si>
    <t>12/12/2023,"17.01","17.46","17.47","16.82","11.92M","-2.54%"</t>
  </si>
  <si>
    <t>12/11/2023,"17.46","17.65","17.72","17.36","8.41M","-2.00%"</t>
  </si>
  <si>
    <t>12/08/2023,"17.81","17.42","18.08","17.22","15.50M","2.32%"</t>
  </si>
  <si>
    <t>12/07/2023,"17.41","17.36","17.54","17.23","11.44M","0.92%"</t>
  </si>
  <si>
    <t>12/06/2023,"17.25","17.42","17.76","17.01","20.27M","-0.86%"</t>
  </si>
  <si>
    <t>12/05/2023,"17.40","18.37","18.54","17.20","30.93M","-5.26%"</t>
  </si>
  <si>
    <t>12/04/2023,"18.37","19.04","19.04","18.22","12.41M","-3.93%"</t>
  </si>
  <si>
    <t>12/01/2023,"19.12","18.44","19.16","18.28","18.41M","3.43%"</t>
  </si>
  <si>
    <t>11/30/2023,"18.49","17.97","18.51","17.92","23.76M","3.23%"</t>
  </si>
  <si>
    <t>11/29/2023,"17.91","17.46","18.09","17.33","27.31M","3.48%"</t>
  </si>
  <si>
    <t>11/28/2023,"17.31","17.17","17.95","17.12","36.62M","0.78%"</t>
  </si>
  <si>
    <t>11/27/2023,"17.17","17.30","17.84","16.55","45.68M","-2.43%"</t>
  </si>
  <si>
    <t>11/24/2023,"17.60","17.54","17.73","17.46","3.16M","0.05%"</t>
  </si>
  <si>
    <t>11/23/2023,"17.59","17.27","17.73","17.23","5.16M","1.09%"</t>
  </si>
  <si>
    <t>11/22/2023,"17.40","17.19","17.46","17.15","15.09M","1.90%"</t>
  </si>
  <si>
    <t>11/21/2023,"17.08","17.05","17.16","16.83","8.82M","-0.78%"</t>
  </si>
  <si>
    <t>11/20/2023,"17.21","17.01","17.25","16.87","7.98M","1.21%"</t>
  </si>
  <si>
    <t>11/17/2023,"17.01","17.26","17.29","16.86","14.58M","-1.10%"</t>
  </si>
  <si>
    <t>11/16/2023,"17.20","17.30","17.51","17.05","14.33M","-0.37%"</t>
  </si>
  <si>
    <t>11/14/2023,"17.26","17.10","17.51","17.04","13.23M","1.73%"</t>
  </si>
  <si>
    <t>11/13/2023,"16.97","16.93","17.07","16.78","9.10M","0.28%"</t>
  </si>
  <si>
    <t>11/10/2023,"16.92","17.16","17.27","16.69","15.01M","-0.37%"</t>
  </si>
  <si>
    <t>11/09/2023,"16.98","17.27","17.45","16.78","18.98M","-1.74%"</t>
  </si>
  <si>
    <t>11/08/2023,"17.28","17.13","17.58","17.03","13.37M","0.88%"</t>
  </si>
  <si>
    <t>11/07/2023,"17.13","17.28","17.45","16.88","35.75M","5.61%"</t>
  </si>
  <si>
    <t>11/06/2023,"16.22","16.32","16.32","16.00","6.32M","0.10%"</t>
  </si>
  <si>
    <t>11/03/2023,"16.21","16.33","16.39","15.75","11.65M","1.59%"</t>
  </si>
  <si>
    <t>11/01/2023,"15.95","15.71","16.18","15.71","12.00M","1.82%"</t>
  </si>
  <si>
    <t>10/31/2023,"15.67","15.80","15.82","15.37","9.72M","0.15%"</t>
  </si>
  <si>
    <t>10/30/2023,"15.64","15.91","16.10","15.47","6.96M","-1.59%"</t>
  </si>
  <si>
    <t>10/27/2023,"15.90","16.39","16.55","15.85","6.15M","-2.90%"</t>
  </si>
  <si>
    <t>10/26/2023,"16.37","15.94","16.52","15.84","9.94M","3.56%"</t>
  </si>
  <si>
    <t>10/25/2023,"15.81","15.76","15.94","15.56","6.70M","0.35%"</t>
  </si>
  <si>
    <t>10/24/2023,"15.75","15.71","15.81","15.52","6.77M","1.27%"</t>
  </si>
  <si>
    <t>10/23/2023,"15.56","15.49","15.70","15.36","4.89M","0.41%"</t>
  </si>
  <si>
    <t>10/20/2023,"15.49","15.17","15.64","15.16","14.26M","1.29%"</t>
  </si>
  <si>
    <t>10/19/2023,"15.30","15.10","15.53","14.88","7.26M","1.26%"</t>
  </si>
  <si>
    <t>10/18/2023,"15.11","15.44","15.46","15.03","8.84M","-2.90%"</t>
  </si>
  <si>
    <t>10/17/2023,"15.56","15.56","15.79","15.46","6.71M","-1.21%"</t>
  </si>
  <si>
    <t>10/16/2023,"15.75","15.87","15.90","15.60","4.13M","0.00%"</t>
  </si>
  <si>
    <t>10/13/2023,"15.75","16.01","16.06","15.56","11.17M","-1.34%"</t>
  </si>
  <si>
    <t>10/11/2023,"15.96","15.99","16.09","15.73","6.87M","-0.69%"</t>
  </si>
  <si>
    <t>10/10/2023,"16.07","15.33","16.11","15.32","9.52M","4.48%"</t>
  </si>
  <si>
    <t>10/09/2023,"15.38","15.05","15.42","14.98","6.49M","1.99%"</t>
  </si>
  <si>
    <t>10/06/2023,"15.08","14.87","15.17","14.58","7.85M","0.74%"</t>
  </si>
  <si>
    <t>10/05/2023,"14.97","14.99","15.11","14.73","6.55M","-0.63%"</t>
  </si>
  <si>
    <t>10/04/2023,"15.07","14.74","15.26","14.61","11.00M","2.31%"</t>
  </si>
  <si>
    <t>10/03/2023,"14.73","14.89","15.34","14.70","13.04M","-0.85%"</t>
  </si>
  <si>
    <t>10/02/2023,"14.85","14.94","15.05","14.82","3.74M","-0.85%"</t>
  </si>
  <si>
    <t>09/29/2023,"14.98","15.11","15.32","14.80","5.49M","0.42%"</t>
  </si>
  <si>
    <t>09/28/2023,"14.92","14.61","14.99","14.60","7.72M","2.06%"</t>
  </si>
  <si>
    <t>09/27/2023,"14.61","14.55","14.83","14.33","9.17M","0.60%"</t>
  </si>
  <si>
    <t>09/26/2023,"14.53","14.78","14.99","14.48","9.68M","-2.29%"</t>
  </si>
  <si>
    <t>09/25/2023,"14.87","14.83","15.05","14.71","5.61M","0.27%"</t>
  </si>
  <si>
    <t>09/22/2023,"14.83","15.17","15.33","14.78","11.16M","-1.99%"</t>
  </si>
  <si>
    <t>09/21/2023,"15.13","14.84","15.33","14.84","18.40M","0.83%"</t>
  </si>
  <si>
    <t>09/20/2023,"15.01","14.87","15.19","14.86","8.01M","1.36%"</t>
  </si>
  <si>
    <t>09/19/2023,"14.80","15.01","15.05","14.74","6.45M","-1.09%"</t>
  </si>
  <si>
    <t>09/18/2023,"14.97","14.94","15.16","14.80","7.90M","0.36%"</t>
  </si>
  <si>
    <t>09/15/2023,"14.91","14.97","15.08","14.83","15.27M","-0.52%"</t>
  </si>
  <si>
    <t>09/14/2023,"14.99","14.69","15.04","14.56","10.51M","2.43%"</t>
  </si>
  <si>
    <t>09/13/2023,"14.63","14.66","14.98","14.56","11.51M","-0.16%"</t>
  </si>
  <si>
    <t>09/12/2023,"14.66","14.40","14.70","14.40","6.59M","2.05%"</t>
  </si>
  <si>
    <t>09/11/2023,"14.36","14.17","14.47","13.88","19.18M","-21.17%"</t>
  </si>
  <si>
    <t>09/09/2023,"18.22","18.22","18.22","18.22","","29.08%"</t>
  </si>
  <si>
    <t>09/08/2023,"14.12","14.45","14.52","14.03","12.97M","-2.36%"</t>
  </si>
  <si>
    <t>09/06/2023,"14.46","14.59","14.71","14.43","9.70M","-0.69%"</t>
  </si>
  <si>
    <t>09/05/2023,"14.56","14.53","14.68","14.49","7.14M","-0.69%"</t>
  </si>
  <si>
    <t>09/04/2023,"14.66","14.62","14.80","14.53","6.61M","-22.61%"</t>
  </si>
  <si>
    <t>09/02/2023,"18.94","18.94","18.94","18.94","","29.15%"</t>
  </si>
  <si>
    <t>09/01/2023,"14.67","14.47","15.04","14.42","15.90M","2.60%"</t>
  </si>
  <si>
    <t>08/31/2023,"14.29","14.62","15.02","14.24","23.50M","-2.79%"</t>
  </si>
  <si>
    <t>08/30/2023,"14.70","14.84","14.91","14.63","5.12M","-0.42%"</t>
  </si>
  <si>
    <t>08/29/2023,"14.77","14.61","14.78","14.52","4.85M","2.03%"</t>
  </si>
  <si>
    <t>08/28/2023,"14.47","14.32","14.58","14.19","5.99M","1.25%"</t>
  </si>
  <si>
    <t>08/25/2023,"14.29","14.39","14.63","14.22","7.76M","-0.70%"</t>
  </si>
  <si>
    <t>08/24/2023,"14.39","14.52","14.60","14.25","8.77M","-0.64%"</t>
  </si>
  <si>
    <t>08/23/2023,"14.49","14.60","15.05","14.42","17.02M","-1.21%"</t>
  </si>
  <si>
    <t>08/22/2023,"14.67","13.63","14.67","13.63","21.60M","7.61%"</t>
  </si>
  <si>
    <t>08/21/2023,"13.63","13.81","14.05","13.61","6.98M","-1.29%"</t>
  </si>
  <si>
    <t>08/18/2023,"13.81","13.70","14.00","13.65","4.34M","0.73%"</t>
  </si>
  <si>
    <t>08/17/2023,"13.70","14.06","14.40","13.70","13.42M","-2.37%"</t>
  </si>
  <si>
    <t>08/16/2023,"14.04","13.58","14.29","13.54","29.23M","2.89%"</t>
  </si>
  <si>
    <t>08/15/2023,"13.64","13.16","13.76","13.12","19.11M","7.77%"</t>
  </si>
  <si>
    <t>08/14/2023,"12.66","12.80","12.85","12.57","7.20M","-1.51%"</t>
  </si>
  <si>
    <t>08/11/2023,"12.85","12.72","13.15","12.64","11.57M","0.73%"</t>
  </si>
  <si>
    <t>08/10/2023,"12.76","13.16","13.33","12.70","14.25M","-2.31%"</t>
  </si>
  <si>
    <t>08/09/2023,"13.06","13.36","13.36","13.02","9.22M","-2.20%"</t>
  </si>
  <si>
    <t>08/08/2023,"13.36","13.15","13.53","12.98","5.92M","0.52%"</t>
  </si>
  <si>
    <t>08/07/2023,"13.29","13.28","13.36","13.17","4.13M","0.29%"</t>
  </si>
  <si>
    <t>08/04/2023,"13.25","13.33","13.59","13.19","5.63M","-0.64%"</t>
  </si>
  <si>
    <t>08/03/2023,"13.33","13.51","13.68","13.29","8.79M","-0.12%"</t>
  </si>
  <si>
    <t>08/02/2023,"13.35","13.12","13.54","13.09","6.32M","1.06%"</t>
  </si>
  <si>
    <t>08/01/2023,"13.21","13.16","13.27","13.05","4.67M","-0.41%"</t>
  </si>
  <si>
    <t>07/31/2023,"13.26","13.29","13.36","13.17","5.76M","1.00%"</t>
  </si>
  <si>
    <t>07/28/2023,"13.13","13.20","13.33","13.05","6.54M","0.12%"</t>
  </si>
  <si>
    <t>07/27/2023,"13.12","13.42","13.46","13.07","8.45M","-2.36%"</t>
  </si>
  <si>
    <t>07/26/2023,"13.43","13.64","13.67","13.31","6.66M","-1.20%"</t>
  </si>
  <si>
    <t>07/25/2023,"13.60","13.95","14.28","13.60","7.44M","-0.79%"</t>
  </si>
  <si>
    <t>07/24/2023,"13.70","13.35","13.74","13.29","11.18M","2.49%"</t>
  </si>
  <si>
    <t>07/21/2023,"13.37","13.08","13.57","13.00","11.82M","2.86%"</t>
  </si>
  <si>
    <t>07/20/2023,"13.00","13.19","13.19","12.86","11.74M","-0.42%"</t>
  </si>
  <si>
    <t>07/19/2023,"13.05","13.26","13.30","12.96","7.53M","-2.03%"</t>
  </si>
  <si>
    <t>07/18/2023,"13.33","13.43","13.52","13.22","8.67M","-1.43%"</t>
  </si>
  <si>
    <t>07/17/2023,"13.52","13.22","13.57","13.16","4.55M","1.33%"</t>
  </si>
  <si>
    <t>07/14/2023,"13.34","13.77","13.84","13.26","10.51M","-3.74%"</t>
  </si>
  <si>
    <t>07/13/2023,"13.86","13.62","14.09","13.46","4.97M","1.19%"</t>
  </si>
  <si>
    <t>07/12/2023,"13.70","13.94","13.98","13.65","6.01M","-0.84%"</t>
  </si>
  <si>
    <t>07/11/2023,"13.81","13.97","13.98","13.49","10.69M","-2.09%"</t>
  </si>
  <si>
    <t>07/10/2023,"14.11","14.19","14.32","13.91","5.72M","-0.49%"</t>
  </si>
  <si>
    <t>07/07/2023,"14.18","14.00","14.44","13.92","10.51M","2.23%"</t>
  </si>
  <si>
    <t>07/06/2023,"13.87","14.03","14.06","13.74","7.12M","-1.76%"</t>
  </si>
  <si>
    <t>07/05/2023,"14.12","13.71","14.22","13.64","6.58M","2.42%"</t>
  </si>
  <si>
    <t>07/04/2023,"13.78","13.94","13.95","13.74","3.45M","-1.33%"</t>
  </si>
  <si>
    <t>07/03/2023,"13.97","13.89","14.18","13.84","7.47M","-0.06%"</t>
  </si>
  <si>
    <t>06/30/2023,"13.98","14.10","14.39","13.95","15.92M","0.28%"</t>
  </si>
  <si>
    <t>06/29/2023,"13.94","13.13","14.10","13.13","23.82M","5.94%"</t>
  </si>
  <si>
    <t>06/28/2023,"13.16","13.23","13.40","13.09","11.20M","-0.35%"</t>
  </si>
  <si>
    <t>06/27/2023,"13.20","14.00","14.03","12.88","28.43M","-5.01%"</t>
  </si>
  <si>
    <t>06/26/2023,"13.90","14.22","14.22","13.86","10.18M","-2.34%"</t>
  </si>
  <si>
    <t>06/23/2023,"14.23","14.17","14.26","13.95","11.11M","0.44%"</t>
  </si>
  <si>
    <t>06/22/2023,"14.17","13.91","14.32","13.71","12.86M","0.83%"</t>
  </si>
  <si>
    <t>06/21/2023,"14.05","13.88","14.06","13.70","10.47M","1.17%"</t>
  </si>
  <si>
    <t>06/20/2023,"13.89","13.81","13.91","13.66","7.06M","0.56%"</t>
  </si>
  <si>
    <t>06/19/2023,"13.81","13.64","13.87","13.64","3.81M","1.31%"</t>
  </si>
  <si>
    <t>06/16/2023,"13.64","13.53","13.72","13.46","14.52M","0.40%"</t>
  </si>
  <si>
    <t>06/15/2023,"13.58","13.76","13.91","13.39","11.21M","-1.57%"</t>
  </si>
  <si>
    <t>06/14/2023,"13.80","13.67","13.82","13.45","10.99M","1.37%"</t>
  </si>
  <si>
    <t>06/13/2023,"13.61","13.78","13.88","13.53","7.94M","-0.17%"</t>
  </si>
  <si>
    <t>06/12/2023,"13.64","13.57","13.88","13.50","7.53M","0.46%"</t>
  </si>
  <si>
    <t>06/09/2023,"13.57","13.60","13.86","13.56","8.99M","0.63%"</t>
  </si>
  <si>
    <t>06/07/2023,"13.49","13.57","13.64","13.33","7.04M","0.40%"</t>
  </si>
  <si>
    <t>06/06/2023,"13.43","13.29","13.46","13.20","6.07M","1.94%"</t>
  </si>
  <si>
    <t>06/05/2023,"13.18","13.41","13.53","13.11","13.89M","-2.01%"</t>
  </si>
  <si>
    <t>06/02/2023,"13.45","13.32","13.52","13.18","17.68M","2.60%"</t>
  </si>
  <si>
    <t>06/01/2023,"13.11","12.50","13.18","12.47","23.41M","5.22%"</t>
  </si>
  <si>
    <t>05/31/2023,"12.46","12.37","12.61","12.18","22.11M","0.25%"</t>
  </si>
  <si>
    <t>05/30/2023,"12.43","12.88","12.95","12.20","20.95M","-2.43%"</t>
  </si>
  <si>
    <t>05/29/2023,"12.74","13.00","13.08","12.70","12.19M","-3.91%"</t>
  </si>
  <si>
    <t>05/26/2023,"13.26","13.38","13.46","13.05","14.43M","1.00%"</t>
  </si>
  <si>
    <t>05/25/2023,"13.12","13.53","13.98","13.12","29.85M","-1.22%"</t>
  </si>
  <si>
    <t>05/24/2023,"13.29","13.00","13.70","12.96","20.06M","1.06%"</t>
  </si>
  <si>
    <t>05/23/2023,"13.15","13.08","13.40","12.98","18.22M","0.53%"</t>
  </si>
  <si>
    <t>05/22/2023,"13.08","12.83","13.19","12.79","20.26M","1.93%"</t>
  </si>
  <si>
    <t>05/19/2023,"12.83","12.61","12.93","12.43","22.16M","2.28%"</t>
  </si>
  <si>
    <t>05/18/2023,"12.54","12.06","12.69","12.06","18.53M","3.32%"</t>
  </si>
  <si>
    <t>05/17/2023,"12.14","11.63","12.21","11.59","13.60M","6.23%"</t>
  </si>
  <si>
    <t>05/16/2023,"11.43","11.23","11.75","11.23","26.19M","1.44%"</t>
  </si>
  <si>
    <t>05/15/2023,"11.27","11.04","11.34","10.69","24.26M","1.04%"</t>
  </si>
  <si>
    <t>05/12/2023,"11.15","11.07","11.35","11.03","15.80M","-0.76%"</t>
  </si>
  <si>
    <t>05/11/2023,"11.23","11.16","11.54","11.03","15.22M","0.14%"</t>
  </si>
  <si>
    <t>05/10/2023,"11.22","11.12","11.27","11.07","4.86M","0.91%"</t>
  </si>
  <si>
    <t>05/09/2023,"11.12","10.89","11.19","10.85","10.05M","1.84%"</t>
  </si>
  <si>
    <t>05/08/2023,"10.92","10.82","11.14","10.79","11.79M","-20.31%"</t>
  </si>
  <si>
    <t>05/06/2023,"13.70","13.70","13.70","13.70","","28.40%"</t>
  </si>
  <si>
    <t>05/05/2023,"10.67","10.28","10.73","10.25","17.52M","4.95%"</t>
  </si>
  <si>
    <t>05/04/2023,"10.17","9.95","10.26","9.86","24.26M","4.62%"</t>
  </si>
  <si>
    <t>05/03/2023,"9.72","9.53","9.82","9.42","21.83M","1.78%"</t>
  </si>
  <si>
    <t>05/02/2023,"9.55","10.20","10.22","9.49","42.10M","-6.59%"</t>
  </si>
  <si>
    <t>04/28/2023,"10.22","10.23","10.37","10.04","31.64M","0.53%"</t>
  </si>
  <si>
    <t>04/27/2023,"10.17","10.19","10.22","10.07","6.72M","0.54%"</t>
  </si>
  <si>
    <t>04/26/2023,"10.11","10.32","10.32","10.09","7.59M","-2.03%"</t>
  </si>
  <si>
    <t>04/25/2023,"10.32","10.26","10.40","10.17","5.61M","0.68%"</t>
  </si>
  <si>
    <t>04/24/2023,"10.25","10.29","10.34","10.10","8.32M","-0.68%"</t>
  </si>
  <si>
    <t>04/20/2023,"10.32","10.12","10.35","10.04","7.42M","2.22%"</t>
  </si>
  <si>
    <t>04/19/2023,"10.10","10.21","10.31","10.01","14.07M","-2.83%"</t>
  </si>
  <si>
    <t>04/18/2023,"10.39","10.72","10.76","10.38","11.25M","-2.82%"</t>
  </si>
  <si>
    <t>04/17/2023,"10.69","10.70","10.76","10.54","8.88M","0.07%"</t>
  </si>
  <si>
    <t>04/14/2023,"10.69","10.87","10.87","10.47","14.95M","-1.78%"</t>
  </si>
  <si>
    <t>04/13/2023,"10.88","11.44","11.44","10.80","18.90M","-3.77%"</t>
  </si>
  <si>
    <t>04/12/2023,"11.30","11.28","11.61","11.17","11.51M","0.41%"</t>
  </si>
  <si>
    <t>04/11/2023,"11.26","10.95","11.36","10.89","10.42M","3.93%"</t>
  </si>
  <si>
    <t>04/10/2023,"10.83","11.06","11.10","10.76","8.42M","-0.78%"</t>
  </si>
  <si>
    <t>04/06/2023,"10.92","10.96","11.16","10.89","5.99M","-0.84%"</t>
  </si>
  <si>
    <t>04/05/2023,"11.01","10.99","11.06","10.72","11.16M","0.14%"</t>
  </si>
  <si>
    <t>04/04/2023,"10.99","10.94","11.10","10.82","6.16M","0.85%"</t>
  </si>
  <si>
    <t>04/03/2023,"10.90","11.22","11.23","10.74","8.61M","-2.29%"</t>
  </si>
  <si>
    <t>03/31/2023,"11.16","11.03","11.26","10.93","20.38M","1.55%"</t>
  </si>
  <si>
    <t>03/30/2023,"10.99","10.84","11.06","10.79","13.21M","2.45%"</t>
  </si>
  <si>
    <t>03/29/2023,"10.72","10.55","10.77","10.43","9.35M","2.29%"</t>
  </si>
  <si>
    <t>03/28/2023,"10.48","10.37","10.68","10.25","9.83M","0.82%"</t>
  </si>
  <si>
    <t>03/27/2023,"10.40","10.16","10.48","10.10","7.42M","3.07%"</t>
  </si>
  <si>
    <t>03/24/2023,"10.09","10.07","10.29","10.00","10.59M","0.77%"</t>
  </si>
  <si>
    <t>03/23/2023,"10.01","10.47","10.53","9.89","11.97M","-3.00%"</t>
  </si>
  <si>
    <t>03/22/2023,"10.32","10.88","10.98","10.11","49.61M","-6.46%"</t>
  </si>
  <si>
    <t>03/21/2023,"11.03","10.94","11.15","10.89","6.85M","1.21%"</t>
  </si>
  <si>
    <t>03/20/2023,"10.90","11.16","11.17","10.83","11.61M","-2.29%"</t>
  </si>
  <si>
    <t>03/17/2023,"11.16","11.46","11.46","11.11","13.01M","-2.83%"</t>
  </si>
  <si>
    <t>03/16/2023,"11.48","11.50","11.65","11.38","9.58M","-0.54%"</t>
  </si>
  <si>
    <t>03/15/2023,"11.54","11.38","11.64","11.21","9.13M","-0.07%"</t>
  </si>
  <si>
    <t>03/14/2023,"11.55","11.64","11.83","11.41","6.63M","-1.00%"</t>
  </si>
  <si>
    <t>03/13/2023,"11.67","11.75","11.95","11.48","9.52M","-1.44%"</t>
  </si>
  <si>
    <t>03/10/2023,"11.84","11.74","12.02","11.62","11.86M","0.07%"</t>
  </si>
  <si>
    <t>03/09/2023,"11.83","11.65","12.21","11.65","12.79M","0.66%"</t>
  </si>
  <si>
    <t>03/08/2023,"11.75","11.46","11.80","11.34","7.55M","3.05%"</t>
  </si>
  <si>
    <t>03/07/2023,"11.41","11.60","11.60","11.23","13.08M","-1.47%"</t>
  </si>
  <si>
    <t>03/06/2023,"11.58","11.58","11.73","11.41","6.60M","1.01%"</t>
  </si>
  <si>
    <t>03/03/2023,"11.46","11.08","11.67","11.07","11.13M","3.93%"</t>
  </si>
  <si>
    <t>03/02/2023,"11.03","11.10","11.32","11.03","12.94M","-0.77%"</t>
  </si>
  <si>
    <t>03/01/2023,"11.11","11.47","11.56","11.04","9.55M","-2.97%"</t>
  </si>
  <si>
    <t>02/28/2023,"11.45","11.31","11.68","11.30","10.77M","0.89%"</t>
  </si>
  <si>
    <t>02/27/2023,"11.35","11.56","11.63","11.27","10.74M","-1.61%"</t>
  </si>
  <si>
    <t>02/24/2023,"11.54","11.71","11.80","11.41","6.43M","-1.26%"</t>
  </si>
  <si>
    <t>02/23/2023,"11.68","11.78","11.89","11.55","8.16M","-0.26%"</t>
  </si>
  <si>
    <t>02/22/2023,"11.72","11.85","11.85","11.56","6.73M","-1.82%"</t>
  </si>
  <si>
    <t>02/17/2023,"11.93","12.08","12.16","11.89","11.70M","-1.09%"</t>
  </si>
  <si>
    <t>02/16/2023,"12.06","11.92","12.19","11.71","14.27M","-0.19%"</t>
  </si>
  <si>
    <t>02/15/2023,"12.09","11.81","12.20","11.76","10.61M","2.09%"</t>
  </si>
  <si>
    <t>02/14/2023,"11.84","12.16","12.30","11.72","11.27M","-2.86%"</t>
  </si>
  <si>
    <t>02/13/2023,"12.19","11.85","12.30","11.81","5.30M","2.21%"</t>
  </si>
  <si>
    <t>02/10/2023,"11.92","12.12","12.26","11.68","13.67M","-1.66%"</t>
  </si>
  <si>
    <t>02/09/2023,"12.13","12.68","12.72","12.06","18.55M","-4.63%"</t>
  </si>
  <si>
    <t>02/08/2023,"12.71","12.36","12.71","12.22","6.53M","3.14%"</t>
  </si>
  <si>
    <t>02/07/2023,"12.33","12.67","12.68","12.24","8.20M","-2.09%"</t>
  </si>
  <si>
    <t>02/06/2023,"12.59","12.20","12.74","12.10","16.60M","3.90%"</t>
  </si>
  <si>
    <t>02/03/2023,"12.12","12.44","12.47","11.95","9.18M","-3.87%"</t>
  </si>
  <si>
    <t>02/02/2023,"12.61","12.32","12.74","12.26","11.58M","2.01%"</t>
  </si>
  <si>
    <t>02/01/2023,"12.36","12.74","12.81","12.23","7.57M","-3.04%"</t>
  </si>
  <si>
    <t>01/31/2023,"12.74","12.33","12.84","12.33","16.15M","3.85%"</t>
  </si>
  <si>
    <t>01/30/2023,"12.27","12.39","12.45","12.07","7.31M","-1.00%"</t>
  </si>
  <si>
    <t>01/27/2023,"12.40","12.33","12.41","12.13","9.55M","0.38%"</t>
  </si>
  <si>
    <t>01/26/2023,"12.35","12.45","12.62","12.24","9.19M","-0.25%"</t>
  </si>
  <si>
    <t>01/25/2023,"12.38","12.04","12.41","11.93","11.81M","3.43%"</t>
  </si>
  <si>
    <t>01/24/2023,"11.97","11.58","11.98","11.58","9.47M","3.69%"</t>
  </si>
  <si>
    <t>01/23/2023,"11.54","11.70","11.86","11.52","5.08M","-1.39%"</t>
  </si>
  <si>
    <t>01/20/2023,"11.71","11.85","11.87","11.57","6.12M","-1.37%"</t>
  </si>
  <si>
    <t>01/19/2023,"11.87","11.70","11.94","11.56","8.12M","0.39%"</t>
  </si>
  <si>
    <t>01/18/2023,"11.82","11.93","12.24","11.78","15.79M","0.13%"</t>
  </si>
  <si>
    <t>01/17/2023,"11.81","11.49","11.85","11.48","16.40M","3.18%"</t>
  </si>
  <si>
    <t>01/16/2023,"11.44","11.35","11.61","11.24","15.57M","0.07%"</t>
  </si>
  <si>
    <t>01/13/2023,"11.44","11.50","11.64","11.36","9.66M","-2.19%"</t>
  </si>
  <si>
    <t>01/12/2023,"11.69","11.34","11.78","11.30","12.54M","0.40%"</t>
  </si>
  <si>
    <t>01/11/2023,"11.65","11.53","11.70","11.32","15.98M","1.01%"</t>
  </si>
  <si>
    <t>01/10/2023,"11.53","11.34","11.64","11.19","11.73M","1.15%"</t>
  </si>
  <si>
    <t>01/09/2023,"11.40","11.34","11.52","11.18","8.20M","-0.88%"</t>
  </si>
  <si>
    <t>01/06/2023,"11.50","11.40","11.66","11.31","7.48M","0.68%"</t>
  </si>
  <si>
    <t>01/05/2023,"11.42","11.51","11.67","11.25","12.70M","0.48%"</t>
  </si>
  <si>
    <t>01/04/2023,"11.37","11.25","11.42","11.02","9.09M","2.95%"</t>
  </si>
  <si>
    <t>01/03/2023,"11.04","11.45","11.49","10.99","9.43M","-2.99%"</t>
  </si>
  <si>
    <t>01/02/2023,"11.38","11.86","11.89","11.31","5.72M","-5.47%"</t>
  </si>
  <si>
    <t>12/29/2022,"12.04","12.13","12.35","11.96","16.13M","0.19%"</t>
  </si>
  <si>
    <t>12/28/2022,"12.02","11.70","12.11","11.70","5.21M","3.12%"</t>
  </si>
  <si>
    <t>12/27/2022,"11.65","11.85","11.98","11.54","4.19M","-1.25%"</t>
  </si>
  <si>
    <t>12/26/2022,"11.80","12.13","12.26","11.71","3.71M","-3.24%"</t>
  </si>
  <si>
    <t>12/23/2022,"12.20","11.96","12.43","11.90","12.29M","2.41%"</t>
  </si>
  <si>
    <t>12/22/2022,"11.91","11.81","12.08","11.73","11.12M","1.79%"</t>
  </si>
  <si>
    <t>12/21/2022,"11.70","11.41","11.85","11.19","20.89M","3.13%"</t>
  </si>
  <si>
    <t>12/20/2022,"11.34","11.13","11.62","10.92","28.96M","1.55%"</t>
  </si>
  <si>
    <t>12/19/2022,"11.17","10.94","11.25","10.87","14.08M","3.86%"</t>
  </si>
  <si>
    <t>12/16/2022,"10.76","10.88","11.01","10.68","12.32M","-0.97%"</t>
  </si>
  <si>
    <t>12/15/2022,"10.86","10.76","11.14","10.60","7.50M","0.14%"</t>
  </si>
  <si>
    <t>12/14/2022,"10.85","10.67","11.04","10.43","18.80M","0.56%"</t>
  </si>
  <si>
    <t>12/13/2022,"10.79","11.06","11.25","10.73","9.93M","-2.12%"</t>
  </si>
  <si>
    <t>12/12/2022,"11.02","11.25","11.40","10.79","9.30M","-2.21%"</t>
  </si>
  <si>
    <t>12/09/2022,"11.27","11.36","11.53","11.22","9.00M","-0.80%"</t>
  </si>
  <si>
    <t>12/08/2022,"11.36","11.70","11.77","11.17","17.18M","-3.46%"</t>
  </si>
  <si>
    <t>12/07/2022,"11.77","11.99","12.15","11.72","6.78M","-0.76%"</t>
  </si>
  <si>
    <t>12/06/2022,"11.86","11.87","11.93","11.74","10.60M","0.58%"</t>
  </si>
  <si>
    <t>12/05/2022,"11.79","12.26","12.26","11.78","7.89M","-4.41%"</t>
  </si>
  <si>
    <t>12/02/2022,"12.33","12.27","12.75","12.03","11.01M","0.93%"</t>
  </si>
  <si>
    <t>12/01/2022,"12.22","12.38","12.52","12.08","10.27M","-2.06%"</t>
  </si>
  <si>
    <t>11/30/2022,"12.48","12.22","12.49","12.13","19.13M","1.04%"</t>
  </si>
  <si>
    <t>11/29/2022,"12.35","12.17","12.52","12.08","11.58M","2.00%"</t>
  </si>
  <si>
    <t>11/28/2022,"12.11","12.42","12.54","12.10","8.52M","-2.55%"</t>
  </si>
  <si>
    <t>11/25/2022,"12.42","13.01","13.04","12.33","8.34M","-4.80%"</t>
  </si>
  <si>
    <t>11/24/2022,"13.05","12.66","13.10","12.51","7.48M","5.43%"</t>
  </si>
  <si>
    <t>11/23/2022,"12.38","12.80","12.80","12.27","10.20M","-2.84%"</t>
  </si>
  <si>
    <t>11/22/2022,"12.74","13.05","13.24","12.59","9.18M","-2.26%"</t>
  </si>
  <si>
    <t>11/21/2022,"13.04","13.04","13.22","12.85","12.28M","0.58%"</t>
  </si>
  <si>
    <t>11/18/2022,"12.96","12.77","13.15","12.73","14.53M","2.32%"</t>
  </si>
  <si>
    <t>11/17/2022,"12.67","12.21","12.79","11.89","12.77M","1.21%"</t>
  </si>
  <si>
    <t>11/16/2022,"12.51","12.83","12.84","12.17","13.18M","-2.81%"</t>
  </si>
  <si>
    <t>11/14/2022,"12.88","13.06","13.27","12.76","6.71M","0.24%"</t>
  </si>
  <si>
    <t>11/11/2022,"12.85","12.85","13.00","12.25","33.08M","-0.93%"</t>
  </si>
  <si>
    <t>11/10/2022,"12.97","13.47","13.59","12.73","28.21M","-6.68%"</t>
  </si>
  <si>
    <t>11/09/2022,"13.90","13.89","14.15","13.78","6.24M","-0.65%"</t>
  </si>
  <si>
    <t>11/08/2022,"13.99","13.81","14.16","13.64","5.67M","0.49%"</t>
  </si>
  <si>
    <t>11/07/2022,"13.92","14.49","14.83","13.85","10.93M","-5.44%"</t>
  </si>
  <si>
    <t>11/04/2022,"14.72","14.93","15.04","14.51","9.39M","0.98%"</t>
  </si>
  <si>
    <t>11/03/2022,"14.58","14.05","14.85","14.05","16.90M","1.63%"</t>
  </si>
  <si>
    <t>11/01/2022,"14.34","13.96","14.58","13.86","10.79M","4.11%"</t>
  </si>
  <si>
    <t>10/31/2022,"13.78","13.05","13.87","12.89","9.68M","3.93%"</t>
  </si>
  <si>
    <t>10/28/2022,"13.25","13.17","13.38","13.13","4.58M","-0.17%"</t>
  </si>
  <si>
    <t>10/27/2022,"13.28","12.82","13.52","12.72","7.25M","4.95%"</t>
  </si>
  <si>
    <t>10/26/2022,"12.65","12.93","12.97","12.65","8.25M","-3.57%"</t>
  </si>
  <si>
    <t>10/25/2022,"13.12","13.44","13.45","13.06","6.78M","-1.81%"</t>
  </si>
  <si>
    <t>10/24/2022,"13.36","13.77","13.96","13.33","7.82M","-4.12%"</t>
  </si>
  <si>
    <t>10/21/2022,"13.93","13.71","14.03","13.65","13.75M","1.43%"</t>
  </si>
  <si>
    <t>10/20/2022,"13.74","13.86","14.00","13.67","9.13M","-0.27%"</t>
  </si>
  <si>
    <t>10/19/2022,"13.78","13.71","13.88","13.62","7.58M","0.22%"</t>
  </si>
  <si>
    <t>10/18/2022,"13.74","13.02","13.76","12.98","11.85M","6.12%"</t>
  </si>
  <si>
    <t>10/17/2022,"12.95","12.76","13.13","12.65","5.71M","2.88%"</t>
  </si>
  <si>
    <t>10/14/2022,"12.59","12.92","13.00","12.56","6.32M","-2.63%"</t>
  </si>
  <si>
    <t>10/13/2022,"12.93","13.00","13.11","12.82","14.45M","-1.44%"</t>
  </si>
  <si>
    <t>10/11/2022,"13.12","13.61","13.66","13.03","12.29M","-3.55%"</t>
  </si>
  <si>
    <t>10/10/2022,"13.60","14.02","14.02","13.50","6.93M","-1.96%"</t>
  </si>
  <si>
    <t>10/07/2022,"13.87","13.79","14.01","13.71","6.49M","0.44%"</t>
  </si>
  <si>
    <t>10/06/2022,"13.81","14.03","14.04","13.71","22.03M","-0.92%"</t>
  </si>
  <si>
    <t>10/05/2022,"13.94","14.02","14.08","13.74","10.98M","-0.27%"</t>
  </si>
  <si>
    <t>10/04/2022,"13.98","14.27","14.37","13.92","9.25M","-0.27%"</t>
  </si>
  <si>
    <t>10/03/2022,"14.02","13.50","14.14","13.38","14.50M","7.65%"</t>
  </si>
  <si>
    <t>09/30/2022,"13.02","12.69","13.13","12.51","10.88M","2.62%"</t>
  </si>
  <si>
    <t>09/29/2022,"12.69","12.98","12.99","12.59","11.40M","-3.22%"</t>
  </si>
  <si>
    <t>09/28/2022,"13.11","13.07","13.28","12.96","11.02M","0.52%"</t>
  </si>
  <si>
    <t>09/27/2022,"13.04","13.51","13.56","13.02","11.52M","-2.32%"</t>
  </si>
  <si>
    <t>09/26/2022,"13.35","13.93","13.93","13.35","8.53M","-4.48%"</t>
  </si>
  <si>
    <t>09/23/2022,"13.98","14.22","14.30","13.87","7.90M","-2.78%"</t>
  </si>
  <si>
    <t>09/22/2022,"14.38","14.19","14.46","13.91","16.78M","1.87%"</t>
  </si>
  <si>
    <t>09/21/2022,"14.12","13.83","14.26","13.80","22.90M","2.14%"</t>
  </si>
  <si>
    <t>09/20/2022,"13.82","13.77","13.98","13.65","13.88M","1.14%"</t>
  </si>
  <si>
    <t>09/19/2022,"13.66","13.34","13.71","13.12","9.77M","3.31%"</t>
  </si>
  <si>
    <t>09/16/2022,"13.23","13.28","13.29","12.98","14.79M","-1.00%"</t>
  </si>
  <si>
    <t>09/15/2022,"13.36","13.66","13.76","13.29","9.68M","-2.59%"</t>
  </si>
  <si>
    <t>09/14/2022,"13.72","13.79","13.85","13.57","7.22M","-0.48%"</t>
  </si>
  <si>
    <t>09/13/2022,"13.78","13.82","13.88","13.56","12.74M","-1.27%"</t>
  </si>
  <si>
    <t>09/12/2022,"13.96","13.79","13.99","13.75","5.11M","2.34%"</t>
  </si>
  <si>
    <t>09/09/2022,"13.64","13.71","13.77","13.46","9.64M","0.66%"</t>
  </si>
  <si>
    <t>09/08/2022,"13.55","13.77","13.89","13.43","7.27M","-1.61%"</t>
  </si>
  <si>
    <t>09/06/2022,"13.77","13.95","14.00","13.60","6.67M","-2.16%"</t>
  </si>
  <si>
    <t>09/05/2022,"14.08","14.15","14.28","13.95","8.26M","0.96%"</t>
  </si>
  <si>
    <t>09/02/2022,"13.95","13.89","14.15","13.71","8.56M","1.18%"</t>
  </si>
  <si>
    <t>09/01/2022,"13.78","13.74","13.87","13.40","9.47M","1.31%"</t>
  </si>
  <si>
    <t>08/31/2022,"13.60","14.15","14.24","13.60","12.04M","-3.77%"</t>
  </si>
  <si>
    <t>08/30/2022,"14.14","14.03","14.27","13.89","9.79M","0.74%"</t>
  </si>
  <si>
    <t>08/29/2022,"14.03","13.56","14.29","13.49","12.05M","2.88%"</t>
  </si>
  <si>
    <t>08/26/2022,"13.64","13.87","13.99","13.59","5.92M","-1.39%"</t>
  </si>
  <si>
    <t>08/25/2022,"13.83","13.89","13.95","13.66","8.16M","0.21%"</t>
  </si>
  <si>
    <t>08/24/2022,"13.80","13.64","13.99","13.57","5.44M","1.20%"</t>
  </si>
  <si>
    <t>08/23/2022,"13.64","13.43","13.67","13.37","3.75M","1.66%"</t>
  </si>
  <si>
    <t>08/22/2022,"13.42","13.73","13.74","13.36","9.75M","-3.05%"</t>
  </si>
  <si>
    <t>08/19/2022,"13.84","13.44","13.86","13.29","15.95M","1.69%"</t>
  </si>
  <si>
    <t>08/18/2022,"13.61","13.75","13.79","13.34","6.79M","-1.02%"</t>
  </si>
  <si>
    <t>08/17/2022,"13.75","13.81","13.91","13.60","9.49M","-0.96%"</t>
  </si>
  <si>
    <t>08/16/2022,"13.89","14.21","14.26","13.69","26.23M","-2.09%"</t>
  </si>
  <si>
    <t>08/15/2022,"14.18","14.04","14.33","13.83","8.90M","-0.10%"</t>
  </si>
  <si>
    <t>08/12/2022,"14.20","13.53","14.24","13.48","13.32M","5.97%"</t>
  </si>
  <si>
    <t>08/11/2022,"13.40","13.75","13.95","13.30","5.76M","-2.53%"</t>
  </si>
  <si>
    <t>08/10/2022,"13.75","13.59","13.98","13.55","7.60M","2.94%"</t>
  </si>
  <si>
    <t>08/09/2022,"13.35","13.51","13.58","13.14","5.27M","-0.50%"</t>
  </si>
  <si>
    <t>08/08/2022,"13.42","13.48","13.74","13.37","5.67M","-0.44%"</t>
  </si>
  <si>
    <t>08/05/2022,"13.48","13.69","13.70","13.38","10.18M","-0.93%"</t>
  </si>
  <si>
    <t>08/04/2022,"13.60","13.31","13.88","13.29","17.63M","3.26%"</t>
  </si>
  <si>
    <t>08/03/2022,"13.17","12.76","13.26","12.68","8.91M","3.61%"</t>
  </si>
  <si>
    <t>08/02/2022,"12.72","12.54","12.92","12.52","12.88M","1.00%"</t>
  </si>
  <si>
    <t>08/01/2022,"12.59","12.40","12.71","12.31","14.13M","2.04%"</t>
  </si>
  <si>
    <t>07/29/2022,"12.34","12.53","12.55","12.33","11.86M","-1.25%"</t>
  </si>
  <si>
    <t>07/28/2022,"12.49","12.51","12.68","12.37","11.25M","-0.18%"</t>
  </si>
  <si>
    <t>07/27/2022,"12.52","12.01","12.52","11.97","8.62M","4.45%"</t>
  </si>
  <si>
    <t>07/26/2022,"11.98","12.05","12.09","11.91","10.26M","-0.55%"</t>
  </si>
  <si>
    <t>07/25/2022,"12.05","12.35","12.37","12.00","14.67M","-1.69%"</t>
  </si>
  <si>
    <t>07/22/2022,"12.26","12.58","12.58","12.18","6.18M","-2.59%"</t>
  </si>
  <si>
    <t>07/21/2022,"12.58","12.44","12.64","12.32","8.55M","-0.24%"</t>
  </si>
  <si>
    <t>07/20/2022,"12.61","11.87","12.86","11.83","38.86M","5.52%"</t>
  </si>
  <si>
    <t>07/19/2022,"11.95","12.23","12.34","11.91","9.50M","-1.83%"</t>
  </si>
  <si>
    <t>07/18/2022,"12.17","12.60","12.69","12.17","8.30M","-2.32%"</t>
  </si>
  <si>
    <t>07/15/2022,"12.46","12.52","12.60","12.33","6.81M","-0.12%"</t>
  </si>
  <si>
    <t>07/14/2022,"12.48","12.20","12.59","12.17","6.99M","0.78%"</t>
  </si>
  <si>
    <t>07/13/2022,"12.38","11.97","12.57","11.94","12.92M","2.70%"</t>
  </si>
  <si>
    <t>07/12/2022,"12.06","12.00","12.11","11.83","7.93M","0.87%"</t>
  </si>
  <si>
    <t>07/11/2022,"11.95","12.15","12.26","11.90","7.90M","-2.66%"</t>
  </si>
  <si>
    <t>07/08/2022,"12.28","12.27","12.38","12.14","6.50M","0.12%"</t>
  </si>
  <si>
    <t>07/07/2022,"12.26","12.24","12.40","12.19","8.67M","1.22%"</t>
  </si>
  <si>
    <t>07/06/2022,"12.11","12.07","12.26","11.97","10.48M","-0.43%"</t>
  </si>
  <si>
    <t>07/05/2022,"12.17","12.02","12.19","11.80","14.27M","0.37%"</t>
  </si>
  <si>
    <t>07/04/2022,"12.12","12.44","12.54","12.12","5.21M","-3.14%"</t>
  </si>
  <si>
    <t>07/01/2022,"12.52","12.40","12.61","12.23","11.66M","1.08%"</t>
  </si>
  <si>
    <t>06/30/2022,"12.38","12.25","12.52","12.11","14.68M","-1.12%"</t>
  </si>
  <si>
    <t>06/29/2022,"12.52","12.61","12.73","12.47","7.89M","-0.35%"</t>
  </si>
  <si>
    <t>06/28/2022,"12.57","12.52","12.80","12.40","7.82M","1.56%"</t>
  </si>
  <si>
    <t>06/27/2022,"12.37","12.46","12.62","12.27","9.66M","0.00%"</t>
  </si>
  <si>
    <t>06/24/2022,"12.37","12.66","12.66","12.25","14.70M","-1.01%"</t>
  </si>
  <si>
    <t>06/23/2022,"12.50","13.02","13.11","12.45","9.02M","-3.32%"</t>
  </si>
  <si>
    <t>06/22/2022,"12.93","12.51","13.14","12.45","11.70M","2.47%"</t>
  </si>
  <si>
    <t>06/21/2022,"12.62","12.52","12.85","12.46","9.90M","1.49%"</t>
  </si>
  <si>
    <t>06/20/2022,"12.43","12.43","12.57","12.22","14.60M","-0.42%"</t>
  </si>
  <si>
    <t>06/17/2022,"12.49","12.45","12.59","12.31","17.67M","-1.58%"</t>
  </si>
  <si>
    <t>06/15/2022,"12.69","12.74","12.93","12.58","16.09M","0.59%"</t>
  </si>
  <si>
    <t>06/14/2022,"12.61","12.57","12.68","12.40","11.47M","0.71%"</t>
  </si>
  <si>
    <t>06/13/2022,"12.52","12.80","12.88","12.42","13.91M","-2.93%"</t>
  </si>
  <si>
    <t>06/10/2022,"12.90","13.29","13.32","12.82","16.73M","-4.02%"</t>
  </si>
  <si>
    <t>06/09/2022,"13.44","13.57","13.62","13.29","19.20M","-1.31%"</t>
  </si>
  <si>
    <t>06/08/2022,"13.62","13.74","13.80","13.49","14.07M","-1.45%"</t>
  </si>
  <si>
    <t>06/07/2022,"13.82","13.52","13.89","13.37","18.10M","1.36%"</t>
  </si>
  <si>
    <t>06/06/2022,"13.63","14.06","14.06","13.40","11.97M","-2.34%"</t>
  </si>
  <si>
    <t>06/03/2022,"13.96","14.43","14.43","13.90","14.25M","-3.09%"</t>
  </si>
  <si>
    <t>06/02/2022,"14.40","14.35","14.64","14.23","18.54M","1.46%"</t>
  </si>
  <si>
    <t>06/01/2022,"14.20","14.45","14.45","14.15","16.68M","-1.44%"</t>
  </si>
  <si>
    <t>05/31/2022,"14.40","14.83","14.87","14.30","15.79M","-2.26%"</t>
  </si>
  <si>
    <t>05/30/2022,"14.74","15.32","15.32","14.67","4.78M","-2.40%"</t>
  </si>
  <si>
    <t>05/27/2022,"15.10","14.97","15.34","14.82","13.10M","0.89%"</t>
  </si>
  <si>
    <t>05/26/2022,"14.97","14.76","15.05","14.71","13.17M","1.30%"</t>
  </si>
  <si>
    <t>05/25/2022,"14.78","14.67","14.84","14.37","12.06M","0.55%"</t>
  </si>
  <si>
    <t>05/24/2022,"14.69","14.95","15.05","14.43","13.25M","-2.22%"</t>
  </si>
  <si>
    <t>05/23/2022,"15.03","14.71","15.09","14.66","16.67M","2.42%"</t>
  </si>
  <si>
    <t>05/20/2022,"14.67","14.41","14.67","14.21","12.88M","3.23%"</t>
  </si>
  <si>
    <t>05/19/2022,"14.21","14.52","14.57","14.07","7.15M","-2.04%"</t>
  </si>
  <si>
    <t>05/18/2022,"14.51","14.80","14.96","14.41","8.20M","-2.10%"</t>
  </si>
  <si>
    <t>05/17/2022,"14.82","14.63","15.20","14.63","16.75M","1.83%"</t>
  </si>
  <si>
    <t>05/16/2022,"14.55","14.49","14.72","14.21","7.20M","1.50%"</t>
  </si>
  <si>
    <t>05/13/2022,"14.34","14.38","14.65","14.33","5.21M","-0.31%"</t>
  </si>
  <si>
    <t>05/12/2022,"14.38","13.97","14.38","13.97","6.09M","2.10%"</t>
  </si>
  <si>
    <t>05/11/2022,"14.09","14.18","14.23","13.97","7.13M","-0.58%"</t>
  </si>
  <si>
    <t>05/10/2022,"14.17","14.46","14.60","14.06","7.89M","-1.49%"</t>
  </si>
  <si>
    <t>05/09/2022,"14.38","14.66","14.67","14.30","9.50M","-2.95%"</t>
  </si>
  <si>
    <t>05/06/2022,"14.82","14.86","14.95","14.55","9.49M","-0.20%"</t>
  </si>
  <si>
    <t>05/05/2022,"14.85","15.46","15.46","14.61","14.24M","-5.29%"</t>
  </si>
  <si>
    <t>05/04/2022,"15.68","15.20","15.68","14.95","11.18M","2.57%"</t>
  </si>
  <si>
    <t>05/03/2022,"15.29","15.30","15.56","15.15","8.19M","-0.86%"</t>
  </si>
  <si>
    <t>05/02/2022,"15.42","15.65","15.65","15.09","9.40M","-1.47%"</t>
  </si>
  <si>
    <t>04/29/2022,"15.65","16.29","16.37","15.52","10.27M","-2.46%"</t>
  </si>
  <si>
    <t>04/28/2022,"16.04","15.96","16.04","15.67","8.76M","1.16%"</t>
  </si>
  <si>
    <t>04/27/2022,"15.86","16.03","16.07","15.66","7.44M","0.00%"</t>
  </si>
  <si>
    <t>04/26/2022,"15.86","16.14","16.35","15.72","7.60M","-2.98%"</t>
  </si>
  <si>
    <t>04/25/2022,"16.35","16.21","16.40","16.08","7.36M","0.09%"</t>
  </si>
  <si>
    <t>04/22/2022,"16.33","16.41","16.73","16.24","9.71M","-1.42%"</t>
  </si>
  <si>
    <t>04/20/2022,"16.57","16.58","16.69","16.39","4.21M","-0.04%"</t>
  </si>
  <si>
    <t>04/19/2022,"16.57","16.62","16.77","16.35","4.98M","-0.79%"</t>
  </si>
  <si>
    <t>04/18/2022,"16.71","16.59","16.83","16.52","6.23M","-0.09%"</t>
  </si>
  <si>
    <t>04/14/2022,"16.72","16.23","16.72","16.07","14.65M","2.81%"</t>
  </si>
  <si>
    <t>04/13/2022,"16.27","16.13","16.42","15.93","9.26M","1.47%"</t>
  </si>
  <si>
    <t>04/12/2022,"16.03","16.29","16.39","16.00","5.67M","-0.41%"</t>
  </si>
  <si>
    <t>04/11/2022,"16.10","16.15","16.38","16.04","5.86M","-1.09%"</t>
  </si>
  <si>
    <t>04/08/2022,"16.27","16.41","16.47","16.15","5.60M","-1.52%"</t>
  </si>
  <si>
    <t>04/07/2022,"16.52","16.51","16.70","16.38","7.55M","-0.40%"</t>
  </si>
  <si>
    <t>04/06/2022,"16.59","16.91","16.92","16.34","14.55M","-2.89%"</t>
  </si>
  <si>
    <t>04/05/2022,"17.08","17.69","17.70","16.87","10.22M","-3.34%"</t>
  </si>
  <si>
    <t>04/04/2022,"17.67","17.73","17.84","17.57","4.76M","-0.29%"</t>
  </si>
  <si>
    <t>04/01/2022,"17.72","17.33","17.76","17.25","8.08M","2.87%"</t>
  </si>
  <si>
    <t>03/31/2022,"17.23","17.56","17.56","17.01","14.39M","-1.35%"</t>
  </si>
  <si>
    <t>03/30/2022,"17.47","18.05","18.05","17.33","11.42M","-2.91%"</t>
  </si>
  <si>
    <t>03/29/2022,"17.99","18.25","18.32","17.84","8.36M","-0.08%"</t>
  </si>
  <si>
    <t>03/28/2022,"18.00","18.24","18.28","17.84","9.32M","-0.45%"</t>
  </si>
  <si>
    <t>03/25/2022,"18.09","17.99","18.17","17.84","6.34M","0.49%"</t>
  </si>
  <si>
    <t>03/24/2022,"18.00","17.69","18.06","17.58","8.01M","1.45%"</t>
  </si>
  <si>
    <t>03/23/2022,"17.74","17.70","17.88","17.30","15.75M","0.04%"</t>
  </si>
  <si>
    <t>03/22/2022,"17.73","17.24","17.79","17.10","15.35M","4.34%"</t>
  </si>
  <si>
    <t>03/21/2022,"17.00","17.28","17.28","16.74","6.25M","-1.79%"</t>
  </si>
  <si>
    <t>03/18/2022,"17.30","16.56","17.30","16.41","18.16M","5.01%"</t>
  </si>
  <si>
    <t>03/17/2022,"16.48","16.14","16.52","15.92","11.75M","2.33%"</t>
  </si>
  <si>
    <t>03/16/2022,"16.10","15.90","16.10","15.76","6.25M","2.01%"</t>
  </si>
  <si>
    <t>03/15/2022,"15.79","15.71","15.95","15.62","8.93M","-0.19%"</t>
  </si>
  <si>
    <t>03/14/2022,"15.82","15.92","16.22","15.71","6.83M","-0.46%"</t>
  </si>
  <si>
    <t>03/11/2022,"15.89","16.35","16.43","15.79","6.92M","-2.49%"</t>
  </si>
  <si>
    <t>03/10/2022,"16.29","16.21","16.29","15.87","6.04M","-0.54%"</t>
  </si>
  <si>
    <t>03/09/2022,"16.38","16.21","16.69","16.10","12.39M","2.07%"</t>
  </si>
  <si>
    <t>03/08/2022,"16.05","15.91","16.28","15.85","8.03M","0.69%"</t>
  </si>
  <si>
    <t>03/07/2022,"15.94","16.36","16.54","15.78","13.53M","-4.63%"</t>
  </si>
  <si>
    <t>03/04/2022,"16.71","17.17","17.28","16.53","7.58M","-2.87%"</t>
  </si>
  <si>
    <t>03/03/2022,"17.21","17.49","17.76","17.07","9.25M","-1.64%"</t>
  </si>
  <si>
    <t>03/02/2022,"17.50","17.50","17.69","17.13","4.64M","0.64%"</t>
  </si>
  <si>
    <t>02/25/2022,"17.39","17.16","17.42","17.02","15.33M","0.30%"</t>
  </si>
  <si>
    <t>02/24/2022,"17.33","16.58","17.44","16.50","10.14M","0.00%"</t>
  </si>
  <si>
    <t>02/23/2022,"17.33","17.59","17.84","17.33","8.02M","-1.42%"</t>
  </si>
  <si>
    <t>02/22/2022,"17.58","17.61","17.95","17.47","7.13M","1.58%"</t>
  </si>
  <si>
    <t>02/21/2022,"17.31","17.67","17.69","17.05","4.48M","-1.88%"</t>
  </si>
  <si>
    <t>02/18/2022,"17.64","17.86","17.91","17.54","4.77M","-0.83%"</t>
  </si>
  <si>
    <t>02/17/2022,"17.79","18.02","18.17","17.78","13.36M","-1.27%"</t>
  </si>
  <si>
    <t>02/16/2022,"18.02","17.45","18.20","17.41","20.58M","3.51%"</t>
  </si>
  <si>
    <t>02/15/2022,"17.41","17.20","17.74","17.16","11.68M","2.38%"</t>
  </si>
  <si>
    <t>02/14/2022,"17.00","16.84","17.28","16.78","8.16M","0.96%"</t>
  </si>
  <si>
    <t>02/11/2022,"16.84","16.88","17.19","16.74","8.69M","0.04%"</t>
  </si>
  <si>
    <t>02/10/2022,"16.83","16.82","17.02","16.66","8.27M","0.35%"</t>
  </si>
  <si>
    <t>02/09/2022,"16.77","16.32","16.85","16.32","8.59M","2.94%"</t>
  </si>
  <si>
    <t>02/08/2022,"16.29","16.30","16.43","16.05","5.09M","-0.50%"</t>
  </si>
  <si>
    <t>02/07/2022,"16.38","16.64","16.68","16.27","6.02M","-1.86%"</t>
  </si>
  <si>
    <t>02/04/2022,"16.69","16.51","16.71","15.97","10.82M","0.80%"</t>
  </si>
  <si>
    <t>02/03/2022,"16.55","16.55","16.74","16.45","8.43M","0.36%"</t>
  </si>
  <si>
    <t>02/02/2022,"16.49","16.63","16.69","16.40","4.25M","-0.84%"</t>
  </si>
  <si>
    <t>02/01/2022,"16.63","16.74","16.88","16.43","6.07M","-1.44%"</t>
  </si>
  <si>
    <t>01/31/2022,"16.88","16.73","16.91","16.45","12.11M","0.79%"</t>
  </si>
  <si>
    <t>01/28/2022,"16.74","16.51","16.79","16.29","12.19M","0.98%"</t>
  </si>
  <si>
    <t>01/27/2022,"16.58","16.08","16.75","15.98","15.10M","4.85%"</t>
  </si>
  <si>
    <t>01/26/2022,"15.82","16.10","16.43","15.70","10.45M","-0.37%"</t>
  </si>
  <si>
    <t>01/25/2022,"15.87","15.49","16.13","15.34","11.76M","2.47%"</t>
  </si>
  <si>
    <t>01/24/2022,"15.49","15.85","15.85","15.33","11.07M","-1.78%"</t>
  </si>
  <si>
    <t>01/21/2022,"15.77","15.55","15.91","15.48","5.77M","0.52%"</t>
  </si>
  <si>
    <t>01/20/2022,"15.69","15.17","16.01","15.03","16.35M","3.75%"</t>
  </si>
  <si>
    <t>01/19/2022,"15.12","14.52","15.35","14.48","11.47M","4.69%"</t>
  </si>
  <si>
    <t>01/18/2022,"14.45","14.39","14.62","14.30","4.85M","0.36%"</t>
  </si>
  <si>
    <t>01/17/2022,"14.39","14.50","14.78","14.39","3.48M","-1.51%"</t>
  </si>
  <si>
    <t>01/14/2022,"14.61","14.92","14.92","14.45","9.22M","-1.49%"</t>
  </si>
  <si>
    <t>01/13/2022,"14.84","15.03","15.05","14.77","11.36M","-1.42%"</t>
  </si>
  <si>
    <t>01/12/2022,"15.05","14.33","15.10","14.19","13.35M","5.15%"</t>
  </si>
  <si>
    <t>01/11/2022,"14.31","13.84","14.42","13.82","9.59M","2.00%"</t>
  </si>
  <si>
    <t>01/10/2022,"14.03","14.00","14.08","13.70","5.93M","-0.68%"</t>
  </si>
  <si>
    <t>01/07/2022,"14.13","14.18","14.19","13.92","7.18M","-0.21%"</t>
  </si>
  <si>
    <t>01/06/2022,"14.16","14.36","14.49","14.00","9.69M","-0.67%"</t>
  </si>
  <si>
    <t>01/05/2022,"14.25","14.81","14.88","14.14","10.08M","-4.40%"</t>
  </si>
  <si>
    <t>01/04/2022,"14.91","15.10","15.14","14.64","9.97M","-0.59%"</t>
  </si>
  <si>
    <t>01/03/2022,"15.00","15.71","15.77","14.95","8.20M","-4.91%"</t>
  </si>
  <si>
    <t>12/30/2021,"15.77","15.62","16.03","15.30","14.36M","1.42%"</t>
  </si>
  <si>
    <t>12/29/2021,"15.55","15.80","15.85","15.46","3.89M","-1.72%"</t>
  </si>
  <si>
    <t>12/28/2021,"15.82","15.64","15.82","15.52","4.01M","0.75%"</t>
  </si>
  <si>
    <t>12/27/2021,"15.71","15.65","15.86","15.48","4.50M","1.28%"</t>
  </si>
  <si>
    <t>12/23/2021,"15.51","15.72","15.72","15.37","4.21M","-1.03%"</t>
  </si>
  <si>
    <t>12/22/2021,"15.67","15.73","15.77","15.51","3.61M","-0.42%"</t>
  </si>
  <si>
    <t>12/21/2021,"15.73","15.87","15.99","15.57","4.29M","-0.84%"</t>
  </si>
  <si>
    <t>12/20/2021,"15.87","16.32","16.41","15.77","5.76M","-2.58%"</t>
  </si>
  <si>
    <t>12/17/2021,"16.29","16.38","16.49","16.21","18.03M","-1.82%"</t>
  </si>
  <si>
    <t>12/16/2021,"16.59","16.67","16.75","16.36","7.59M","0.04%"</t>
  </si>
  <si>
    <t>12/15/2021,"16.58","16.60","16.76","16.24","8.45M","0.45%"</t>
  </si>
  <si>
    <t>12/14/2021,"16.51","16.79","17.06","16.41","9.69M","-1.87%"</t>
  </si>
  <si>
    <t>12/13/2021,"16.82","16.75","17.29","16.65","10.09M","0.48%"</t>
  </si>
  <si>
    <t>12/10/2021,"16.74","16.39","16.92","16.38","7.23M","2.51%"</t>
  </si>
  <si>
    <t>12/09/2021,"16.33","16.71","16.85","16.21","6.55M","-2.88%"</t>
  </si>
  <si>
    <t>12/08/2021,"16.82","16.24","17.08","16.24","10.62M","3.38%"</t>
  </si>
  <si>
    <t>12/07/2021,"16.27","16.32","16.60","16.13","8.16M","0.45%"</t>
  </si>
  <si>
    <t>12/06/2021,"16.19","16.19","16.27","15.86","7.77M","0.91%"</t>
  </si>
  <si>
    <t>12/03/2021,"16.05","15.74","16.56","15.69","8.47M","1.91%"</t>
  </si>
  <si>
    <t>12/02/2021,"15.75","15.75","15.90","15.46","8.95M","1.51%"</t>
  </si>
  <si>
    <t>12/01/2021,"15.51","16.11","16.11","15.39","11.55M","-2.71%"</t>
  </si>
  <si>
    <t>11/30/2021,"15.94","15.82","16.08","15.45","15.79M","0.46%"</t>
  </si>
  <si>
    <t>11/29/2021,"15.87","16.05","16.14","15.72","9.37M","-0.05%"</t>
  </si>
  <si>
    <t>11/26/2021,"15.88","16.02","16.02","15.61","6.76M","-2.69%"</t>
  </si>
  <si>
    <t>11/25/2021,"16.32","16.31","16.57","16.19","6.32M","0.77%"</t>
  </si>
  <si>
    <t>11/24/2021,"16.19","16.30","16.64","16.00","11.29M","-1.47%"</t>
  </si>
  <si>
    <t>11/23/2021,"16.43","15.99","16.50","15.75","9.08M","2.84%"</t>
  </si>
  <si>
    <t>11/22/2021,"15.98","16.25","16.59","15.97","6.03M","-1.62%"</t>
  </si>
  <si>
    <t>11/19/2021,"16.24","15.24","16.75","15.24","7.94M","-0.14%"</t>
  </si>
  <si>
    <t>11/18/2021,"16.27","16.36","16.52","16.05","8.03M","1.00%"</t>
  </si>
  <si>
    <t>11/17/2021,"16.10","16.46","16.71","15.98","13.34M","-1.57%"</t>
  </si>
  <si>
    <t>11/16/2021,"16.36","17.22","17.45","16.30","12.93M","-1.93%"</t>
  </si>
  <si>
    <t>11/12/2021,"16.68","16.85","17.25","16.58","11.53M","-1.77%"</t>
  </si>
  <si>
    <t>11/11/2021,"16.98","17.01","17.36","16.82","6.07M","0.87%"</t>
  </si>
  <si>
    <t>11/10/2021,"16.84","16.56","17.14","16.55","4.90M","0.44%"</t>
  </si>
  <si>
    <t>11/09/2021,"16.76","16.40","16.98","16.32","6.98M","2.74%"</t>
  </si>
  <si>
    <t>11/08/2021,"16.32","16.19","16.59","16.07","8.08M","-1.50%"</t>
  </si>
  <si>
    <t>11/05/2021,"16.57","16.24","16.71","16.21","9.63M","2.73%"</t>
  </si>
  <si>
    <t>11/04/2021,"16.13","16.75","16.80","15.97","12.10M","-3.72%"</t>
  </si>
  <si>
    <t>11/03/2021,"16.75","15.70","16.95","15.61","15.13M","5.06%"</t>
  </si>
  <si>
    <t>11/01/2021,"15.94","15.57","16.19","15.57","11.32M","3.72%"</t>
  </si>
  <si>
    <t>10/29/2021,"15.37","15.53","15.99","15.26","12.34M","-1.13%"</t>
  </si>
  <si>
    <t>10/28/2021,"15.55","15.89","16.11","15.44","8.81M","-1.80%"</t>
  </si>
  <si>
    <t>10/27/2021,"15.83","15.75","16.32","15.58","14.49M","1.60%"</t>
  </si>
  <si>
    <t>10/26/2021,"15.58","16.36","16.47","15.52","15.40M","-5.97%"</t>
  </si>
  <si>
    <t>10/25/2021,"16.57","16.19","16.70","15.95","14.35M","5.16%"</t>
  </si>
  <si>
    <t>10/22/2021,"15.76","15.62","16.35","14.79","29.87M","-2.36%"</t>
  </si>
  <si>
    <t>10/21/2021,"16.14","16.56","16.81","15.84","26.17M","-5.17%"</t>
  </si>
  <si>
    <t>10/20/2021,"17.02","17.14","17.36","16.92","10.11M","-0.04%"</t>
  </si>
  <si>
    <t>10/19/2021,"17.03","17.92","17.97","16.73","15.18M","-6.03%"</t>
  </si>
  <si>
    <t>10/18/2021,"18.12","17.88","18.31","17.78","10.10M","0.73%"</t>
  </si>
  <si>
    <t>10/15/2021,"17.99","18.24","18.24","17.84","10.06M","-1.72%"</t>
  </si>
  <si>
    <t>10/14/2021,"18.30","18.42","18.43","17.91","10.90M","-0.36%"</t>
  </si>
  <si>
    <t>10/13/2021,"18.37","18.39","18.61","18.18","15.08M","1.09%"</t>
  </si>
  <si>
    <t>10/11/2021,"18.17","18.54","18.86","18.08","21.31M","0.36%"</t>
  </si>
  <si>
    <t>10/08/2021,"18.10","17.80","18.37","17.73","17.37M","2.74%"</t>
  </si>
  <si>
    <t>10/07/2021,"17.62","17.00","17.75","16.93","15.00M","3.44%"</t>
  </si>
  <si>
    <t>10/06/2021,"17.04","17.13","17.32","16.51","18.24M","-1.69%"</t>
  </si>
  <si>
    <t>10/05/2021,"17.33","17.45","17.56","17.17","8.06M","-0.88%"</t>
  </si>
  <si>
    <t>10/04/2021,"17.48","17.22","17.55","17.06","13.46M","-0.79%"</t>
  </si>
  <si>
    <t>10/01/2021,"17.62","17.34","17.67","17.18","6.74M","2.38%"</t>
  </si>
  <si>
    <t>09/30/2021,"17.21","17.40","17.53","17.09","13.22M","-1.09%"</t>
  </si>
  <si>
    <t>09/29/2021,"17.40","17.52","17.80","17.36","9.70M","-0.38%"</t>
  </si>
  <si>
    <t>09/28/2021,"17.47","18.08","18.17","17.19","19.03M","-3.95%"</t>
  </si>
  <si>
    <t>09/27/2021,"18.19","18.41","18.43","17.91","7.85M","-1.27%"</t>
  </si>
  <si>
    <t>09/24/2021,"18.42","18.43","18.56","18.21","6.71M","-0.98%"</t>
  </si>
  <si>
    <t>09/23/2021,"18.60","18.49","18.83","18.44","9.11M","0.59%"</t>
  </si>
  <si>
    <t>09/22/2021,"18.49","18.66","18.76","18.43","7.46M","0.24%"</t>
  </si>
  <si>
    <t>09/21/2021,"18.45","18.16","18.84","18.13","13.21M","2.40%"</t>
  </si>
  <si>
    <t>09/20/2021,"18.02","18.21","18.28","17.70","9.55M","-1.99%"</t>
  </si>
  <si>
    <t>09/17/2021,"18.38","18.67","18.67","18.20","14.97M","-1.99%"</t>
  </si>
  <si>
    <t>09/16/2021,"18.76","18.42","18.77","18.13","11.20M","1.19%"</t>
  </si>
  <si>
    <t>09/15/2021,"18.54","18.65","18.71","18.32","7.96M","-0.08%"</t>
  </si>
  <si>
    <t>09/14/2021,"18.55","18.54","18.98","18.43","8.56M","-0.14%"</t>
  </si>
  <si>
    <t>09/13/2021,"18.58","18.93","19.06","18.50","7.81M","0.98%"</t>
  </si>
  <si>
    <t>09/10/2021,"18.40","18.44","18.93","18.29","22.26M","1.19%"</t>
  </si>
  <si>
    <t>09/09/2021,"18.18","17.80","18.59","17.50","17.41M","2.07%"</t>
  </si>
  <si>
    <t>09/08/2021,"17.81","18.64","18.64","17.67","13.90M","-4.24%"</t>
  </si>
  <si>
    <t>09/06/2021,"18.60","18.51","18.82","18.45","3.96M","0.35%"</t>
  </si>
  <si>
    <t>09/03/2021,"18.53","18.74","18.79","18.15","16.48M","0.08%"</t>
  </si>
  <si>
    <t>09/02/2021,"18.52","19.37","19.43","18.38","13.77M","-4.30%"</t>
  </si>
  <si>
    <t>09/01/2021,"19.35","19.61","19.74","19.07","22.48M","-1.58%"</t>
  </si>
  <si>
    <t>08/31/2021,"19.66","19.54","19.88","19.25","13.82M","0.70%"</t>
  </si>
  <si>
    <t>08/30/2021,"19.53","19.53","19.79","19.38","11.85M","-0.44%"</t>
  </si>
  <si>
    <t>08/27/2021,"19.61","19.35","19.88","19.19","13.63M","2.57%"</t>
  </si>
  <si>
    <t>08/26/2021,"19.12","19.06","19.49","19.06","14.59M","-0.56%"</t>
  </si>
  <si>
    <t>08/25/2021,"19.23","19.09","19.45","19.01","11.30M","1.18%"</t>
  </si>
  <si>
    <t>08/24/2021,"19.01","18.73","19.10","18.47","12.62M","2.54%"</t>
  </si>
  <si>
    <t>08/23/2021,"18.53","19.05","19.05","18.41","10.46M","-1.80%"</t>
  </si>
  <si>
    <t>08/20/2021,"18.87","18.60","19.01","18.35","11.83M","0.12%"</t>
  </si>
  <si>
    <t>08/19/2021,"18.85","18.65","19.10","18.44","10.08M","-0.31%"</t>
  </si>
  <si>
    <t>08/18/2021,"18.91","19.09","19.25","18.74","10.60M","-0.95%"</t>
  </si>
  <si>
    <t>08/17/2021,"19.09","19.31","19.35","18.73","15.49M","-1.35%"</t>
  </si>
  <si>
    <t>08/16/2021,"19.35","19.57","19.75","18.95","13.36M","-1.80%"</t>
  </si>
  <si>
    <t>08/13/2021,"19.71","19.53","19.71","19.23","10.79M","1.15%"</t>
  </si>
  <si>
    <t>08/12/2021,"19.48","19.88","19.88","19.16","18.48M","-2.46%"</t>
  </si>
  <si>
    <t>08/11/2021,"19.97","19.96","20.11","19.27","31.32M","-3.36%"</t>
  </si>
  <si>
    <t>08/10/2021,"20.67","20.65","20.99","20.55","9.86M","0.11%"</t>
  </si>
  <si>
    <t>08/09/2021,"20.65","20.28","20.73","20.25","9.78M","1.78%"</t>
  </si>
  <si>
    <t>08/06/2021,"20.29","20.18","20.44","20.10","6.67M","0.94%"</t>
  </si>
  <si>
    <t>08/05/2021,"20.10","20.64","20.75","20.03","13.83M","-1.03%"</t>
  </si>
  <si>
    <t>08/04/2021,"20.31","20.46","20.65","20.10","10.74M","-0.88%"</t>
  </si>
  <si>
    <t>08/03/2021,"20.49","20.79","20.85","19.96","13.16M","-1.50%"</t>
  </si>
  <si>
    <t>08/02/2021,"20.80","20.83","21.16","20.57","10.68M","1.52%"</t>
  </si>
  <si>
    <t>07/30/2021,"20.49","21.04","21.25","20.36","13.51M","-3.54%"</t>
  </si>
  <si>
    <t>07/29/2021,"21.24","20.99","21.64","20.97","16.64M","1.80%"</t>
  </si>
  <si>
    <t>07/28/2021,"20.86","20.96","21.17","20.60","8.53M","0.00%"</t>
  </si>
  <si>
    <t>07/27/2021,"20.86","20.97","21.02","20.50","7.65M","-0.52%"</t>
  </si>
  <si>
    <t>07/26/2021,"20.97","20.71","21.06","20.52","9.44M","1.40%"</t>
  </si>
  <si>
    <t>07/23/2021,"20.68","20.91","20.97","20.56","5.49M","-1.11%"</t>
  </si>
  <si>
    <t>07/22/2021,"20.91","20.58","21.04","20.58","9.75M","1.15%"</t>
  </si>
  <si>
    <t>07/21/2021,"20.68","20.68","20.77","20.34","10.82M","0.14%"</t>
  </si>
  <si>
    <t>07/20/2021,"20.65","20.55","20.83","20.31","6.02M","0.71%"</t>
  </si>
  <si>
    <t>07/19/2021,"20.50","20.48","20.68","20.24","12.12M","-0.60%"</t>
  </si>
  <si>
    <t>07/16/2021,"20.62","21.09","21.20","20.47","17.25M","-1.66%"</t>
  </si>
  <si>
    <t>07/15/2021,"20.97","21.18","21.43","20.74","8.77M","-1.19%"</t>
  </si>
  <si>
    <t>07/14/2021,"21.23","21.42","21.45","21.00","10.01M","0.48%"</t>
  </si>
  <si>
    <t>07/13/2021,"21.12","20.99","21.22","20.74","10.64M","-0.61%"</t>
  </si>
  <si>
    <t>07/12/2021,"21.25","21.10","21.44","20.93","14.20M","2.30%"</t>
  </si>
  <si>
    <t>07/08/2021,"20.78","20.37","20.78","20.07","15.77M","0.21%"</t>
  </si>
  <si>
    <t>07/07/2021,"20.73","20.82","20.99","20.39","37.99M","0.24%"</t>
  </si>
  <si>
    <t>07/06/2021,"20.68","21.30","21.30","20.49","19.64M","-2.92%"</t>
  </si>
  <si>
    <t>07/05/2021,"21.30","21.19","21.59","21.12","57.89M","0.24%"</t>
  </si>
  <si>
    <t>07/02/2021,"21.25","20.76","21.59","20.69","46.84M","2.76%"</t>
  </si>
  <si>
    <t>07/01/2021,"20.68","19.74","21.02","19.55","87.24M","7.20%"</t>
  </si>
  <si>
    <t>06/30/2021,"19.29","18.87","19.51","18.81","16.50M","1.44%"</t>
  </si>
  <si>
    <t>06/29/2021,"19.02","19.89","19.99","18.99","18.73M","-3.52%"</t>
  </si>
  <si>
    <t>06/28/2021,"19.71","19.95","20.10","19.32","7.83M","-1.16%"</t>
  </si>
  <si>
    <t>06/25/2021,"19.95","20.03","20.09","19.42","9.71M","-0.18%"</t>
  </si>
  <si>
    <t>06/24/2021,"19.98","19.85","20.06","19.65","4.66M","1.88%"</t>
  </si>
  <si>
    <t>06/23/2021,"19.61","19.95","20.15","19.45","5.86M","-2.27%"</t>
  </si>
  <si>
    <t>06/22/2021,"20.07","19.89","20.14","19.60","6.87M","0.62%"</t>
  </si>
  <si>
    <t>06/21/2021,"19.95","19.89","20.21","19.69","5.60M","0.95%"</t>
  </si>
  <si>
    <t>06/18/2021,"19.76","19.52","19.85","19.37","10.42M","0.44%"</t>
  </si>
  <si>
    <t>06/17/2021,"19.67","19.09","19.82","19.07","13.42M","2.95%"</t>
  </si>
  <si>
    <t>06/16/2021,"19.11","19.08","19.42","19.04","14.19M","-0.30%"</t>
  </si>
  <si>
    <t>06/15/2021,"19.16","19.31","19.34","18.95","5.88M","-0.56%"</t>
  </si>
  <si>
    <t>06/14/2021,"19.27","19.36","19.36","19.06","4.86M","1.49%"</t>
  </si>
  <si>
    <t>06/11/2021,"18.99","19.38","19.39","18.85","5.73M","-1.94%"</t>
  </si>
  <si>
    <t>06/10/2021,"19.37","20.18","20.19","19.10","11.77M","-3.11%"</t>
  </si>
  <si>
    <t>06/09/2021,"19.99","20.08","20.26","19.91","5.54M","-1.11%"</t>
  </si>
  <si>
    <t>06/08/2021,"20.21","19.91","20.31","19.88","7.67M","0.87%"</t>
  </si>
  <si>
    <t>06/07/2021,"20.04","19.73","20.24","19.71","9.41M","0.76%"</t>
  </si>
  <si>
    <t>06/04/2021,"19.89","19.87","19.90","19.62","8.23M","0.55%"</t>
  </si>
  <si>
    <t>06/02/2021,"19.78","19.44","19.79","19.35","9.22M","1.71%"</t>
  </si>
  <si>
    <t>06/01/2021,"19.45","18.80","19.48","18.71","14.42M","4.22%"</t>
  </si>
  <si>
    <t>05/31/2021,"18.66","18.52","18.66","18.28","3.01M","0.90%"</t>
  </si>
  <si>
    <t>05/28/2021,"18.49","18.36","18.61","18.32","6.56M","0.00%"</t>
  </si>
  <si>
    <t>05/27/2021,"18.49","18.42","18.50","18.19","6.84M","0.47%"</t>
  </si>
  <si>
    <t>05/26/2021,"18.40","18.37","18.46","18.18","6.74M","1.56%"</t>
  </si>
  <si>
    <t>05/25/2021,"18.12","18.62","18.62","18.12","7.19M","-2.22%"</t>
  </si>
  <si>
    <t>05/24/2021,"18.53","18.63","18.80","18.48","7.66M","0.20%"</t>
  </si>
  <si>
    <t>05/21/2021,"18.50","18.30","18.61","18.27","10.29M","0.91%"</t>
  </si>
  <si>
    <t>05/20/2021,"18.33","18.38","18.38","18.03","4.70M","0.28%"</t>
  </si>
  <si>
    <t>05/19/2021,"18.28","17.99","18.43","17.88","8.38M","1.20%"</t>
  </si>
  <si>
    <t>05/18/2021,"18.06","17.88","18.35","17.80","12.58M","0.77%"</t>
  </si>
  <si>
    <t>05/17/2021,"17.93","18.01","18.11","17.68","8.60M","-0.48%"</t>
  </si>
  <si>
    <t>05/14/2021,"18.01","18.54","18.61","17.96","10.30M","-0.95%"</t>
  </si>
  <si>
    <t>05/13/2021,"18.19","18.23","18.84","18.14","12.80M","0.08%"</t>
  </si>
  <si>
    <t>05/12/2021,"18.17","18.22","18.87","17.80","36.26M","5.06%"</t>
  </si>
  <si>
    <t>05/11/2021,"17.30","16.93","17.44","16.64","10.50M","1.36%"</t>
  </si>
  <si>
    <t>05/10/2021,"17.07","16.96","17.12","16.89","7.78M","-0.13%"</t>
  </si>
  <si>
    <t>05/07/2021,"17.09","16.62","17.09","16.47","8.14M","3.28%"</t>
  </si>
  <si>
    <t>05/06/2021,"16.55","16.85","16.97","16.37","9.28M","-1.38%"</t>
  </si>
  <si>
    <t>05/05/2021,"16.78","16.42","16.84","16.31","7.06M","2.97%"</t>
  </si>
  <si>
    <t>05/04/2021,"16.29","16.59","16.60","16.29","9.89M","-1.66%"</t>
  </si>
  <si>
    <t>05/03/2021,"16.57","16.28","16.61","16.18","6.58M","1.78%"</t>
  </si>
  <si>
    <t>04/30/2021,"16.28","16.26","16.65","16.12","9.97M","-1.05%"</t>
  </si>
  <si>
    <t>04/29/2021,"16.45","16.49","16.71","16.44","6.39M","0.04%"</t>
  </si>
  <si>
    <t>04/28/2021,"16.44","16.13","16.45","16.10","6.24M","2.11%"</t>
  </si>
  <si>
    <t>04/27/2021,"16.11","16.34","16.40","16.00","7.12M","-1.98%"</t>
  </si>
  <si>
    <t>04/26/2021,"16.43","16.37","16.78","16.29","6.15M","0.04%"</t>
  </si>
  <si>
    <t>04/23/2021,"16.42","16.21","16.49","16.18","7.19M","1.84%"</t>
  </si>
  <si>
    <t>04/22/2021,"16.13","16.50","16.67","16.10","8.59M","-2.36%"</t>
  </si>
  <si>
    <t>04/20/2021,"16.52","15.99","16.55","15.99","13.89M","3.07%"</t>
  </si>
  <si>
    <t>04/19/2021,"16.03","15.55","16.06","15.50","11.81M","2.59%"</t>
  </si>
  <si>
    <t>04/16/2021,"15.62","15.86","15.90","15.55","10.13M","-0.91%"</t>
  </si>
  <si>
    <t>04/15/2021,"15.76","15.56","15.87","15.49","11.29M","1.61%"</t>
  </si>
  <si>
    <t>04/14/2021,"15.51","15.44","15.59","15.18","9.08M","0.48%"</t>
  </si>
  <si>
    <t>04/13/2021,"15.44","15.06","15.47","15.03","7.94M","1.96%"</t>
  </si>
  <si>
    <t>04/12/2021,"15.14","14.79","15.21","14.74","9.97M","2.65%"</t>
  </si>
  <si>
    <t>04/09/2021,"14.75","14.98","14.98","14.75","8.16M","-2.24%"</t>
  </si>
  <si>
    <t>04/08/2021,"15.09","15.02","15.22","14.84","8.36M","0.95%"</t>
  </si>
  <si>
    <t>04/07/2021,"14.95","15.02","15.10","14.79","6.91M","-0.85%"</t>
  </si>
  <si>
    <t>04/06/2021,"15.08","15.35","15.39","15.01","7.65M","-1.63%"</t>
  </si>
  <si>
    <t>04/05/2021,"15.33","15.09","15.33","15.04","3.59M","2.02%"</t>
  </si>
  <si>
    <t>04/01/2021,"15.02","14.93","15.10","14.81","5.88M","0.77%"</t>
  </si>
  <si>
    <t>03/31/2021,"14.91","15.01","15.07","14.74","6.81M","-0.76%"</t>
  </si>
  <si>
    <t>03/30/2021,"15.02","14.52","15.19","14.52","8.11M","2.63%"</t>
  </si>
  <si>
    <t>03/29/2021,"14.64","14.92","14.95","14.52","8.98M","-1.81%"</t>
  </si>
  <si>
    <t>03/26/2021,"14.91","14.88","15.16","14.58","7.61M","-0.85%"</t>
  </si>
  <si>
    <t>03/25/2021,"15.04","14.18","15.15","14.05","11.65M","4.60%"</t>
  </si>
  <si>
    <t>03/24/2021,"14.37","14.70","14.73","14.25","6.45M","-2.16%"</t>
  </si>
  <si>
    <t>03/23/2021,"14.69","14.84","14.99","14.54","5.63M","-0.96%"</t>
  </si>
  <si>
    <t>03/22/2021,"14.83","15.22","15.29","14.83","10.23M","-3.00%"</t>
  </si>
  <si>
    <t>03/19/2021,"15.29","14.94","15.35","14.81","11.04M","2.44%"</t>
  </si>
  <si>
    <t>03/18/2021,"14.93","14.85","15.18","14.69","6.67M","-0.14%"</t>
  </si>
  <si>
    <t>03/17/2021,"14.95","14.51","15.03","14.35","6.81M","2.93%"</t>
  </si>
  <si>
    <t>03/16/2021,"14.52","14.76","14.83","14.34","4.46M","-1.96%"</t>
  </si>
  <si>
    <t>03/15/2021,"14.81","14.63","14.97","14.63","6.07M","1.20%"</t>
  </si>
  <si>
    <t>03/12/2021,"14.64","14.41","14.82","14.25","6.78M","0.05%"</t>
  </si>
  <si>
    <t>03/11/2021,"14.63","13.99","14.63","13.94","11.32M","5.45%"</t>
  </si>
  <si>
    <t>03/10/2021,"13.87","13.71","14.04","13.45","22.55M","6.42%"</t>
  </si>
  <si>
    <t>03/09/2021,"13.04","12.83","13.10","12.73","9.97M","1.15%"</t>
  </si>
  <si>
    <t>03/08/2021,"12.89","13.40","13.54","12.76","13.23M","-5.73%"</t>
  </si>
  <si>
    <t>03/05/2021,"13.67","13.70","13.93","13.48","20.75M","-0.20%"</t>
  </si>
  <si>
    <t>03/04/2021,"13.70","12.96","13.81","12.85","15.45M","6.79%"</t>
  </si>
  <si>
    <t>03/03/2021,"12.83","12.94","13.34","12.29","17.31M","-2.01%"</t>
  </si>
  <si>
    <t>03/02/2021,"13.09","13.04","13.27","12.63","14.87M","-1.52%"</t>
  </si>
  <si>
    <t>03/01/2021,"13.29","13.52","13.64","13.10","8.60M","-1.15%"</t>
  </si>
  <si>
    <t>02/26/2021,"13.45","13.67","13.81","13.33","11.92M","-1.68%"</t>
  </si>
  <si>
    <t>02/25/2021,"13.68","14.43","14.64","13.60","14.48M","-3.98%"</t>
  </si>
  <si>
    <t>02/24/2021,"14.25","14.48","14.49","14.10","7.53M","-0.85%"</t>
  </si>
  <si>
    <t>02/23/2021,"14.37","14.79","14.85","14.28","14.55M","0.33%"</t>
  </si>
  <si>
    <t>02/22/2021,"14.32","14.92","14.92","13.56","35.59M","-7.22%"</t>
  </si>
  <si>
    <t>02/19/2021,"15.43","14.87","15.53","14.87","11.88M","1.96%"</t>
  </si>
  <si>
    <t>02/18/2021,"15.14","14.86","15.21","14.74","13.29M","0.76%"</t>
  </si>
  <si>
    <t>02/17/2021,"15.02","14.94","15.08","14.74","10.21M","0.00%"</t>
  </si>
  <si>
    <t>02/12/2021,"15.02","15.24","15.29","14.77","7.95M","-1.77%"</t>
  </si>
  <si>
    <t>02/11/2021,"15.29","15.12","15.51","15.01","8.43M","1.43%"</t>
  </si>
  <si>
    <t>02/10/2021,"15.08","15.12","15.29","14.84","13.22M","-0.22%"</t>
  </si>
  <si>
    <t>02/09/2021,"15.11","15.13","15.14","14.91","12.21M","-0.22%"</t>
  </si>
  <si>
    <t>02/08/2021,"15.14","15.25","15.56","15.01","17.43M","-0.22%"</t>
  </si>
  <si>
    <t>02/05/2021,"15.18","15.46","15.49","15.16","12.92M","-1.27%"</t>
  </si>
  <si>
    <t>02/04/2021,"15.37","15.53","15.64","15.14","7.47M","-0.96%"</t>
  </si>
  <si>
    <t>02/03/2021,"15.52","15.85","15.92","15.36","11.33M","-1.50%"</t>
  </si>
  <si>
    <t>02/02/2021,"15.76","16.19","16.39","15.76","11.79M","-1.81%"</t>
  </si>
  <si>
    <t>02/01/2021,"16.05","16.01","16.19","15.68","8.52M","2.19%"</t>
  </si>
  <si>
    <t>01/29/2021,"15.70","15.89","16.19","15.70","11.16M","-2.27%"</t>
  </si>
  <si>
    <t>01/28/2021,"16.07","15.78","16.36","15.57","14.27M","1.75%"</t>
  </si>
  <si>
    <t>01/27/2021,"15.79","15.46","16.03","15.40","15.77M","2.14%"</t>
  </si>
  <si>
    <t>01/26/2021,"15.46","15.53","16.43","15.26","34.77M","9.57%"</t>
  </si>
  <si>
    <t>01/22/2021,"14.11","14.01","14.16","13.87","8.03M","0.34%"</t>
  </si>
  <si>
    <t>01/21/2021,"14.06","14.53","14.60","14.06","8.90M","-3.25%"</t>
  </si>
  <si>
    <t>01/20/2021,"14.54","14.71","14.80","14.40","5.43M","-1.01%"</t>
  </si>
  <si>
    <t>01/19/2021,"14.68","14.75","14.81","14.52","7.60M","-0.05%"</t>
  </si>
  <si>
    <t>01/18/2021,"14.69","14.78","15.00","14.60","4.45M","-0.27%"</t>
  </si>
  <si>
    <t>01/15/2021,"14.73","14.91","15.04","14.73","7.45M","-2.28%"</t>
  </si>
  <si>
    <t>01/14/2021,"15.08","15.08","15.32","14.99","7.43M","0.54%"</t>
  </si>
  <si>
    <t>01/13/2021,"14.99","15.26","15.36","14.99","12.14M","-1.33%"</t>
  </si>
  <si>
    <t>01/12/2021,"15.20","15.16","15.29","15.06","6.17M","0.76%"</t>
  </si>
  <si>
    <t>01/11/2021,"15.08","15.29","15.50","15.00","8.10M","-2.02%"</t>
  </si>
  <si>
    <t>01/08/2021,"15.39","15.00","15.39","14.92","9.03M","2.80%"</t>
  </si>
  <si>
    <t>01/07/2021,"14.97","14.79","15.03","14.57","7.44M","1.98%"</t>
  </si>
  <si>
    <t>01/06/2021,"14.68","14.93","15.03","14.56","11.66M","-1.58%"</t>
  </si>
  <si>
    <t>01/05/2021,"14.92","14.83","15.08","14.50","13.92M","1.14%"</t>
  </si>
  <si>
    <t>01/04/2021,"14.75","15.06","15.08","14.62","4.23M","-1.27%"</t>
  </si>
  <si>
    <t>12/30/2020,"14.94","14.93","15.06","14.89","6.35M","0.09%"</t>
  </si>
  <si>
    <t>12/29/2020,"14.93","14.99","15.04","14.87","4.57M","-0.23%"</t>
  </si>
  <si>
    <t>12/28/2020,"14.96","15.02","15.05","14.73","4.60M","0.27%"</t>
  </si>
  <si>
    <t>12/23/2020,"14.92","14.88","15.16","14.84","10.64M","0.27%"</t>
  </si>
  <si>
    <t>12/22/2020,"14.88","14.98","15.04","14.72","5.13M","0.00%"</t>
  </si>
  <si>
    <t>12/21/2020,"14.88","14.97","15.22","14.70","17.19M","-2.13%"</t>
  </si>
  <si>
    <t>12/18/2020,"15.21","15.09","15.37","15.01","10.81M","0.70%"</t>
  </si>
  <si>
    <t>12/17/2020,"15.10","15.19","15.23","14.93","9.41M","0.22%"</t>
  </si>
  <si>
    <t>12/16/2020,"15.07","15.02","15.12","14.70","10.32M","0.31%"</t>
  </si>
  <si>
    <t>12/15/2020,"15.02","14.77","15.11","14.50","11.02M","2.07%"</t>
  </si>
  <si>
    <t>12/14/2020,"14.72","14.32","14.98","14.25","15.47M","3.69%"</t>
  </si>
  <si>
    <t>12/11/2020,"14.19","14.11","14.25","13.87","9.17M","0.19%"</t>
  </si>
  <si>
    <t>12/10/2020,"14.17","13.87","14.19","13.60","12.69M","2.10%"</t>
  </si>
  <si>
    <t>12/09/2020,"13.87","13.84","13.98","13.65","6.15M","0.19%"</t>
  </si>
  <si>
    <t>12/08/2020,"13.85","13.77","13.94","13.62","6.95M","0.67%"</t>
  </si>
  <si>
    <t>12/07/2020,"13.76","14.13","14.25","13.63","9.89M","-2.90%"</t>
  </si>
  <si>
    <t>12/04/2020,"14.17","14.14","14.36","14.03","8.12M","0.61%"</t>
  </si>
  <si>
    <t>12/03/2020,"14.08","14.03","14.23","13.94","6.29M","1.09%"</t>
  </si>
  <si>
    <t>12/02/2020,"13.93","13.99","14.17","13.88","7.50M","0.14%"</t>
  </si>
  <si>
    <t>12/01/2020,"13.91","13.79","13.99","13.62","10.48M","2.29%"</t>
  </si>
  <si>
    <t>11/30/2020,"13.60","13.97","14.20","13.60","13.98M","-2.89%"</t>
  </si>
  <si>
    <t>11/27/2020,"14.00","13.76","14.48","13.66","17.53M","1.78%"</t>
  </si>
  <si>
    <t>11/26/2020,"13.76","14.05","14.05","13.65","5.51M","-1.28%"</t>
  </si>
  <si>
    <t>11/25/2020,"13.93","13.91","14.11","13.82","5.65M","0.24%"</t>
  </si>
  <si>
    <t>11/24/2020,"13.90","13.54","14.13","13.41","10.32M","3.14%"</t>
  </si>
  <si>
    <t>11/23/2020,"13.48","13.78","13.84","13.37","12.47M","-1.60%"</t>
  </si>
  <si>
    <t>11/20/2020,"13.70","13.89","13.93","13.61","7.93M","-1.57%"</t>
  </si>
  <si>
    <t>11/19/2020,"13.91","14.05","14.07","13.76","6.90M","-0.80%"</t>
  </si>
  <si>
    <t>11/18/2020,"14.03","14.37","14.48","13.93","8.88M","-2.35%"</t>
  </si>
  <si>
    <t>11/17/2020,"14.37","14.40","14.48","14.15","8.49M","-0.82%"</t>
  </si>
  <si>
    <t>11/16/2020,"14.48","14.53","14.61","14.30","9.35M","1.30%"</t>
  </si>
  <si>
    <t>11/13/2020,"14.30","14.32","14.44","14.08","21.87M","0.37%"</t>
  </si>
  <si>
    <t>11/12/2020,"14.25","14.70","14.86","14.13","7.19M","-3.11%"</t>
  </si>
  <si>
    <t>11/11/2020,"14.70","14.96","15.06","14.60","12.09M","-1.77%"</t>
  </si>
  <si>
    <t>11/10/2020,"14.97","14.62","15.35","14.56","15.12M","3.34%"</t>
  </si>
  <si>
    <t>11/09/2020,"14.48","14.25","14.70","14.25","10.94M","3.45%"</t>
  </si>
  <si>
    <t>11/06/2020,"14.00","13.78","14.17","13.59","7.17M","0.96%"</t>
  </si>
  <si>
    <t>11/05/2020,"13.87","13.51","13.87","13.36","10.62M","5.65%"</t>
  </si>
  <si>
    <t>11/04/2020,"13.13","12.77","13.23","12.66","5.79M","3.50%"</t>
  </si>
  <si>
    <t>11/03/2020,"12.68","12.86","12.99","12.46","9.48M","-0.16%"</t>
  </si>
  <si>
    <t>10/30/2020,"12.70","12.82","12.99","12.56","7.93M","-2.34%"</t>
  </si>
  <si>
    <t>10/29/2020,"13.01","12.75","13.22","12.47","27.74M","2.61%"</t>
  </si>
  <si>
    <t>10/28/2020,"12.68","13.24","13.24","12.68","7.02M","-5.39%"</t>
  </si>
  <si>
    <t>10/27/2020,"13.40","13.58","13.73","13.35","4.41M","-1.56%"</t>
  </si>
  <si>
    <t>10/26/2020,"13.61","13.71","13.77","13.42","6.07M","-1.53%"</t>
  </si>
  <si>
    <t>10/23/2020,"13.82","13.79","13.88","13.73","3.59M","0.43%"</t>
  </si>
  <si>
    <t>10/22/2020,"13.76","13.84","13.95","13.73","4.94M","-0.29%"</t>
  </si>
  <si>
    <t>10/21/2020,"13.80","13.92","13.92","13.58","4.14M","-0.57%"</t>
  </si>
  <si>
    <t>10/20/2020,"13.88","14.10","14.19","13.82","7.55M","-0.43%"</t>
  </si>
  <si>
    <t>10/19/2020,"13.94","13.51","14.10","13.47","6.37M","2.98%"</t>
  </si>
  <si>
    <t>10/16/2020,"13.54","13.42","13.64","13.28","5.26M","0.84%"</t>
  </si>
  <si>
    <t>10/15/2020,"13.42","13.43","13.54","13.35","5.64M","-1.60%"</t>
  </si>
  <si>
    <t>10/14/2020,"13.64","13.51","13.80","13.50","5.00M","0.98%"</t>
  </si>
  <si>
    <t>10/13/2020,"13.51","13.29","13.73","13.22","8.78M","1.49%"</t>
  </si>
  <si>
    <t>10/09/2020,"13.31","13.38","13.63","13.28","8.82M","-1.13%"</t>
  </si>
  <si>
    <t>10/08/2020,"13.46","13.25","13.62","13.25","7.53M","1.65%"</t>
  </si>
  <si>
    <t>10/07/2020,"13.25","13.45","13.54","13.07","7.66M","-1.09%"</t>
  </si>
  <si>
    <t>10/06/2020,"13.39","13.75","13.86","13.27","4.70M","-1.70%"</t>
  </si>
  <si>
    <t>10/05/2020,"13.62","13.58","13.69","13.26","4.63M","1.03%"</t>
  </si>
  <si>
    <t>10/02/2020,"13.48","13.83","14.06","13.45","7.67M","-3.05%"</t>
  </si>
  <si>
    <t>10/01/2020,"13.91","13.24","13.98","13.21","8.33M","4.22%"</t>
  </si>
  <si>
    <t>09/30/2020,"13.35","13.33","13.47","13.15","5.69M","0.40%"</t>
  </si>
  <si>
    <t>09/29/2020,"13.29","13.35","13.56","13.13","5.18M","-0.89%"</t>
  </si>
  <si>
    <t>09/28/2020,"13.41","13.95","14.14","13.32","6.59M","-3.02%"</t>
  </si>
  <si>
    <t>09/25/2020,"13.83","13.87","13.91","13.68","3.10M","-1.00%"</t>
  </si>
  <si>
    <t>09/24/2020,"13.97","13.87","14.17","13.78","5.59M","1.15%"</t>
  </si>
  <si>
    <t>09/23/2020,"13.81","14.03","14.25","13.79","6.47M","-2.34%"</t>
  </si>
  <si>
    <t>09/22/2020,"14.14","14.07","14.42","14.02","7.80M","0.71%"</t>
  </si>
  <si>
    <t>09/21/2020,"14.04","14.10","14.25","13.78","6.27M","-0.93%"</t>
  </si>
  <si>
    <t>09/18/2020,"14.17","14.51","14.56","14.09","8.00M","-3.47%"</t>
  </si>
  <si>
    <t>09/17/2020,"14.68","14.40","14.68","14.28","3.31M","0.82%"</t>
  </si>
  <si>
    <t>09/16/2020,"14.56","14.70","14.89","14.54","7.33M","-0.36%"</t>
  </si>
  <si>
    <t>09/15/2020,"14.62","14.79","14.84","14.40","6.44M","-0.81%"</t>
  </si>
  <si>
    <t>09/14/2020,"14.74","14.66","14.98","14.62","6.18M","0.63%"</t>
  </si>
  <si>
    <t>09/11/2020,"14.64","14.80","15.00","14.44","5.44M","-1.69%"</t>
  </si>
  <si>
    <t>09/10/2020,"14.89","15.23","15.38","14.80","6.99M","-2.60%"</t>
  </si>
  <si>
    <t>09/09/2020,"15.29","15.23","15.41","14.87","8.50M","0.52%"</t>
  </si>
  <si>
    <t>09/08/2020,"15.21","14.49","15.23","14.47","10.80M","2.64%"</t>
  </si>
  <si>
    <t>09/04/2020,"14.82","14.57","15.00","14.40","29.24M","2.15%"</t>
  </si>
  <si>
    <t>09/03/2020,"14.51","14.60","14.90","14.42","8.38M","-0.41%"</t>
  </si>
  <si>
    <t>09/02/2020,"14.57","14.57","14.71","14.44","6.05M","-0.90%"</t>
  </si>
  <si>
    <t>09/01/2020,"14.70","14.25","14.81","14.23","8.35M","4.03%"</t>
  </si>
  <si>
    <t>08/31/2020,"14.13","14.44","14.48","14.07","10.37M","-2.87%"</t>
  </si>
  <si>
    <t>08/28/2020,"14.55","14.01","14.70","13.95","9.90M","4.52%"</t>
  </si>
  <si>
    <t>08/27/2020,"13.92","14.17","14.34","13.78","18.50M","-3.27%"</t>
  </si>
  <si>
    <t>08/26/2020,"14.39","14.78","14.95","14.27","7.19M","-2.64%"</t>
  </si>
  <si>
    <t>08/25/2020,"14.78","14.80","15.01","14.71","6.02M","-0.13%"</t>
  </si>
  <si>
    <t>08/24/2020,"14.80","14.95","15.22","14.77","6.52M","-0.93%"</t>
  </si>
  <si>
    <t>08/21/2020,"14.94","14.37","14.94","14.32","7.92M","3.63%"</t>
  </si>
  <si>
    <t>08/20/2020,"14.42","13.90","14.54","13.76","6.31M","2.45%"</t>
  </si>
  <si>
    <t>08/19/2020,"14.07","14.37","14.56","13.98","8.10M","-1.16%"</t>
  </si>
  <si>
    <t>08/18/2020,"14.24","13.78","14.27","13.75","6.47M","4.62%"</t>
  </si>
  <si>
    <t>08/17/2020,"13.61","14.01","14.05","13.38","6.77M","-2.56%"</t>
  </si>
  <si>
    <t>08/14/2020,"13.97","13.91","14.09","13.68","6.82M","0.67%"</t>
  </si>
  <si>
    <t>08/13/2020,"13.87","14.44","14.62","13.87","6.88M","-3.05%"</t>
  </si>
  <si>
    <t>08/12/2020,"14.31","14.64","15.02","14.07","10.19M","-0.92%"</t>
  </si>
  <si>
    <t>08/11/2020,"14.44","14.57","14.68","14.40","6.99M","-1.18%"</t>
  </si>
  <si>
    <t>08/10/2020,"14.62","14.72","14.72","14.38","4.21M","-0.18%"</t>
  </si>
  <si>
    <t>08/07/2020,"14.64","14.82","14.84","14.37","7.38M","-1.69%"</t>
  </si>
  <si>
    <t>08/06/2020,"14.89","14.67","14.89","14.59","5.27M","1.44%"</t>
  </si>
  <si>
    <t>08/05/2020,"14.68","14.46","14.84","14.26","16.25M","3.60%"</t>
  </si>
  <si>
    <t>08/04/2020,"14.17","14.37","14.45","13.97","7.77M","-1.83%"</t>
  </si>
  <si>
    <t>08/03/2020,"14.44","14.97","15.02","14.26","9.27M","-1.80%"</t>
  </si>
  <si>
    <t>07/31/2020,"14.70","15.02","15.12","14.62","8.22M","-1.30%"</t>
  </si>
  <si>
    <t>07/30/2020,"14.90","15.03","15.10","14.83","7.76M","-1.25%"</t>
  </si>
  <si>
    <t>07/29/2020,"15.08","15.01","15.36","14.91","7.56M","1.84%"</t>
  </si>
  <si>
    <t>07/28/2020,"14.81","14.84","14.99","14.68","6.01M","-0.22%"</t>
  </si>
  <si>
    <t>07/27/2020,"14.84","14.86","15.23","14.83","4.77M","-0.13%"</t>
  </si>
  <si>
    <t>07/24/2020,"14.86","15.00","15.01","14.59","6.81M","-0.91%"</t>
  </si>
  <si>
    <t>07/23/2020,"15.00","15.38","15.44","14.84","5.92M","-1.99%"</t>
  </si>
  <si>
    <t>07/22/2020,"15.30","15.42","15.76","15.19","6.21M","-1.01%"</t>
  </si>
  <si>
    <t>07/21/2020,"15.46","15.40","15.58","15.15","7.30M","1.53%"</t>
  </si>
  <si>
    <t>07/20/2020,"15.23","15.31","15.35","14.97","6.85M","-1.01%"</t>
  </si>
  <si>
    <t>07/17/2020,"15.38","14.55","15.38","14.55","8.90M","6.31%"</t>
  </si>
  <si>
    <t>07/16/2020,"14.47","14.68","14.80","14.45","3.90M","-2.06%"</t>
  </si>
  <si>
    <t>07/15/2020,"14.77","14.90","14.95","14.55","6.07M","0.31%"</t>
  </si>
  <si>
    <t>07/14/2020,"14.73","14.26","14.79","14.18","7.11M","3.36%"</t>
  </si>
  <si>
    <t>07/13/2020,"14.25","14.71","14.81","14.25","3.86M","-2.70%"</t>
  </si>
  <si>
    <t>07/10/2020,"14.64","14.77","14.90","14.51","4.76M","-0.83%"</t>
  </si>
  <si>
    <t>07/09/2020,"14.77","14.83","14.95","14.54","5.59M","-0.70%"</t>
  </si>
  <si>
    <t>07/08/2020,"14.87","14.54","14.95","14.54","7.23M","2.45%"</t>
  </si>
  <si>
    <t>07/07/2020,"14.51","14.47","14.66","14.38","5.46M","-0.31%"</t>
  </si>
  <si>
    <t>07/06/2020,"14.56","14.61","14.81","14.40","8.27M","1.26%"</t>
  </si>
  <si>
    <t>07/03/2020,"14.38","14.28","14.48","14.00","6.37M","0.95%"</t>
  </si>
  <si>
    <t>07/02/2020,"14.24","14.51","14.60","14.14","10.02M","0.87%"</t>
  </si>
  <si>
    <t>07/01/2020,"14.12","14.11","14.37","13.92","9.29M","1.16%"</t>
  </si>
  <si>
    <t>06/30/2020,"13.96","13.74","14.31","13.67","9.84M","0.37%"</t>
  </si>
  <si>
    <t>06/29/2020,"13.91","13.92","14.01","13.52","6.37M","1.18%"</t>
  </si>
  <si>
    <t>06/26/2020,"13.74","14.15","14.25","13.67","6.04M","-3.98%"</t>
  </si>
  <si>
    <t>06/25/2020,"14.31","14.04","14.32","13.83","18.13M","2.84%"</t>
  </si>
  <si>
    <t>06/24/2020,"13.92","13.99","14.25","13.64","8.75M","-0.51%"</t>
  </si>
  <si>
    <t>06/23/2020,"13.99","14.30","14.46","13.96","10.00M","-0.87%"</t>
  </si>
  <si>
    <t>06/22/2020,"14.11","14.48","14.64","14.07","7.87M","-1.94%"</t>
  </si>
  <si>
    <t>06/19/2020,"14.39","15.19","15.20","14.38","15.29M","-2.88%"</t>
  </si>
  <si>
    <t>06/18/2020,"14.82","14.56","15.16","14.40","13.43M","-0.48%"</t>
  </si>
  <si>
    <t>06/17/2020,"14.89","14.59","15.36","14.22","12.65M","3.28%"</t>
  </si>
  <si>
    <t>06/16/2020,"14.42","15.09","15.17","14.16","9.45M","-1.68%"</t>
  </si>
  <si>
    <t>06/15/2020,"14.66","14.15","14.82","13.68","11.00M","0.98%"</t>
  </si>
  <si>
    <t>06/12/2020,"14.52","14.15","14.88","14.11","15.32M","0.09%"</t>
  </si>
  <si>
    <t>06/10/2020,"14.51","15.45","15.45","14.49","8.16M","-4.31%"</t>
  </si>
  <si>
    <t>06/09/2020,"15.16","14.96","15.63","14.64","9.29M","-2.46%"</t>
  </si>
  <si>
    <t>06/08/2020,"15.54","15.14","15.98","15.12","13.44M","4.71%"</t>
  </si>
  <si>
    <t>06/05/2020,"14.84","15.87","16.11","14.84","10.55M","-2.01%"</t>
  </si>
  <si>
    <t>06/04/2020,"15.15","15.22","15.50","15.03","6.03M","-0.26%"</t>
  </si>
  <si>
    <t>06/03/2020,"15.19","15.16","15.63","14.96","10.09M","2.76%"</t>
  </si>
  <si>
    <t>06/02/2020,"14.78","14.13","14.97","14.09","9.47M","5.65%"</t>
  </si>
  <si>
    <t>06/01/2020,"13.99","14.02","14.49","13.80","7.54M","-0.18%"</t>
  </si>
  <si>
    <t>05/29/2020,"14.02","14.19","14.40","13.81","16.89M","-2.43%"</t>
  </si>
  <si>
    <t>05/28/2020,"14.37","14.36","14.55","14.06","6.72M","-0.09%"</t>
  </si>
  <si>
    <t>05/27/2020,"14.38","13.96","14.50","13.71","7.20M","3.40%"</t>
  </si>
  <si>
    <t>05/26/2020,"13.91","14.77","14.96","13.81","13.38M","-3.38%"</t>
  </si>
  <si>
    <t>05/25/2020,"14.39","13.54","14.39","13.45","8.92M","10.38%"</t>
  </si>
  <si>
    <t>05/22/2020,"13.04","13.47","13.59","12.99","6.43M","-4.23%"</t>
  </si>
  <si>
    <t>05/21/2020,"13.61","12.66","13.79","12.55","9.74M","7.52%"</t>
  </si>
  <si>
    <t>05/20/2020,"12.66","12.56","13.24","12.51","10.06M","1.03%"</t>
  </si>
  <si>
    <t>05/19/2020,"12.53","12.24","12.82","12.11","7.28M","1.79%"</t>
  </si>
  <si>
    <t>05/18/2020,"12.31","12.27","12.43","12.05","6.64M","4.39%"</t>
  </si>
  <si>
    <t>05/15/2020,"11.79","11.95","12.42","11.72","7.93M","-1.83%"</t>
  </si>
  <si>
    <t>05/14/2020,"12.01","11.07","12.17","10.98","11.29M","7.23%"</t>
  </si>
  <si>
    <t>05/13/2020,"11.20","11.51","11.71","11.09","6.63M","-1.70%"</t>
  </si>
  <si>
    <t>05/12/2020,"11.40","11.70","12.01","11.40","6.65M","-1.73%"</t>
  </si>
  <si>
    <t>05/11/2020,"11.60","12.18","12.28","11.59","7.26M","-5.98%"</t>
  </si>
  <si>
    <t>05/08/2020,"12.34","11.86","12.38","11.82","8.67M","4.67%"</t>
  </si>
  <si>
    <t>05/07/2020,"11.79","12.75","12.77","11.79","11.88M","-5.99%"</t>
  </si>
  <si>
    <t>05/06/2020,"12.54","12.95","13.05","12.23","8.50M","-2.22%"</t>
  </si>
  <si>
    <t>05/05/2020,"12.82","12.92","13.33","12.68","7.04M","1.18%"</t>
  </si>
  <si>
    <t>05/04/2020,"12.67","12.25","12.85","12.09","5.56M","0.20%"</t>
  </si>
  <si>
    <t>04/30/2020,"12.65","13.47","13.47","12.47","9.52M","-5.29%"</t>
  </si>
  <si>
    <t>04/29/2020,"13.35","12.73","13.72","12.53","9.66M","6.29%"</t>
  </si>
  <si>
    <t>04/28/2020,"12.56","12.12","12.58","11.74","11.39M","6.30%"</t>
  </si>
  <si>
    <t>04/27/2020,"11.82","11.37","12.11","11.30","10.22M","7.73%"</t>
  </si>
  <si>
    <t>04/24/2020,"10.97","11.66","11.75","9.88","15.19M","-7.43%"</t>
  </si>
  <si>
    <t>04/23/2020,"11.85","12.47","12.67","11.66","7.29M","-4.04%"</t>
  </si>
  <si>
    <t>04/22/2020,"12.35","12.11","12.69","12.09","7.37M","2.14%"</t>
  </si>
  <si>
    <t>04/20/2020,"12.09","11.69","12.62","11.48","8.79M","1.41%"</t>
  </si>
  <si>
    <t>04/17/2020,"11.92","12.56","12.63","11.71","7.14M","-0.65%"</t>
  </si>
  <si>
    <t>04/16/2020,"12.00","12.82","12.86","12.00","7.39M","-4.93%"</t>
  </si>
  <si>
    <t>04/15/2020,"12.62","11.98","12.89","11.77","10.39M","1.99%"</t>
  </si>
  <si>
    <t>04/14/2020,"12.38","12.43","12.78","12.36","5.97M","1.11%"</t>
  </si>
  <si>
    <t>04/13/2020,"12.24","12.51","12.63","11.89","9.03M","-2.68%"</t>
  </si>
  <si>
    <t>04/09/2020,"12.58","12.49","13.26","12.34","15.41M","1.68%"</t>
  </si>
  <si>
    <t>04/08/2020,"12.37","12.14","12.58","11.92","10.37M","4.49%"</t>
  </si>
  <si>
    <t>04/07/2020,"11.84","11.44","12.35","11.44","16.51M","14.97%"</t>
  </si>
  <si>
    <t>04/06/2020,"10.30","9.39","10.66","9.39","10.50M","14.80%"</t>
  </si>
  <si>
    <t>04/03/2020,"8.97","9.36","9.44","8.76","7.77M","-3.48%"</t>
  </si>
  <si>
    <t>04/02/2020,"9.29","9.39","9.70","9.11","9.35M","2.35%"</t>
  </si>
  <si>
    <t>04/01/2020,"9.08","9.60","9.66","9.07","11.80M","-9.61%"</t>
  </si>
  <si>
    <t>03/31/2020,"10.05","10.23","10.34","9.97","7.83M","-1.52%"</t>
  </si>
  <si>
    <t>03/30/2020,"10.20","10.52","10.63","9.86","9.26M","-2.54%"</t>
  </si>
  <si>
    <t>03/27/2020,"10.47","10.82","10.92","10.43","11.54M","-9.21%"</t>
  </si>
  <si>
    <t>03/26/2020,"11.53","10.65","11.53","10.45","10.56M","7.49%"</t>
  </si>
  <si>
    <t>03/25/2020,"10.73","9.51","10.94","9.31","9.16M","11.14%"</t>
  </si>
  <si>
    <t>03/24/2020,"9.65","9.46","10.17","9.40","10.76M","8.44%"</t>
  </si>
  <si>
    <t>03/23/2020,"8.90","9.46","9.55","8.56","14.09M","-6.40%"</t>
  </si>
  <si>
    <t>03/20/2020,"9.51","10.01","10.43","9.18","11.80M","-1.87%"</t>
  </si>
  <si>
    <t>03/19/2020,"9.69","9.77","10.10","8.96","14.05M","-4.10%"</t>
  </si>
  <si>
    <t>03/18/2020,"10.10","10.23","10.75","9.36","14.66M","-14.52%"</t>
  </si>
  <si>
    <t>03/17/2020,"11.82","11.60","12.27","11.24","13.92M","2.59%"</t>
  </si>
  <si>
    <t>03/16/2020,"11.52","11.46","12.37","11.37","12.31M","-13.85%"</t>
  </si>
  <si>
    <t>03/13/2020,"13.37","14.90","14.90","11.48","13.40M","7.44%"</t>
  </si>
  <si>
    <t>03/12/2020,"12.45","12.82","13.12","11.55","8.58M","-15.29%"</t>
  </si>
  <si>
    <t>03/11/2020,"14.70","15.33","15.71","13.67","9.60M","-6.93%"</t>
  </si>
  <si>
    <t>03/10/2020,"15.79","15.03","16.20","14.75","11.62M","9.82%"</t>
  </si>
  <si>
    <t>03/09/2020,"14.38","14.24","14.85","13.34","24.17M","-9.87%"</t>
  </si>
  <si>
    <t>03/06/2020,"15.95","15.54","16.09","15.41","8.81M","-1.91%"</t>
  </si>
  <si>
    <t>03/05/2020,"16.26","17.03","17.18","15.51","17.72M","-5.25%"</t>
  </si>
  <si>
    <t>03/04/2020,"17.16","17.45","17.60","16.94","8.44M","0.91%"</t>
  </si>
  <si>
    <t>03/03/2020,"17.01","17.35","17.69","16.79","8.93M","-0.94%"</t>
  </si>
  <si>
    <t>03/02/2020,"17.17","16.90","17.42","16.71","7.78M","1.57%"</t>
  </si>
  <si>
    <t>02/28/2020,"16.90","17.05","17.29","16.42","13.38M","-0.42%"</t>
  </si>
  <si>
    <t>02/27/2020,"16.98","17.39","17.75","16.95","9.76M","-3.82%"</t>
  </si>
  <si>
    <t>02/26/2020,"17.65","18.04","18.12","17.29","8.11M","-6.00%"</t>
  </si>
  <si>
    <t>02/21/2020,"18.78","18.78","18.87","18.53","4.21M","-1.86%"</t>
  </si>
  <si>
    <t>02/20/2020,"19.13","19.30","19.37","18.85","5.03M","-1.27%"</t>
  </si>
  <si>
    <t>02/19/2020,"19.38","19.43","19.62","19.19","4.36M","-1.16%"</t>
  </si>
  <si>
    <t>02/18/2020,"19.60","19.48","19.66","19.20","4.27M","-0.75%"</t>
  </si>
  <si>
    <t>02/17/2020,"19.75","19.76","19.90","19.50","2.22M","0.10%"</t>
  </si>
  <si>
    <t>02/14/2020,"19.73","19.88","20.14","19.59","4.05M","-1.99%"</t>
  </si>
  <si>
    <t>02/13/2020,"20.14","19.69","20.21","19.48","9.02M","1.11%"</t>
  </si>
  <si>
    <t>02/12/2020,"19.92","19.53","20.13","19.40","8.42M","2.16%"</t>
  </si>
  <si>
    <t>02/11/2020,"19.49","18.77","19.49","18.59","4.90M","4.70%"</t>
  </si>
  <si>
    <t>02/10/2020,"18.62","18.75","18.88","18.13","3.92M","-0.31%"</t>
  </si>
  <si>
    <t>02/07/2020,"18.68","18.91","18.94","18.41","5.19M","-1.57%"</t>
  </si>
  <si>
    <t>02/06/2020,"18.98","19.29","19.39","18.68","4.02M","-0.98%"</t>
  </si>
  <si>
    <t>02/05/2020,"19.16","19.18","19.39","18.97","8.75M","1.23%"</t>
  </si>
  <si>
    <t>02/04/2020,"18.93","19.31","19.41","18.85","6.20M","-0.41%"</t>
  </si>
  <si>
    <t>02/03/2020,"19.01","18.72","19.40","18.67","8.84M","1.91%"</t>
  </si>
  <si>
    <t>01/31/2020,"18.65","18.53","18.98","18.34","8.62M","-0.59%"</t>
  </si>
  <si>
    <t>01/30/2020,"18.76","18.39","18.78","17.87","5.92M","1.12%"</t>
  </si>
  <si>
    <t>01/29/2020,"18.56","18.80","18.91","18.46","3.75M","-1.21%"</t>
  </si>
  <si>
    <t>01/28/2020,"18.78","18.61","18.78","18.52","4.59M","1.22%"</t>
  </si>
  <si>
    <t>01/27/2020,"18.56","18.78","18.80","18.30","4.00M","-3.18%"</t>
  </si>
  <si>
    <t>01/24/2020,"19.16","19.10","19.24","18.88","3.80M","0.41%"</t>
  </si>
  <si>
    <t>01/23/2020,"19.09","18.65","19.20","18.45","6.44M","1.45%"</t>
  </si>
  <si>
    <t>01/22/2020,"18.81","18.59","18.81","18.42","5.89M","1.22%"</t>
  </si>
  <si>
    <t>01/21/2020,"18.59","18.75","18.78","18.53","6.90M","-1.48%"</t>
  </si>
  <si>
    <t>01/20/2020,"18.87","18.62","18.87","18.47","6.15M","1.32%"</t>
  </si>
  <si>
    <t>01/17/2020,"18.62","18.33","18.62","18.24","6.02M","2.10%"</t>
  </si>
  <si>
    <t>01/16/2020,"18.24","18.56","18.64","18.10","7.29M","-0.98%"</t>
  </si>
  <si>
    <t>01/15/2020,"18.42","18.58","18.62","18.23","5.57M","-1.25%"</t>
  </si>
  <si>
    <t>01/14/2020,"18.65","18.62","18.69","18.33","8.11M","0.03%"</t>
  </si>
  <si>
    <t>01/13/2020,"18.65","18.43","18.74","18.25","9.14M","2.09%"</t>
  </si>
  <si>
    <t>01/10/2020,"18.26","18.33","18.55","18.04","11.69M","0.39%"</t>
  </si>
  <si>
    <t>01/09/2020,"18.19","18.78","18.90","18.19","7.49M","-2.63%"</t>
  </si>
  <si>
    <t>01/08/2020,"18.69","18.88","18.96","18.50","6.21M","-0.48%"</t>
  </si>
  <si>
    <t>01/07/2020,"18.78","18.86","18.98","18.66","8.38M","-0.14%"</t>
  </si>
  <si>
    <t>01/06/2020,"18.80","19.30","19.30","18.57","13.61M","-5.01%"</t>
  </si>
  <si>
    <t>01/03/2020,"19.79","19.70","20.38","19.60","6.68M","-0.59%"</t>
  </si>
  <si>
    <t>01/02/2020,"19.91","19.59","20.03","19.39","4.11M","2.23%"</t>
  </si>
  <si>
    <t>12/30/2019,"19.48","19.71","19.71","19.31","3.56M","-1.18%"</t>
  </si>
  <si>
    <t>12/27/2019,"19.71","19.62","19.75","19.41","2.54M","0.96%"</t>
  </si>
  <si>
    <t>12/26/2019,"19.52","19.55","19.64","19.38","2.68M","-0.20%"</t>
  </si>
  <si>
    <t>12/23/2019,"19.56","18.94","19.69","18.91","3.48M","3.07%"</t>
  </si>
  <si>
    <t>12/20/2019,"18.98","19.02","19.38","18.89","8.14M","-0.44%"</t>
  </si>
  <si>
    <t>12/19/2019,"19.06","18.92","19.15","18.75","7.50M","0.72%"</t>
  </si>
  <si>
    <t>12/18/2019,"18.92","18.81","19.04","18.59","12.00M","0.07%"</t>
  </si>
  <si>
    <t>12/17/2019,"18.91","18.43","19.02","18.26","10.94M","2.46%"</t>
  </si>
  <si>
    <t>12/16/2019,"18.46","17.94","18.48","17.82","6.73M","3.56%"</t>
  </si>
  <si>
    <t>12/13/2019,"17.82","18.01","18.04","17.59","5.81M","-1.01%"</t>
  </si>
  <si>
    <t>12/12/2019,"18.01","17.81","18.04","17.75","7.23M","1.02%"</t>
  </si>
  <si>
    <t>12/11/2019,"17.82","17.65","17.82","17.45","4.53M","1.03%"</t>
  </si>
  <si>
    <t>12/10/2019,"17.64","17.27","17.64","17.25","4.11M","2.21%"</t>
  </si>
  <si>
    <t>12/09/2019,"17.26","17.58","17.71","17.18","6.14M","-2.13%"</t>
  </si>
  <si>
    <t>12/06/2019,"17.64","17.76","17.86","17.55","4.89M","-0.69%"</t>
  </si>
  <si>
    <t>12/05/2019,"17.76","17.93","17.93","17.42","6.15M","0.67%"</t>
  </si>
  <si>
    <t>12/04/2019,"17.64","18.23","18.23","17.58","8.02M","-2.15%"</t>
  </si>
  <si>
    <t>12/03/2019,"18.03","18.31","18.36","17.97","5.02M","-1.22%"</t>
  </si>
  <si>
    <t>12/02/2019,"18.25","18.14","18.31","18.04","13.62M","0.77%"</t>
  </si>
  <si>
    <t>11/29/2019,"18.11","18.01","18.11","17.72","3.81M","0.57%"</t>
  </si>
  <si>
    <t>11/28/2019,"18.01","17.92","18.12","17.79","1.92M","0.60%"</t>
  </si>
  <si>
    <t>11/27/2019,"17.90","17.82","18.07","17.61","6.33M","0.39%"</t>
  </si>
  <si>
    <t>11/26/2019,"17.83","17.53","17.83","17.30","9.84M","0.83%"</t>
  </si>
  <si>
    <t>11/25/2019,"17.68","17.63","17.82","17.49","4.20M","0.69%"</t>
  </si>
  <si>
    <t>11/22/2019,"17.56","17.58","17.72","17.43","6.27M","0.00%"</t>
  </si>
  <si>
    <t>11/21/2019,"17.56","17.63","17.92","17.53","9.42M","-0.36%"</t>
  </si>
  <si>
    <t>11/19/2019,"17.63","17.63","17.92","17.25","4.29M","-0.04%"</t>
  </si>
  <si>
    <t>11/18/2019,"17.63","17.76","17.89","17.54","4.01M","0.22%"</t>
  </si>
  <si>
    <t>11/14/2019,"17.60","17.45","17.67","17.17","5.95M","1.81%"</t>
  </si>
  <si>
    <t>11/13/2019,"17.28","17.40","17.50","17.08","11.87M","-1.24%"</t>
  </si>
  <si>
    <t>11/12/2019,"17.50","17.98","18.08","17.14","20.31M","-3.58%"</t>
  </si>
  <si>
    <t>11/11/2019,"18.15","17.83","18.15","17.51","4.89M","2.22%"</t>
  </si>
  <si>
    <t>11/08/2019,"17.75","17.43","18.26","17.23","12.13M","1.71%"</t>
  </si>
  <si>
    <t>11/07/2019,"17.46","17.54","17.76","17.28","7.65M","-0.33%"</t>
  </si>
  <si>
    <t>11/06/2019,"17.51","17.58","17.83","17.28","4.72M","0.11%"</t>
  </si>
  <si>
    <t>11/05/2019,"17.49","17.68","17.81","17.26","5.23M","-1.08%"</t>
  </si>
  <si>
    <t>11/04/2019,"17.68","18.21","18.24","17.67","4.34M","-2.29%"</t>
  </si>
  <si>
    <t>11/01/2019,"18.10","18.11","18.31","18.02","4.38M","0.50%"</t>
  </si>
  <si>
    <t>10/31/2019,"18.01","18.33","18.33","17.78","5.43M","-1.63%"</t>
  </si>
  <si>
    <t>10/30/2019,"18.31","18.06","18.38","17.83","3.13M","1.45%"</t>
  </si>
  <si>
    <t>10/29/2019,"18.05","18.37","18.41","18.00","5.20M","-2.24%"</t>
  </si>
  <si>
    <t>10/28/2019,"18.46","17.96","18.60","17.87","6.95M","1.90%"</t>
  </si>
  <si>
    <t>10/25/2019,"18.12","18.09","18.37","17.83","4.82M","0.64%"</t>
  </si>
  <si>
    <t>10/24/2019,"18.00","17.75","18.24","17.69","7.78M","1.91%"</t>
  </si>
  <si>
    <t>10/23/2019,"17.67","17.35","17.75","17.20","5.84M","2.36%"</t>
  </si>
  <si>
    <t>10/22/2019,"17.26","17.25","17.75","17.17","6.86M","0.11%"</t>
  </si>
  <si>
    <t>10/21/2019,"17.24","16.99","17.26","16.99","4.21M","1.58%"</t>
  </si>
  <si>
    <t>10/18/2019,"16.97","16.98","17.12","16.86","4.92M","0.19%"</t>
  </si>
  <si>
    <t>10/17/2019,"16.94","17.13","17.29","16.84","5.15M","-0.93%"</t>
  </si>
  <si>
    <t>10/16/2019,"17.10","17.10","17.20","16.86","7.77M","0.00%"</t>
  </si>
  <si>
    <t>10/15/2019,"17.10","17.48","17.60","17.09","6.82M","-2.29%"</t>
  </si>
  <si>
    <t>10/14/2019,"17.50","17.44","17.50","17.34","3.38M","0.62%"</t>
  </si>
  <si>
    <t>10/11/2019,"17.39","16.95","17.51","16.95","5.11M","2.75%"</t>
  </si>
  <si>
    <t>10/10/2019,"16.93","17.00","17.06","16.77","6.06M","-0.19%"</t>
  </si>
  <si>
    <t>10/09/2019,"16.96","16.97","17.13","16.82","4.84M","0.49%"</t>
  </si>
  <si>
    <t>10/08/2019,"16.88","16.95","17.10","16.84","4.21M","0.00%"</t>
  </si>
  <si>
    <t>10/07/2019,"16.88","17.03","17.30","16.87","3.50M","-1.74%"</t>
  </si>
  <si>
    <t>10/04/2019,"17.18","17.11","17.19","16.91","2.87M","0.45%"</t>
  </si>
  <si>
    <t>10/03/2019,"17.10","16.97","17.39","16.84","6.08M","1.51%"</t>
  </si>
  <si>
    <t>10/02/2019,"16.84","17.13","17.16","16.79","5.49M","-2.22%"</t>
  </si>
  <si>
    <t>10/01/2019,"17.23","17.54","17.59","17.19","3.78M","-1.74%"</t>
  </si>
  <si>
    <t>09/30/2019,"17.53","17.53","17.61","17.28","4.36M","0.44%"</t>
  </si>
  <si>
    <t>09/27/2019,"17.46","17.48","17.64","17.35","3.93M","-0.62%"</t>
  </si>
  <si>
    <t>09/26/2019,"17.56","17.35","17.56","17.21","4.44M","2.07%"</t>
  </si>
  <si>
    <t>09/25/2019,"17.21","17.19","17.28","16.82","3.13M","-0.30%"</t>
  </si>
  <si>
    <t>09/24/2019,"17.26","17.39","17.39","17.14","3.09M","-0.73%"</t>
  </si>
  <si>
    <t>09/23/2019,"17.39","17.42","17.43","17.19","2.92M","-0.36%"</t>
  </si>
  <si>
    <t>09/20/2019,"17.45","17.25","17.45","17.15","8.19M","1.86%"</t>
  </si>
  <si>
    <t>09/19/2019,"17.13","17.25","17.39","17.10","6.89M","0.19%"</t>
  </si>
  <si>
    <t>09/18/2019,"17.10","17.32","17.43","16.86","7.19M","-1.14%"</t>
  </si>
  <si>
    <t>09/17/2019,"17.30","17.29","17.53","17.15","7.49M","-1.34%"</t>
  </si>
  <si>
    <t>09/16/2019,"17.53","17.58","17.70","17.20","8.38M","0.88%"</t>
  </si>
  <si>
    <t>09/13/2019,"17.38","17.74","17.77","17.17","5.56M","-1.83%"</t>
  </si>
  <si>
    <t>09/12/2019,"17.70","17.89","18.05","17.68","3.71M","-0.36%"</t>
  </si>
  <si>
    <t>09/11/2019,"17.77","17.70","17.88","17.49","5.44M","1.12%"</t>
  </si>
  <si>
    <t>09/10/2019,"17.57","17.40","17.67","17.33","4.76M","-0.33%"</t>
  </si>
  <si>
    <t>09/09/2019,"17.63","18.21","18.21","17.56","8.10M","-2.33%"</t>
  </si>
  <si>
    <t>09/06/2019,"18.05","18.01","18.15","17.89","3.53M","0.50%"</t>
  </si>
  <si>
    <t>09/05/2019,"17.96","17.96","18.16","17.74","3.80M","0.25%"</t>
  </si>
  <si>
    <t>09/04/2019,"17.91","18.18","18.30","17.65","7.06M","-0.71%"</t>
  </si>
  <si>
    <t>09/03/2019,"18.04","18.17","18.42","18.01","3.79M","-1.46%"</t>
  </si>
  <si>
    <t>09/02/2019,"18.31","18.10","18.31","17.93","6.81M","-0.17%"</t>
  </si>
  <si>
    <t>08/30/2019,"18.34","18.47","18.81","18.10","8.74M","0.00%"</t>
  </si>
  <si>
    <t>08/29/2019,"18.34","18.16","18.53","17.97","6.76M","1.23%"</t>
  </si>
  <si>
    <t>08/28/2019,"18.12","17.68","18.17","17.56","9.61M","1.64%"</t>
  </si>
  <si>
    <t>08/27/2019,"17.82","17.71","17.96","17.23","10.53M","0.76%"</t>
  </si>
  <si>
    <t>08/26/2019,"17.69","17.99","18.05","17.09","10.99M","-1.31%"</t>
  </si>
  <si>
    <t>08/23/2019,"17.93","17.97","18.26","17.48","10.62M","-1.12%"</t>
  </si>
  <si>
    <t>08/22/2019,"18.13","18.50","18.56","18.07","6.09M","-1.83%"</t>
  </si>
  <si>
    <t>08/21/2019,"18.47","18.42","18.77","18.10","9.32M","1.65%"</t>
  </si>
  <si>
    <t>08/20/2019,"18.17","17.83","18.32","17.47","10.39M","1.89%"</t>
  </si>
  <si>
    <t>08/19/2019,"17.83","17.60","18.53","17.53","15.10M","0.79%"</t>
  </si>
  <si>
    <t>08/16/2019,"17.69","17.04","17.69","16.60","15.13M","4.16%"</t>
  </si>
  <si>
    <t>08/15/2019,"16.98","17.26","17.30","16.87","8.47M","-1.59%"</t>
  </si>
  <si>
    <t>08/14/2019,"17.26","17.28","17.36","17.01","11.17M","-0.55%"</t>
  </si>
  <si>
    <t>08/13/2019,"17.35","17.25","17.50","17.10","5.26M","0.00%"</t>
  </si>
  <si>
    <t>08/12/2019,"17.35","17.31","17.49","17.05","7.42M","-0.33%"</t>
  </si>
  <si>
    <t>08/09/2019,"17.41","17.13","17.41","17.03","4.97M","1.11%"</t>
  </si>
  <si>
    <t>08/08/2019,"17.22","17.16","17.35","16.99","6.39M","0.82%"</t>
  </si>
  <si>
    <t>08/07/2019,"17.08","17.06","17.16","16.82","9.64M","-1.03%"</t>
  </si>
  <si>
    <t>08/06/2019,"17.26","17.26","17.31","16.72","18.27M","0.78%"</t>
  </si>
  <si>
    <t>08/05/2019,"17.12","17.07","17.30","16.68","22.16M","-1.32%"</t>
  </si>
  <si>
    <t>08/02/2019,"17.35","17.35","17.41","16.88","8.28M","0.55%"</t>
  </si>
  <si>
    <t>08/01/2019,"17.26","16.62","17.83","16.44","28.66M","1.88%"</t>
  </si>
  <si>
    <t>07/31/2019,"16.94","16.91","16.98","16.66","11.06M","0.76%"</t>
  </si>
  <si>
    <t>07/30/2019,"16.81","16.96","17.14","16.69","12.57M","-1.16%"</t>
  </si>
  <si>
    <t>07/29/2019,"17.01","17.16","17.26","16.91","16.75M","-1.22%"</t>
  </si>
  <si>
    <t>07/26/2019,"17.22","16.93","17.35","16.88","79.65M","2.62%"</t>
  </si>
  <si>
    <t>07/25/2019,"16.78","16.63","17.19","16.56","51.03M","0.11%"</t>
  </si>
  <si>
    <t>07/24/2019,"16.76","16.60","17.60","16.56","64.65M","1.19%"</t>
  </si>
  <si>
    <t>07/23/2019,"16.56","16.18","16.81","15.97","8.93M","2.00%"</t>
  </si>
  <si>
    <t>07/22/2019,"16.24","16.51","16.73","16.20","4.86M","-2.86%"</t>
  </si>
  <si>
    <t>07/19/2019,"16.72","16.63","17.02","16.60","3.33M","-0.94%"</t>
  </si>
  <si>
    <t>07/18/2019,"16.88","16.85","17.07","16.77","3.38M","0.49%"</t>
  </si>
  <si>
    <t>07/17/2019,"16.79","16.44","16.91","16.44","3.87M","1.89%"</t>
  </si>
  <si>
    <t>07/16/2019,"16.48","16.61","16.75","16.25","4.36M","-0.69%"</t>
  </si>
  <si>
    <t>07/15/2019,"16.60","16.82","16.95","16.47","3.22M","-1.29%"</t>
  </si>
  <si>
    <t>07/12/2019,"16.81","17.00","17.08","16.81","2.22M","-1.12%"</t>
  </si>
  <si>
    <t>07/11/2019,"17.00","16.88","17.07","16.66","3.97M","0.38%"</t>
  </si>
  <si>
    <t>07/10/2019,"16.94","16.24","17.26","16.23","11.28M","4.52%"</t>
  </si>
  <si>
    <t>07/08/2019,"16.21","15.74","16.21","15.74","5.22M","2.83%"</t>
  </si>
  <si>
    <t>07/05/2019,"15.76","15.60","15.89","15.50","4.55M","0.98%"</t>
  </si>
  <si>
    <t>07/04/2019,"15.61","15.39","15.77","15.19","4.10M","2.13%"</t>
  </si>
  <si>
    <t>07/03/2019,"15.28","15.06","15.28","14.74","5.36M","1.69%"</t>
  </si>
  <si>
    <t>07/02/2019,"15.03","15.68","15.84","14.98","4.97M","-3.67%"</t>
  </si>
  <si>
    <t>07/01/2019,"15.60","16.12","16.14","15.60","3.44M","-2.00%"</t>
  </si>
  <si>
    <t>06/28/2019,"15.92","16.05","16.11","15.82","2.79M","0.00%"</t>
  </si>
  <si>
    <t>06/27/2019,"15.92","15.92","16.12","15.74","4.10M","0.00%"</t>
  </si>
  <si>
    <t>06/26/2019,"15.92","15.54","16.04","15.54","3.78M","2.92%"</t>
  </si>
  <si>
    <t>06/25/2019,"15.47","15.91","15.98","15.43","2.66M","-2.84%"</t>
  </si>
  <si>
    <t>06/24/2019,"15.92","16.03","16.14","15.89","2.93M","0.00%"</t>
  </si>
  <si>
    <t>06/21/2019,"15.92","15.75","16.03","15.68","3.16M","1.54%"</t>
  </si>
  <si>
    <t>06/19/2019,"15.68","15.70","15.75","15.41","2.44M","-0.40%"</t>
  </si>
  <si>
    <t>06/18/2019,"15.74","15.35","15.95","15.23","5.21M","2.57%"</t>
  </si>
  <si>
    <t>06/17/2019,"15.35","15.68","15.91","15.29","3.38M","-2.19%"</t>
  </si>
  <si>
    <t>06/14/2019,"15.69","15.92","16.08","15.69","2.81M","-1.04%"</t>
  </si>
  <si>
    <t>06/13/2019,"15.86","15.79","16.16","15.69","3.12M","1.01%"</t>
  </si>
  <si>
    <t>06/12/2019,"15.70","15.79","15.87","15.54","2.90M","-1.00%"</t>
  </si>
  <si>
    <t>06/11/2019,"15.86","15.60","16.07","15.55","3.44M","2.26%"</t>
  </si>
  <si>
    <t>06/10/2019,"15.51","15.85","15.85","15.39","3.19M","-1.85%"</t>
  </si>
  <si>
    <t>06/07/2019,"15.80","16.37","16.54","15.80","3.57M","-1.98%"</t>
  </si>
  <si>
    <t>06/06/2019,"16.12","15.84","16.33","15.72","3.12M","3.26%"</t>
  </si>
  <si>
    <t>06/05/2019,"15.61","15.92","16.06","15.51","2.00M","-1.96%"</t>
  </si>
  <si>
    <t>06/04/2019,"15.92","16.05","16.11","15.60","3.65M","-0.56%"</t>
  </si>
  <si>
    <t>06/03/2019,"16.01","16.28","16.33","15.83","3.87M","-1.60%"</t>
  </si>
  <si>
    <t>05/31/2019,"16.27","15.73","16.30","15.64","8.69M","2.61%"</t>
  </si>
  <si>
    <t>05/30/2019,"15.86","15.63","15.95","15.48","4.05M","1.22%"</t>
  </si>
  <si>
    <t>05/29/2019,"15.67","15.04","15.67","15.00","5.19M","4.06%"</t>
  </si>
  <si>
    <t>05/28/2019,"15.05","14.67","15.05","14.67","4.31M","2.34%"</t>
  </si>
  <si>
    <t>05/27/2019,"14.71","14.82","15.03","14.71","1.69M","0.30%"</t>
  </si>
  <si>
    <t>05/24/2019,"14.67","14.77","15.14","14.67","2.81M","-0.26%"</t>
  </si>
  <si>
    <t>05/23/2019,"14.70","14.73","15.06","14.54","4.03M","0.39%"</t>
  </si>
  <si>
    <t>05/22/2019,"14.65","14.97","15.26","14.65","7.10M","-1.84%"</t>
  </si>
  <si>
    <t>05/21/2019,"14.92","14.39","14.99","14.32","4.18M","4.23%"</t>
  </si>
  <si>
    <t>05/20/2019,"14.32","13.68","14.33","13.67","3.20M","5.00%"</t>
  </si>
  <si>
    <t>05/17/2019,"13.63","13.95","14.05","13.37","4.97M","-2.24%"</t>
  </si>
  <si>
    <t>05/16/2019,"13.95","14.28","14.35","13.82","5.83M","-3.74%"</t>
  </si>
  <si>
    <t>05/15/2019,"14.49","14.48","14.76","14.22","3.54M","-0.87%"</t>
  </si>
  <si>
    <t>05/14/2019,"14.62","15.12","15.19","14.62","3.91M","-2.67%"</t>
  </si>
  <si>
    <t>05/13/2019,"15.02","15.07","15.26","14.85","3.66M","-1.54%"</t>
  </si>
  <si>
    <t>05/10/2019,"15.25","15.46","15.60","15.23","2.55M","-2.20%"</t>
  </si>
  <si>
    <t>05/09/2019,"15.60","15.03","15.67","15.00","3.94M","2.47%"</t>
  </si>
  <si>
    <t>05/08/2019,"15.22","15.14","15.44","15.07","3.79M","1.14%"</t>
  </si>
  <si>
    <t>05/07/2019,"15.05","14.77","15.20","14.68","5.33M","3.50%"</t>
  </si>
  <si>
    <t>05/06/2019,"14.54","14.37","14.63","14.33","3.68M","0.09%"</t>
  </si>
  <si>
    <t>05/03/2019,"14.53","15.28","15.35","14.53","3.29M","-4.24%"</t>
  </si>
  <si>
    <t>05/02/2019,"15.17","14.95","15.56","14.81","8.81M","0.51%"</t>
  </si>
  <si>
    <t>04/30/2019,"15.09","14.33","15.09","14.33","4.61M","4.36%"</t>
  </si>
  <si>
    <t>04/29/2019,"14.46","14.09","14.60","14.04","2.89M","3.94%"</t>
  </si>
  <si>
    <t>04/26/2019,"13.91","14.18","14.23","13.91","3.82M","-1.89%"</t>
  </si>
  <si>
    <t>04/25/2019,"14.18","13.82","14.18","13.76","3.53M","-2.72%"</t>
  </si>
  <si>
    <t>04/24/2019,"14.58","15.04","15.13","14.50","4.38M","-2.42%"</t>
  </si>
  <si>
    <t>04/23/2019,"14.94","14.41","14.98","14.38","8.45M","4.91%"</t>
  </si>
  <si>
    <t>04/22/2019,"14.24","13.83","14.42","13.74","4.29M","2.93%"</t>
  </si>
  <si>
    <t>04/18/2019,"13.84","13.73","13.85","13.51","5.91M","1.30%"</t>
  </si>
  <si>
    <t>04/17/2019,"13.66","14.06","14.27","13.46","4.66M","-2.15%"</t>
  </si>
  <si>
    <t>04/16/2019,"13.96","14.06","14.17","13.87","3.37M","-0.70%"</t>
  </si>
  <si>
    <t>04/15/2019,"14.06","13.69","14.24","13.68","4.80M","4.09%"</t>
  </si>
  <si>
    <t>04/12/2019,"13.50","13.81","14.03","13.44","9.69M","-4.10%"</t>
  </si>
  <si>
    <t>04/11/2019,"14.08","14.42","14.51","13.84","4.12M","-1.97%"</t>
  </si>
  <si>
    <t>04/10/2019,"14.36","14.68","14.68","14.26","6.59M","-0.97%"</t>
  </si>
  <si>
    <t>04/09/2019,"14.50","14.67","14.70","14.26","6.67M","-1.13%"</t>
  </si>
  <si>
    <t>04/08/2019,"14.67","15.10","15.22","14.65","10.24M","-2.49%"</t>
  </si>
  <si>
    <t>04/05/2019,"15.04","15.44","15.71","14.93","5.08M","-1.17%"</t>
  </si>
  <si>
    <t>04/04/2019,"15.22","14.67","15.38","14.66","6.52M","3.77%"</t>
  </si>
  <si>
    <t>04/03/2019,"14.67","14.50","14.81","14.45","6.46M","1.79%"</t>
  </si>
  <si>
    <t>04/02/2019,"14.41","14.46","14.60","14.04","4.42M","0.13%"</t>
  </si>
  <si>
    <t>04/01/2019,"14.39","14.33","14.49","14.19","4.37M","1.30%"</t>
  </si>
  <si>
    <t>03/29/2019,"14.21","14.88","15.01","14.00","10.24M","-4.10%"</t>
  </si>
  <si>
    <t>03/28/2019,"14.82","14.37","15.01","14.17","3.03M","3.16%"</t>
  </si>
  <si>
    <t>03/27/2019,"14.36","14.92","14.93","14.36","5.27M","-5.07%"</t>
  </si>
  <si>
    <t>03/26/2019,"15.13","14.84","15.13","14.61","8.88M","3.57%"</t>
  </si>
  <si>
    <t>03/25/2019,"14.61","14.42","14.79","14.25","5.01M","0.42%"</t>
  </si>
  <si>
    <t>03/22/2019,"14.55","14.77","14.81","14.42","4.74M","-3.27%"</t>
  </si>
  <si>
    <t>03/21/2019,"15.04","15.43","15.43","14.77","6.22M","-1.61%"</t>
  </si>
  <si>
    <t>03/20/2019,"15.28","15.88","15.94","15.22","5.58M","-3.75%"</t>
  </si>
  <si>
    <t>03/19/2019,"15.88","15.55","15.88","15.49","5.96M","2.25%"</t>
  </si>
  <si>
    <t>03/18/2019,"15.53","15.60","15.60","15.27","3.50M","0.36%"</t>
  </si>
  <si>
    <t>03/15/2019,"15.47","15.19","15.49","15.19","5.18M","2.11%"</t>
  </si>
  <si>
    <t>03/14/2019,"15.15","15.16","15.31","14.99","4.02M","0.53%"</t>
  </si>
  <si>
    <t>03/13/2019,"15.08","15.21","15.27","14.94","11.29M","0.08%"</t>
  </si>
  <si>
    <t>03/12/2019,"15.06","14.96","15.36","14.88","6.18M","1.40%"</t>
  </si>
  <si>
    <t>03/11/2019,"14.85","15.24","15.24","14.68","9.27M","-2.81%"</t>
  </si>
  <si>
    <t>03/08/2019,"15.28","15.04","15.62","14.98","4.73M","0.61%"</t>
  </si>
  <si>
    <t>03/07/2019,"15.19","15.09","15.24","14.98","4.85M","0.86%"</t>
  </si>
  <si>
    <t>03/06/2019,"15.06","14.73","15.26","14.73","3.40M","1.83%"</t>
  </si>
  <si>
    <t>03/01/2019,"14.79","14.98","15.17","14.60","4.02M","-1.43%"</t>
  </si>
  <si>
    <t>02/28/2019,"15.01","14.99","15.28","14.92","5.82M","-0.69%"</t>
  </si>
  <si>
    <t>02/27/2019,"15.11","15.30","15.30","14.99","3.82M","-0.12%"</t>
  </si>
  <si>
    <t>02/26/2019,"15.13","15.41","15.48","15.11","7.15M","0.53%"</t>
  </si>
  <si>
    <t>02/25/2019,"15.05","15.43","15.44","14.95","3.92M","-1.45%"</t>
  </si>
  <si>
    <t>02/22/2019,"15.27","15.12","15.27","14.95","2.85M","1.26%"</t>
  </si>
  <si>
    <t>02/21/2019,"15.08","15.42","15.46","14.57","7.66M","-1.56%"</t>
  </si>
  <si>
    <t>02/20/2019,"15.32","15.43","15.63","15.27","4.92M","-0.72%"</t>
  </si>
  <si>
    <t>02/19/2019,"15.43","15.60","15.72","15.42","3.02M","-0.67%"</t>
  </si>
  <si>
    <t>02/18/2019,"15.54","15.96","15.96","15.52","3.97M","-3.51%"</t>
  </si>
  <si>
    <t>02/15/2019,"16.10","16.29","16.36","15.95","4.94M","-1.17%"</t>
  </si>
  <si>
    <t>02/14/2019,"16.29","16.13","16.51","15.77","4.80M","1.07%"</t>
  </si>
  <si>
    <t>02/13/2019,"16.12","16.02","16.31","15.68","6.18M","2.90%"</t>
  </si>
  <si>
    <t>02/12/2019,"15.66","15.82","16.10","15.64","5.25M","-0.31%"</t>
  </si>
  <si>
    <t>02/11/2019,"15.71","15.42","15.77","15.25","4.47M","1.91%"</t>
  </si>
  <si>
    <t>02/08/2019,"15.42","15.31","15.56","14.87","6.19M","0.44%"</t>
  </si>
  <si>
    <t>02/07/2019,"15.35","15.84","16.05","14.97","6.94M","-2.68%"</t>
  </si>
  <si>
    <t>02/06/2019,"15.77","16.39","16.51","15.65","4.52M","-4.78%"</t>
  </si>
  <si>
    <t>02/05/2019,"16.57","16.52","16.66","16.27","1.99M","0.52%"</t>
  </si>
  <si>
    <t>02/04/2019,"16.48","16.43","16.66","16.30","3.52M","0.90%"</t>
  </si>
  <si>
    <t>02/01/2019,"16.33","16.49","16.59","16.19","5.34M","-0.15%"</t>
  </si>
  <si>
    <t>01/31/2019,"16.36","16.41","16.62","16.16","8.29M","0.19%"</t>
  </si>
  <si>
    <t>01/30/2019,"16.33","16.51","16.51","16.08","3.85M","-0.71%"</t>
  </si>
  <si>
    <t>01/29/2019,"16.44","17.00","17.00","16.39","3.98M","-1.14%"</t>
  </si>
  <si>
    <t>01/28/2019,"16.63","16.03","17.02","16.03","14.70M","1.65%"</t>
  </si>
  <si>
    <t>01/24/2019,"16.36","16.27","16.76","16.17","4.83M","1.18%"</t>
  </si>
  <si>
    <t>01/23/2019,"16.17","15.65","16.37","15.61","5.02M","3.58%"</t>
  </si>
  <si>
    <t>01/22/2019,"15.62","16.05","16.22","15.44","3.03M","-2.90%"</t>
  </si>
  <si>
    <t>01/21/2019,"16.08","16.27","16.27","15.62","1.90M","-0.87%"</t>
  </si>
  <si>
    <t>01/18/2019,"16.22","16.27","16.49","16.03","8.83M","-0.26%"</t>
  </si>
  <si>
    <t>01/17/2019,"16.27","16.20","16.48","16.03","5.12M","0.65%"</t>
  </si>
  <si>
    <t>01/16/2019,"16.16","16.02","16.16","15.83","2.47M","1.00%"</t>
  </si>
  <si>
    <t>01/15/2019,"16.00","16.20","16.24","15.85","3.69M","-0.87%"</t>
  </si>
  <si>
    <t>01/14/2019,"16.14","15.93","16.25","15.80","3.52M","1.94%"</t>
  </si>
  <si>
    <t>01/11/2019,"15.84","15.81","15.96","15.61","3.83M","0.19%"</t>
  </si>
  <si>
    <t>01/10/2019,"15.81","16.05","16.05","15.63","8.94M","-1.00%"</t>
  </si>
  <si>
    <t>01/09/2019,"15.97","16.09","16.19","15.61","19.80M","0.23%"</t>
  </si>
  <si>
    <t>01/08/2019,"15.93","16.62","16.66","15.79","4.92M","-3.35%"</t>
  </si>
  <si>
    <t>01/07/2019,"16.48","16.69","16.74","16.10","4.15M","0.56%"</t>
  </si>
  <si>
    <t>01/04/2019,"16.39","16.50","16.68","16.20","13.54M","0.38%"</t>
  </si>
  <si>
    <t>01/03/2019,"16.33","16.24","16.40","15.74","5.78M","2.31%"</t>
  </si>
  <si>
    <t>01/02/2019,"15.96","15.88","16.54","15.81","5.70M","1.17%"</t>
  </si>
  <si>
    <t>12/28/2018,"15.77","15.15","15.87","15.04","5.06M","4.09%"</t>
  </si>
  <si>
    <t>12/27/2018,"15.15","14.80","15.16","14.70","3.69M","1.81%"</t>
  </si>
  <si>
    <t>12/26/2018,"14.88","14.57","14.96","14.52","1.70M","1.04%"</t>
  </si>
  <si>
    <t>12/21/2018,"14.73","14.69","14.85","14.46","4.07M","0.33%"</t>
  </si>
  <si>
    <t>12/20/2018,"14.68","14.65","14.88","14.50","2.73M","0.67%"</t>
  </si>
  <si>
    <t>12/19/2018,"14.58","14.72","14.98","14.53","19.50M","0.47%"</t>
  </si>
  <si>
    <t>12/18/2018,"14.52","14.17","14.70","14.06","6.11M","3.18%"</t>
  </si>
  <si>
    <t>12/17/2018,"14.07","14.09","14.23","13.97","3.92M","-0.13%"</t>
  </si>
  <si>
    <t>12/14/2018,"14.09","13.87","14.17","13.81","4.44M","0.35%"</t>
  </si>
  <si>
    <t>12/13/2018,"14.04","14.06","14.12","13.72","3.98M","0.09%"</t>
  </si>
  <si>
    <t>12/12/2018,"14.03","14.46","14.60","13.75","18.79M","-1.79%"</t>
  </si>
  <si>
    <t>12/11/2018,"14.28","14.58","14.59","14.14","3.30M","-1.57%"</t>
  </si>
  <si>
    <t>12/10/2018,"14.51","14.66","14.66","14.23","1.63M","-0.41%"</t>
  </si>
  <si>
    <t>12/07/2018,"14.57","14.80","14.89","14.55","3.27M","-1.90%"</t>
  </si>
  <si>
    <t>12/06/2018,"14.85","14.67","14.97","14.49","3.35M","-0.56%"</t>
  </si>
  <si>
    <t>12/05/2018,"14.94","15.03","15.03","14.70","1.98M","-0.60%"</t>
  </si>
  <si>
    <t>12/04/2018,"15.03","15.10","15.21","14.49","3.40M","-0.04%"</t>
  </si>
  <si>
    <t>12/03/2018,"15.03","15.03","15.10","14.83","2.33M","2.25%"</t>
  </si>
  <si>
    <t>11/30/2018,"14.70","14.76","14.82","14.54","3.41M","-0.04%"</t>
  </si>
  <si>
    <t>11/29/2018,"14.71","14.60","14.83","14.46","6.59M","0.62%"</t>
  </si>
  <si>
    <t>11/28/2018,"14.62","14.79","14.85","14.31","7.09M","-1.06%"</t>
  </si>
  <si>
    <t>11/27/2018,"14.77","14.63","14.93","14.50","3.56M","1.11%"</t>
  </si>
  <si>
    <t>11/26/2018,"14.61","14.61","14.74","14.40","3.51M","0.00%"</t>
  </si>
  <si>
    <t>11/23/2018,"14.61","14.31","14.61","14.11","24.21M","2.97%"</t>
  </si>
  <si>
    <t>11/22/2018,"14.19","14.26","14.37","13.99","4.76M","-0.38%"</t>
  </si>
  <si>
    <t>11/21/2018,"14.24","13.95","14.47","13.82","13.93M","0.98%"</t>
  </si>
  <si>
    <t>11/19/2018,"14.11","13.52","14.18","13.45","11.28M","5.91%"</t>
  </si>
  <si>
    <t>11/16/2018,"13.32","13.28","13.58","13.17","4.20M","1.10%"</t>
  </si>
  <si>
    <t>11/14/2018,"13.17","13.71","13.71","13.11","3.54M","-2.62%"</t>
  </si>
  <si>
    <t>11/13/2018,"13.53","12.92","13.92","12.28","9.13M","5.49%"</t>
  </si>
  <si>
    <t>11/12/2018,"12.83","13.34","13.52","12.79","2.11M","-3.62%"</t>
  </si>
  <si>
    <t>11/09/2018,"13.31","13.51","13.58","13.04","2.52M","-1.21%"</t>
  </si>
  <si>
    <t>11/08/2018,"13.47","13.95","13.97","13.35","2.53M","-2.18%"</t>
  </si>
  <si>
    <t>11/07/2018,"13.77","13.77","14.05","13.61","4.45M","1.15%"</t>
  </si>
  <si>
    <t>11/06/2018,"13.61","13.65","13.87","13.24","5.81M","0.18%"</t>
  </si>
  <si>
    <t>11/05/2018,"13.59","14.12","14.25","13.59","5.60M","-3.34%"</t>
  </si>
  <si>
    <t>11/01/2018,"14.06","14.47","14.50","13.79","5.36M","-2.50%"</t>
  </si>
  <si>
    <t>10/31/2018,"14.42","14.61","14.66","14.02","4.47M","-0.95%"</t>
  </si>
  <si>
    <t>10/30/2018,"14.56","14.18","14.56","13.72","5.45M","5.17%"</t>
  </si>
  <si>
    <t>10/29/2018,"13.84","14.20","14.52","13.61","7.85M","-0.13%"</t>
  </si>
  <si>
    <t>10/26/2018,"13.86","13.74","13.86","13.39","6.00M","2.44%"</t>
  </si>
  <si>
    <t>10/25/2018,"13.53","13.28","13.61","13.15","6.39M","3.21%"</t>
  </si>
  <si>
    <t>10/24/2018,"13.11","13.43","13.45","13.07","2.36M","-2.11%"</t>
  </si>
  <si>
    <t>10/23/2018,"13.39","13.29","13.61","13.01","3.83M","-0.58%"</t>
  </si>
  <si>
    <t>10/22/2018,"13.47","13.84","13.84","13.38","4.19M","-0.71%"</t>
  </si>
  <si>
    <t>10/19/2018,"13.57","13.75","13.93","13.42","8.34M","-0.49%"</t>
  </si>
  <si>
    <t>10/18/2018,"13.63","14.07","14.17","13.63","2.86M","-4.06%"</t>
  </si>
  <si>
    <t>10/17/2018,"14.21","14.50","14.69","14.09","2.67M","-3.47%"</t>
  </si>
  <si>
    <t>10/16/2018,"14.72","14.59","14.73","14.41","878.09K","2.56%"</t>
  </si>
  <si>
    <t>10/15/2018,"14.35","14.67","14.80","14.35","3.11M","-1.57%"</t>
  </si>
  <si>
    <t>10/11/2018,"14.58","14.43","14.90","14.33","2.93M","1.46%"</t>
  </si>
  <si>
    <t>10/10/2018,"14.37","15.12","15.12","13.84","6.00M","-4.40%"</t>
  </si>
  <si>
    <t>10/09/2018,"15.03","15.21","15.45","14.82","4.97M","-5.02%"</t>
  </si>
  <si>
    <t>10/08/2018,"15.83","15.33","16.07","14.43","7.80M","16.72%"</t>
  </si>
  <si>
    <t>10/05/2018,"13.56","13.63","13.79","12.93","3.21M","1.99%"</t>
  </si>
  <si>
    <t>10/04/2018,"13.29","12.76","13.59","12.76","2.09M","1.24%"</t>
  </si>
  <si>
    <t>10/03/2018,"13.13","12.72","13.45","12.69","5.80M","7.59%"</t>
  </si>
  <si>
    <t>10/02/2018,"12.21","11.85","12.21","11.83","2.50M","5.18%"</t>
  </si>
  <si>
    <t>10/01/2018,"11.61","11.73","11.79","11.37","1.27M","-1.03%"</t>
  </si>
  <si>
    <t>09/28/2018,"11.73","11.57","11.84","11.43","1.09M","0.05%"</t>
  </si>
  <si>
    <t>09/27/2018,"11.72","11.60","11.81","11.42","4.62M","1.67%"</t>
  </si>
  <si>
    <t>09/26/2018,"11.53","10.98","11.53","10.98","4.06M","6.50%"</t>
  </si>
  <si>
    <t>09/25/2018,"10.82","10.85","10.91","10.73","3.24M","-1.26%"</t>
  </si>
  <si>
    <t>09/24/2018,"10.96","11.36","11.42","10.92","1.23M","-3.54%"</t>
  </si>
  <si>
    <t>09/21/2018,"11.36","11.42","11.50","11.17","3.97M","-0.53%"</t>
  </si>
  <si>
    <t>09/20/2018,"11.42","11.74","11.74","11.34","3.16M","-2.56%"</t>
  </si>
  <si>
    <t>09/19/2018,"11.73","11.78","11.83","11.45","4.75M","-0.15%"</t>
  </si>
  <si>
    <t>09/18/2018,"11.74","11.95","11.99","11.61","7.16M","-0.96%"</t>
  </si>
  <si>
    <t>09/17/2018,"11.86","11.80","11.99","11.50","2.41M","0.46%"</t>
  </si>
  <si>
    <t>09/14/2018,"11.80","12.18","12.28","11.68","2.86M","-2.77%"</t>
  </si>
  <si>
    <t>09/13/2018,"12.14","12.81","12.81","12.10","2.69M","-4.18%"</t>
  </si>
  <si>
    <t>09/12/2018,"12.67","12.38","12.83","12.27","2.85M","2.98%"</t>
  </si>
  <si>
    <t>09/11/2018,"12.30","12.09","12.40","11.91","3.26M","-0.44%"</t>
  </si>
  <si>
    <t>09/10/2018,"12.36","11.71","12.36","11.68","3.85M","5.49%"</t>
  </si>
  <si>
    <t>09/06/2018,"11.71","11.66","11.77","11.35","2.17M","2.42%"</t>
  </si>
  <si>
    <t>09/05/2018,"11.44","11.39","11.75","11.28","1.15M","1.33%"</t>
  </si>
  <si>
    <t>09/04/2018,"11.29","11.86","11.88","11.16","1.08M","-4.04%"</t>
  </si>
  <si>
    <t>09/03/2018,"11.76","11.68","11.79","11.61","652.19K","-1.11%"</t>
  </si>
  <si>
    <t>08/31/2018,"11.89","11.29","11.89","11.29","2.19M","5.55%"</t>
  </si>
  <si>
    <t>08/30/2018,"11.27","11.48","11.70","11.18","1.69M","-2.90%"</t>
  </si>
  <si>
    <t>08/29/2018,"11.61","11.00","11.61","10.97","1.70M","5.81%"</t>
  </si>
  <si>
    <t>08/28/2018,"10.97","11.10","11.32","10.97","1.15M","-0.87%"</t>
  </si>
  <si>
    <t>08/27/2018,"11.06","10.66","11.11","10.65","1.84M","4.31%"</t>
  </si>
  <si>
    <t>08/24/2018,"10.61","10.83","10.96","10.59","1.21M","-0.95%"</t>
  </si>
  <si>
    <t>08/23/2018,"10.71","10.91","11.00","10.69","754.16K","-2.25%"</t>
  </si>
  <si>
    <t>08/22/2018,"10.96","10.69","11.05","10.59","3.84M","3.05%"</t>
  </si>
  <si>
    <t>08/21/2018,"10.63","10.81","10.97","10.59","2.45M","-1.67%"</t>
  </si>
  <si>
    <t>08/20/2018,"10.81","10.84","11.08","10.76","1.50M","-0.11%"</t>
  </si>
  <si>
    <t>08/17/2018,"10.82","11.15","11.15","10.76","1.95M","-3.74%"</t>
  </si>
  <si>
    <t>08/16/2018,"11.24","11.48","11.56","11.04","1.29M","-1.16%"</t>
  </si>
  <si>
    <t>08/15/2018,"11.38","11.66","11.72","11.33","1.78M","-3.27%"</t>
  </si>
  <si>
    <t>08/14/2018,"11.76","11.31","11.82","11.29","1.53M","4.82%"</t>
  </si>
  <si>
    <t>08/13/2018,"11.22","11.18","11.37","10.97","1.48M","0.54%"</t>
  </si>
  <si>
    <t>08/10/2018,"11.16","11.70","11.70","10.99","1.54M","-4.43%"</t>
  </si>
  <si>
    <t>08/09/2018,"11.68","11.73","11.94","11.48","2.70M","-0.66%"</t>
  </si>
  <si>
    <t>08/08/2018,"11.76","12.00","12.24","11.67","3.52M","-2.01%"</t>
  </si>
  <si>
    <t>08/07/2018,"12.00","12.16","12.18","11.94","2.17M","-0.55%"</t>
  </si>
  <si>
    <t>08/06/2018,"12.06","12.04","12.07","11.86","1.41M","0.05%"</t>
  </si>
  <si>
    <t>08/03/2018,"12.06","12.03","12.15","11.76","1.92M","2.77%"</t>
  </si>
  <si>
    <t>08/02/2018,"11.73","11.61","11.93","11.51","3.27M","1.09%"</t>
  </si>
  <si>
    <t>08/01/2018,"11.61","11.61","11.85","11.39","2.79M","-0.97%"</t>
  </si>
  <si>
    <t>07/31/2018,"11.72","12.18","12.18","11.67","4.71M","-5.85%"</t>
  </si>
  <si>
    <t>07/30/2018,"12.45","12.80","12.83","12.34","4.51M","-1.52%"</t>
  </si>
  <si>
    <t>07/27/2018,"12.64","12.42","12.73","12.18","1.79M","2.04%"</t>
  </si>
  <si>
    <t>07/26/2018,"12.39","13.01","13.01","12.28","2.81M","-4.81%"</t>
  </si>
  <si>
    <t>07/25/2018,"13.01","12.63","13.01","12.54","1.13M","2.66%"</t>
  </si>
  <si>
    <t>07/24/2018,"12.68","12.51","12.74","12.51","1.91M","1.30%"</t>
  </si>
  <si>
    <t>07/23/2018,"12.51","12.18","12.51","11.85","2.97M","1.61%"</t>
  </si>
  <si>
    <t>07/20/2018,"12.31","11.85","12.39","11.71","4.58M","7.79%"</t>
  </si>
  <si>
    <t>07/19/2018,"11.42","11.57","11.58","11.14","2.27M","-2.31%"</t>
  </si>
  <si>
    <t>07/18/2018,"11.70","11.97","12.00","11.60","1.27M","-1.77%"</t>
  </si>
  <si>
    <t>07/17/2018,"11.91","12.19","12.31","11.73","3.39M","-3.56%"</t>
  </si>
  <si>
    <t>07/16/2018,"12.34","12.03","12.39","11.80","1.59M","1.63%"</t>
  </si>
  <si>
    <t>07/13/2018,"12.15","12.12","12.31","11.97","2.08M","0.85%"</t>
  </si>
  <si>
    <t>07/12/2018,"12.04","11.68","12.12","11.68","1.52M","2.93%"</t>
  </si>
  <si>
    <t>07/11/2018,"11.70","11.63","11.92","11.50","1.90M","0.57%"</t>
  </si>
  <si>
    <t>07/10/2018,"11.64","11.27","11.64","11.27","8.76M","3.92%"</t>
  </si>
  <si>
    <t>07/06/2018,"11.20","10.94","11.36","10.84","1.75M","3.44%"</t>
  </si>
  <si>
    <t>07/05/2018,"10.82","11.12","11.12","10.53","1.02M","-1.37%"</t>
  </si>
  <si>
    <t>07/04/2018,"10.97","10.92","11.03","10.85","715.17K","-0.27%"</t>
  </si>
  <si>
    <t>07/03/2018,"11.00","10.82","11.11","10.82","783.51K","0.77%"</t>
  </si>
  <si>
    <t>07/02/2018,"10.92","11.00","11.02","10.75","911.19K","-0.71%"</t>
  </si>
  <si>
    <t>06/29/2018,"11.00","11.09","11.12","10.84","3.35M","0.05%"</t>
  </si>
  <si>
    <t>06/28/2018,"10.99","10.94","11.12","10.84","3.01M","0.44%"</t>
  </si>
  <si>
    <t>06/27/2018,"10.94","11.02","11.11","10.79","3.08M","-0.66%"</t>
  </si>
  <si>
    <t>06/26/2018,"11.02","10.77","11.02","10.67","2.00M","2.46%"</t>
  </si>
  <si>
    <t>06/25/2018,"10.75","10.64","11.02","10.49","1.61M","1.94%"</t>
  </si>
  <si>
    <t>06/22/2018,"10.55","10.13","10.55","10.00","1.80M","3.36%"</t>
  </si>
  <si>
    <t>06/21/2018,"10.20","10.31","10.34","9.96","2.09M","-2.30%"</t>
  </si>
  <si>
    <t>06/20/2018,"10.44","10.51","10.94","10.23","2.91M","-2.63%"</t>
  </si>
  <si>
    <t>06/19/2018,"10.73","9.88","10.73","9.87","2.67M","6.13%"</t>
  </si>
  <si>
    <t>06/18/2018,"10.11","10.08","10.28","9.63","2.01M","1.51%"</t>
  </si>
  <si>
    <t>06/15/2018,"9.96","10.07","10.21","9.88","2.99M","-0.84%"</t>
  </si>
  <si>
    <t>06/14/2018,"10.04","10.28","10.28","9.95","2.17M","-1.12%"</t>
  </si>
  <si>
    <t>06/13/2018,"10.16","10.32","10.41","9.82","2.44M","-2.14%"</t>
  </si>
  <si>
    <t>06/12/2018,"10.38","10.46","10.49","10.27","1.70M","0.70%"</t>
  </si>
  <si>
    <t>06/11/2018,"10.31","10.64","10.64","10.08","3.74M","-1.38%"</t>
  </si>
  <si>
    <t>06/08/2018,"10.45","10.79","11.03","10.23","2.90M","-3.23%"</t>
  </si>
  <si>
    <t>06/07/2018,"10.80","10.97","11.09","10.23","8.11M","-4.62%"</t>
  </si>
  <si>
    <t>06/06/2018,"11.32","10.72","11.45","10.72","6.33M","5.14%"</t>
  </si>
  <si>
    <t>06/05/2018,"10.77","10.85","11.05","10.58","9.59M","-1.65%"</t>
  </si>
  <si>
    <t>06/04/2018,"10.95","10.61","11.00","10.44","6.98M","7.12%"</t>
  </si>
  <si>
    <t>06/01/2018,"10.22","11.24","11.62","9.69","12.31M","-6.59%"</t>
  </si>
  <si>
    <t>05/30/2018,"10.94","10.73","11.39","10.40","44.25M","3.06%"</t>
  </si>
  <si>
    <t>05/29/2018,"10.62","10.29","10.85","10.23","7.42M","7.03%"</t>
  </si>
  <si>
    <t>05/28/2018,"9.92","10.93","10.94","9.92","5.75M","-11.53%"</t>
  </si>
  <si>
    <t>05/25/2018,"11.21","11.48","11.84","11.01","6.28M","-1.43%"</t>
  </si>
  <si>
    <t>05/24/2018,"11.38","10.82","11.57","10.73","4.85M","-3.72%"</t>
  </si>
  <si>
    <t>05/23/2018,"11.82","11.92","11.96","11.68","4.15M","-0.91%"</t>
  </si>
  <si>
    <t>05/22/2018,"11.92","11.79","11.97","11.61","5.35M","1.48%"</t>
  </si>
  <si>
    <t>05/21/2018,"11.75","11.92","12.10","11.48","2.42M","-0.46%"</t>
  </si>
  <si>
    <t>05/18/2018,"11.80","12.03","12.03","11.53","5.66M","-2.82%"</t>
  </si>
  <si>
    <t>05/17/2018,"12.15","12.75","12.80","12.03","2.82M","-5.16%"</t>
  </si>
  <si>
    <t>05/16/2018,"12.81","12.93","12.98","12.52","2.99M","0.24%"</t>
  </si>
  <si>
    <t>05/15/2018,"12.78","12.57","12.86","12.48","7.88M","1.67%"</t>
  </si>
  <si>
    <t>05/14/2018,"12.57","12.81","12.98","12.34","3.96M","-1.42%"</t>
  </si>
  <si>
    <t>05/11/2018,"12.75","12.87","12.93","12.39","2.43M","-0.56%"</t>
  </si>
  <si>
    <t>05/10/2018,"12.82","12.84","13.20","12.76","10.04M","0.09%"</t>
  </si>
  <si>
    <t>05/09/2018,"12.81","12.66","12.84","12.21","9.53M","1.62%"</t>
  </si>
  <si>
    <t>05/08/2018,"12.60","13.17","13.23","12.43","8.59M","-3.85%"</t>
  </si>
  <si>
    <t>05/07/2018,"13.11","13.35","13.35","12.78","3.59M","-0.32%"</t>
  </si>
  <si>
    <t>05/04/2018,"13.15","13.52","13.53","12.89","7.59M","-2.24%"</t>
  </si>
  <si>
    <t>05/03/2018,"13.45","13.89","14.02","13.30","4.67M","-3.16%"</t>
  </si>
  <si>
    <t>05/02/2018,"13.89","13.76","14.10","13.67","3.29M","0.61%"</t>
  </si>
  <si>
    <t>04/30/2018,"13.81","13.71","13.86","13.52","2.28M","1.19%"</t>
  </si>
  <si>
    <t>04/27/2018,"13.64","13.34","13.71","13.26","6.10M","2.67%"</t>
  </si>
  <si>
    <t>04/26/2018,"13.29","12.96","13.34","12.93","9.45M","2.71%"</t>
  </si>
  <si>
    <t>04/25/2018,"12.94","13.18","13.29","12.83","3.38M","-1.84%"</t>
  </si>
  <si>
    <t>04/24/2018,"13.18","13.54","13.71","13.06","4.06M","-1.98%"</t>
  </si>
  <si>
    <t>04/23/2018,"13.45","13.41","13.63","13.30","922.75K","0.09%"</t>
  </si>
  <si>
    <t>04/20/2018,"13.44","13.57","13.84","13.44","1.80M","-1.17%"</t>
  </si>
  <si>
    <t>04/19/2018,"13.59","13.38","13.75","13.25","4.50M","2.31%"</t>
  </si>
  <si>
    <t>04/18/2018,"13.29","13.11","13.51","13.11","3.48M","2.00%"</t>
  </si>
  <si>
    <t>04/17/2018,"13.03","13.29","13.29","12.89","3.73M","-1.17%"</t>
  </si>
  <si>
    <t>04/16/2018,"13.18","13.71","13.71","13.12","4.20M","-3.88%"</t>
  </si>
  <si>
    <t>04/13/2018,"13.71","13.80","13.88","13.55","2.74M","-0.43%"</t>
  </si>
  <si>
    <t>04/12/2018,"13.77","13.87","13.87","13.63","4.22M","-0.51%"</t>
  </si>
  <si>
    <t>04/11/2018,"13.84","13.83","13.94","13.68","2.68M","-0.34%"</t>
  </si>
  <si>
    <t>04/10/2018,"13.89","14.01","14.18","13.85","2.98M","0.43%"</t>
  </si>
  <si>
    <t>04/09/2018,"13.83","13.89","14.13","13.72","2.79M","0.78%"</t>
  </si>
  <si>
    <t>04/06/2018,"13.72","13.40","13.83","13.25","1.79M","2.43%"</t>
  </si>
  <si>
    <t>04/05/2018,"13.40","13.59","13.74","13.30","4.59M","1.70%"</t>
  </si>
  <si>
    <t>04/04/2018,"13.18","13.04","13.28","12.74","2.55M","-0.76%"</t>
  </si>
  <si>
    <t>04/03/2018,"13.28","13.35","13.41","13.15","1.37M","0.49%"</t>
  </si>
  <si>
    <t>04/02/2018,"13.21","13.65","13.79","13.21","1.14M","-3.20%"</t>
  </si>
  <si>
    <t>03/29/2018,"13.65","13.68","13.81","13.48","4.81M","0.87%"</t>
  </si>
  <si>
    <t>03/28/2018,"13.53","14.04","14.13","13.49","2.21M","-3.46%"</t>
  </si>
  <si>
    <t>03/27/2018,"14.01","14.42","14.44","13.62","2.63M","-2.07%"</t>
  </si>
  <si>
    <t>03/26/2018,"14.31","13.85","14.51","13.78","2.64M","4.35%"</t>
  </si>
  <si>
    <t>03/23/2018,"13.71","13.70","13.88","13.44","1.03M","-0.85%"</t>
  </si>
  <si>
    <t>03/22/2018,"13.83","13.62","13.86","13.52","1.46M","1.08%"</t>
  </si>
  <si>
    <t>03/21/2018,"13.68","13.21","13.68","13.12","4.47M","3.26%"</t>
  </si>
  <si>
    <t>03/20/2018,"13.25","13.29","13.30","13.18","744.09K","-0.49%"</t>
  </si>
  <si>
    <t>03/19/2018,"13.32","13.29","13.32","13.15","1.95M","-0.27%"</t>
  </si>
  <si>
    <t>03/16/2018,"13.35","13.59","13.59","13.08","5.10M","-1.35%"</t>
  </si>
  <si>
    <t>03/15/2018,"13.54","13.42","13.69","13.16","4.13M","1.19%"</t>
  </si>
  <si>
    <t>03/14/2018,"13.38","13.77","14.01","13.30","13.30M","0.80%"</t>
  </si>
  <si>
    <t>03/13/2018,"13.27","13.19","13.33","13.14","4.19M","1.13%"</t>
  </si>
  <si>
    <t>03/12/2018,"13.12","13.18","13.27","13.05","3.88M","1.14%"</t>
  </si>
  <si>
    <t>03/09/2018,"12.97","12.85","13.03","12.67","4.96M","0.97%"</t>
  </si>
  <si>
    <t>03/08/2018,"12.85","13.18","13.32","12.85","4.71M","-2.51%"</t>
  </si>
  <si>
    <t>03/07/2018,"13.18","13.30","13.42","12.83","2.76M","-0.80%"</t>
  </si>
  <si>
    <t>03/06/2018,"13.29","13.31","13.40","13.12","1.36M","-0.09%"</t>
  </si>
  <si>
    <t>03/05/2018,"13.30","13.15","13.33","13.12","915.26K","1.12%"</t>
  </si>
  <si>
    <t>03/02/2018,"13.15","13.12","13.21","12.91","1.04M","-1.55%"</t>
  </si>
  <si>
    <t>03/01/2018,"13.36","13.12","13.36","12.91","2.46M","2.31%"</t>
  </si>
  <si>
    <t>02/28/2018,"13.06","13.36","13.50","13.06","1.72M","-1.95%"</t>
  </si>
  <si>
    <t>02/27/2018,"13.32","13.00","13.36","12.90","2.02M","2.08%"</t>
  </si>
  <si>
    <t>02/26/2018,"13.05","13.00","13.29","12.90","1.97M","0.91%"</t>
  </si>
  <si>
    <t>02/23/2018,"12.93","13.07","13.18","12.77","1.47M","-0.64%"</t>
  </si>
  <si>
    <t>02/22/2018,"13.01","12.94","13.07","12.89","3.26M","0.50%"</t>
  </si>
  <si>
    <t>02/21/2018,"12.94","12.90","13.00","12.86","2.45M","-0.32%"</t>
  </si>
  <si>
    <t>02/20/2018,"12.99","12.89","12.99","12.65","4.19M","0.32%"</t>
  </si>
  <si>
    <t>02/19/2018,"12.94","12.97","13.00","12.78","666.55K","0.27%"</t>
  </si>
  <si>
    <t>02/16/2018,"12.91","12.73","12.99","12.73","2.19M","0.88%"</t>
  </si>
  <si>
    <t>02/15/2018,"12.80","12.54","12.93","12.54","5.16M","2.27%"</t>
  </si>
  <si>
    <t>02/14/2018,"12.51","12.25","12.65","11.98","2.93M","4.59%"</t>
  </si>
  <si>
    <t>02/09/2018,"11.96","12.29","12.29","11.91","4.65M","-2.79%"</t>
  </si>
  <si>
    <t>02/08/2018,"12.31","12.03","12.31","11.96","4.63M","2.76%"</t>
  </si>
  <si>
    <t>02/07/2018,"11.98","12.02","12.28","11.74","2.56M","-0.30%"</t>
  </si>
  <si>
    <t>02/06/2018,"12.01","11.67","12.05","11.46","1.95M","0.59%"</t>
  </si>
  <si>
    <t>02/05/2018,"11.94","12.38","12.38","11.94","2.60M","-3.81%"</t>
  </si>
  <si>
    <t>02/02/2018,"12.41","12.37","12.50","12.29","1.92M","-0.40%"</t>
  </si>
  <si>
    <t>02/01/2018,"12.46","12.26","12.66","12.26","3.11M","3.10%"</t>
  </si>
  <si>
    <t>01/31/2018,"12.09","11.67","12.15","11.66","8.10M","4.48%"</t>
  </si>
  <si>
    <t>01/30/2018,"11.57","11.60","11.74","11.49","3.68M","0.00%"</t>
  </si>
  <si>
    <t>01/29/2018,"11.57","11.28","11.63","11.20","9.49M","2.29%"</t>
  </si>
  <si>
    <t>01/26/2018,"11.31","11.11","11.40","11.01","6.45M","2.88%"</t>
  </si>
  <si>
    <t>01/24/2018,"10.99","10.45","11.34","10.42","3.64M","5.93%"</t>
  </si>
  <si>
    <t>01/23/2018,"10.38","10.36","10.47","10.28","5.34M","2.27%"</t>
  </si>
  <si>
    <t>01/22/2018,"10.15","10.25","10.30","10.13","1.05M","-1.51%"</t>
  </si>
  <si>
    <t>01/19/2018,"10.30","10.25","10.30","10.15","1.64M","0.00%"</t>
  </si>
  <si>
    <t>01/18/2018,"10.30","10.22","10.30","10.12","2.06M","0.85%"</t>
  </si>
  <si>
    <t>01/17/2018,"10.22","10.12","10.22","9.96","3.78M","0.97%"</t>
  </si>
  <si>
    <t>01/16/2018,"10.12","10.15","10.28","10.04","5.17M","0.06%"</t>
  </si>
  <si>
    <t>01/15/2018,"10.11","9.95","10.11","9.85","652.19K","2.93%"</t>
  </si>
  <si>
    <t>01/12/2018,"9.83","9.79","9.92","9.54","2.79M","-0.47%"</t>
  </si>
  <si>
    <t>01/11/2018,"9.87","9.96","10.00","9.84","1.15M","-0.58%"</t>
  </si>
  <si>
    <t>01/10/2018,"9.93","10.00","10.04","9.82","5.93M","-0.86%"</t>
  </si>
  <si>
    <t>01/09/2018,"10.02","10.02","10.02","9.88","3.31M","0.00%"</t>
  </si>
  <si>
    <t>01/08/2018,"10.02","10.03","10.05","9.86","3.64M","-0.57%"</t>
  </si>
  <si>
    <t>01/05/2018,"10.07","9.89","10.07","9.83","3.49M","1.74%"</t>
  </si>
  <si>
    <t>01/04/2018,"9.90","9.93","10.03","9.84","1.56M","-0.58%"</t>
  </si>
  <si>
    <t>01/03/2018,"9.96","9.86","10.04","9.81","7.76M","0.41%"</t>
  </si>
  <si>
    <t>01/02/2018,"9.92","9.79","10.04","9.64","3.95M","0.76%"</t>
  </si>
  <si>
    <t>12/28/2017,"9.84","9.64","9.84","9.60","1.97M","2.09%"</t>
  </si>
  <si>
    <t>12/27/2017,"9.64","9.61","9.64","9.57","593.28K","0.18%"</t>
  </si>
  <si>
    <t>12/26/2017,"9.62","9.62","9.73","9.35","1.16M","0.12%"</t>
  </si>
  <si>
    <t>12/22/2017,"9.61","9.53","9.79","9.47","3.14M","0.60%"</t>
  </si>
  <si>
    <t>12/21/2017,"9.56","9.39","9.92","9.39","16.32M","1.53%"</t>
  </si>
  <si>
    <t>12/20/2017,"9.41","9.19","9.49","9.19","5.31M","2.51%"</t>
  </si>
  <si>
    <t>12/19/2017,"9.18","9.24","9.35","9.04","5.08M","-0.62%"</t>
  </si>
  <si>
    <t>12/18/2017,"9.24","9.30","9.37","9.04","7.99M","0.31%"</t>
  </si>
  <si>
    <t>09/04/2026,"185,147","185,191","186,545","183,252","8.30B","-0.02%"</t>
  </si>
  <si>
    <t>09/03/2026,"185,188","185,218","188,892","184,718","11.17B","-0.01%"</t>
  </si>
  <si>
    <t>09/02/2026,"185,205","179,734","186,028","179,734","13.72B","3.05%"</t>
  </si>
  <si>
    <t>09/01/2026,"179,722","177,436","181,061","177,300","9.84B","1.30%"</t>
  </si>
  <si>
    <t>08/31/2026,"177,419","175,665","178,586","175,665","10.00B","1.00%"</t>
  </si>
  <si>
    <t>08/28/2026,"175,665","175,137","176,421","173,894","6.60B","0.30%"</t>
  </si>
  <si>
    <t>08/27/2026,"175,135","174,584","175,558","173,661","7.12B","0.31%"</t>
  </si>
  <si>
    <t>08/26/2026,"174,586","174,580","176,296","174,208","8.85B","0.01%"</t>
  </si>
  <si>
    <t>08/25/2026,"174,577","171,898","174,785","171,179","9.45B","1.55%"</t>
  </si>
  <si>
    <t>08/24/2026,"171,907","171,031","173,109","169,330","8.44B","0.51%"</t>
  </si>
  <si>
    <t>08/21/2026,"171,032","167,928","171,980","167,928","10.81B","1.85%"</t>
  </si>
  <si>
    <t>08/20/2026,"167,927","167,827","169,752","166,966","10.13B","0.06%"</t>
  </si>
  <si>
    <t>08/19/2026,"167,830","166,337","170,341","166,335","9.25B","0.90%"</t>
  </si>
  <si>
    <t>08/18/2026,"166,335","166,789","168,389","166,211","7.60B","-0.27%"</t>
  </si>
  <si>
    <t>08/17/2026,"166,784","166,933","168,007","166,464","9.04B","-0.09%"</t>
  </si>
  <si>
    <t>08/14/2026,"166,934","167,099","167,099","164,835","10.88B","-0.10%"</t>
  </si>
  <si>
    <t>08/13/2026,"167,101","167,489","168,515","166,197","10.72B","-0.23%"</t>
  </si>
  <si>
    <t>08/12/2026,"167,491","167,878","168,310","167,142","10.59B","-0.23%"</t>
  </si>
  <si>
    <t>08/11/2026,"167,875","172,180","172,386","167,569","9.89B","-2.50%"</t>
  </si>
  <si>
    <t>08/10/2026,"172,180","172,513","172,936","171,524","7.83B","-0.19%"</t>
  </si>
  <si>
    <t>08/07/2026,"172,513","175,546","176,117","172,131","9.16B","-1.73%"</t>
  </si>
  <si>
    <t>08/06/2026,"175,546","177,720","177,720","175,515","7.93B","-1.23%"</t>
  </si>
  <si>
    <t>08/05/2026,"177,726","177,896","180,195","177,690","7.61B","-0.09%"</t>
  </si>
  <si>
    <t>08/04/2026,"177,895","178,003","180,679","177,581","7.97B","-0.06%"</t>
  </si>
  <si>
    <t>08/03/2026,"178,000","178,009","178,557","176,783","7.36B","0.00%"</t>
  </si>
  <si>
    <t>07/31/2026,"177,999","177,060","178,719","177,014","5.88B","0.47%"</t>
  </si>
  <si>
    <t>07/30/2026,"177,159","173,891","177,159","173,885","7.20B","1.88%"</t>
  </si>
  <si>
    <t>07/29/2026,"173,885","176,564","176,564","173,885","7.34B","-1.52%"</t>
  </si>
  <si>
    <t>07/28/2026,"176,565","175,326","178,539","175,326","6.74B","0.70%"</t>
  </si>
  <si>
    <t>07/27/2026,"175,334","174,048","175,555","174,048","5.84B","0.74%"</t>
  </si>
  <si>
    <t>07/24/2026,"174,042","176,720","176,720","174,042","5.42B","-1.52%"</t>
  </si>
  <si>
    <t>07/23/2026,"176,724","177,546","177,896","176,293","6.35B","-0.46%"</t>
  </si>
  <si>
    <t>07/22/2026,"177,548","173,330","177,641","173,328","7.44B","2.44%"</t>
  </si>
  <si>
    <t>07/21/2026,"173,326","173,372","173,720","172,219","5.86B","-0.03%"</t>
  </si>
  <si>
    <t>07/20/2026,"173,371","173,714","174,311","173,222","5.03B","-0.20%"</t>
  </si>
  <si>
    <t>07/17/2026,"173,714","173,825","174,505","173,285","7.30B","-0.06%"</t>
  </si>
  <si>
    <t>07/16/2026,"173,825","176,010","176,011","173,537","6.14B","-1.24%"</t>
  </si>
  <si>
    <t>07/15/2026,"176,011","176,663","176,663","175,288","7.07B","-0.36%"</t>
  </si>
  <si>
    <t>07/14/2026,"176,641","175,743","177,179","175,743","7.26B","0.51%"</t>
  </si>
  <si>
    <t>07/13/2026,"175,739","177,868","178,154","175,567","6.12B","-1.20%"</t>
  </si>
  <si>
    <t>07/10/2026,"177,866","172,761","177,866","172,761","8.43B","2.97%"</t>
  </si>
  <si>
    <t>07/09/2026,"172,742","170,655","172,933","170,653","6.83B","1.22%"</t>
  </si>
  <si>
    <t>07/08/2026,"170,653","172,018","172,018","169,972","7.24B","-0.79%"</t>
  </si>
  <si>
    <t>07/07/2026,"172,021","172,439","173,544","171,417","6.76B","-0.25%"</t>
  </si>
  <si>
    <t>07/06/2026,"172,448","174,057","174,057","171,622","5.74B","-0.93%"</t>
  </si>
  <si>
    <t>07/03/2026,"174,070","172,790","174,664","172,790","4.27B","0.74%"</t>
  </si>
  <si>
    <t>07/02/2026,"172,788","171,698","174,426","171,697","6.51B","0.64%"</t>
  </si>
  <si>
    <t>07/01/2026,"171,689","172,017","172,098","169,666","7.66B","-0.20%"</t>
  </si>
  <si>
    <t>06/30/2026,"172,024","173,205","173,205","170,538","7.69B","-0.68%"</t>
  </si>
  <si>
    <t>06/29/2026,"173,205","173,294","173,892","172,393","4.91B","-0.05%"</t>
  </si>
  <si>
    <t>06/26/2026,"173,295","171,990","173,964","171,124","6.92B","0.76%"</t>
  </si>
  <si>
    <t>06/25/2026,"171,990","170,508","173,277","170,508","7.62B","0.87%"</t>
  </si>
  <si>
    <t>06/24/2026,"170,507","171,256","171,342","169,668","9.57B","-0.44%"</t>
  </si>
  <si>
    <t>06/23/2026,"171,259","170,367","171,720","168,495","7.60B","0.52%"</t>
  </si>
  <si>
    <t>06/22/2026,"170,370","168,334","170,750","168,326","8.54B","1.21%"</t>
  </si>
  <si>
    <t>06/19/2026,"168,334","168,279","168,787","167,658","9.49B","0.03%"</t>
  </si>
  <si>
    <t>06/18/2026,"168,278","168,467","169,542","167,911","9.24B","-0.10%"</t>
  </si>
  <si>
    <t>06/17/2026,"168,454","169,649","171,878","167,916","10.73B","-0.70%"</t>
  </si>
  <si>
    <t>06/16/2026,"169,648","170,416","170,416","169,121","8.77B","-0.45%"</t>
  </si>
  <si>
    <t>06/15/2026,"170,415","171,139","174,228","170,351","8.71B","-0.42%"</t>
  </si>
  <si>
    <t>06/12/2026,"171,133","171,497","172,545","169,993","7.01B","-0.21%"</t>
  </si>
  <si>
    <t>06/11/2026,"171,497","168,619","171,927","168,280","10.58B","1.71%"</t>
  </si>
  <si>
    <t>06/10/2026,"168,619","169,812","169,812","168,071","8.73B","-0.70%"</t>
  </si>
  <si>
    <t>06/09/2026,"169,813","168,673","170,601","168,406","8.44B","0.68%"</t>
  </si>
  <si>
    <t>06/08/2026,"168,669","169,042","169,646","168,130","7.44B","-0.21%"</t>
  </si>
  <si>
    <t>06/05/2026,"169,019","170,330","170,457","168,910","8.59B","-0.77%"</t>
  </si>
  <si>
    <t>06/03/2026,"170,331","174,192","174,192","170,008","9.97B","-2.22%"</t>
  </si>
  <si>
    <t>06/02/2026,"174,198","172,199","174,894","172,199","7.50B","1.16%"</t>
  </si>
  <si>
    <t>06/01/2026,"172,197","173,790","173,975","171,793","9.89B","-0.91%"</t>
  </si>
  <si>
    <t>05/29/2026,"173,787","175,064","175,064","172,686","15.55B","-0.73%"</t>
  </si>
  <si>
    <t>05/28/2026,"175,063","175,744","176,627","174,686","7.38B","-0.39%"</t>
  </si>
  <si>
    <t>05/27/2026,"175,744","176,602","177,640","175,555","7.31B","-0.48%"</t>
  </si>
  <si>
    <t>05/26/2026,"176,589","177,816","177,816","175,516","7.40B","-0.69%"</t>
  </si>
  <si>
    <t>05/25/2026,"177,816","176,210","177,816","176,210","4.37B","0.91%"</t>
  </si>
  <si>
    <t>05/22/2026,"176,210","177,649","177,649","174,893","6.76B","-0.81%"</t>
  </si>
  <si>
    <t>05/21/2026,"177,650","177,352","178,547","175,805","7.35B","0.17%"</t>
  </si>
  <si>
    <t>05/20/2026,"177,356","174,279","178,199","174,279","9.37B","1.77%"</t>
  </si>
  <si>
    <t>05/19/2026,"174,279","176,973","176,973","173,544","9.09B","-1.52%"</t>
  </si>
  <si>
    <t>05/18/2026,"176,976","177,281","177,330","175,811","7.37B","-0.17%"</t>
  </si>
  <si>
    <t>05/15/2026,"177,284","178,341","178,341","175,417","9.77B","-0.61%"</t>
  </si>
  <si>
    <t>05/14/2026,"178,366","177,104","179,476","177,104","9.30B","0.72%"</t>
  </si>
  <si>
    <t>05/13/2026,"177,098","180,342","180,513","176,787","12.62B","-1.80%"</t>
  </si>
  <si>
    <t>05/12/2026,"180,342","181,897","181,897","179,939","9.06B","-0.86%"</t>
  </si>
  <si>
    <t>05/11/2026,"181,909","184,103","184,530","181,615","8.78B","-1.19%"</t>
  </si>
  <si>
    <t>05/08/2026,"184,108","183,222","185,584","183,217","9.21B","0.49%"</t>
  </si>
  <si>
    <t>05/07/2026,"183,218","187,690","187,779","182,868","9.64B","-2.38%"</t>
  </si>
  <si>
    <t>05/06/2026,"187,691","186,762","188,674","186,762","8.84B","0.50%"</t>
  </si>
  <si>
    <t>05/05/2026,"186,754","185,597","187,428","185,364","8.63B","0.62%"</t>
  </si>
  <si>
    <t>05/04/2026,"185,600","187,318","187,666","185,538","7.54B","-0.92%"</t>
  </si>
  <si>
    <t>04/30/2026,"187,318","184,759","187,921","184,759","8.99B","1.39%"</t>
  </si>
  <si>
    <t>04/29/2026,"184,750","188,619","188,710","184,504","9.05B","-2.05%"</t>
  </si>
  <si>
    <t>04/28/2026,"188,619","189,579","189,579","187,237","7.51B","-0.51%"</t>
  </si>
  <si>
    <t>04/27/2026,"189,579","190,745","191,340","189,579","6.66B","-0.61%"</t>
  </si>
  <si>
    <t>04/24/2026,"190,745","191,378","191,390","189,963","7.22B","-0.33%"</t>
  </si>
  <si>
    <t>04/23/2026,"191,378","192,889","193,347","190,930","7.76B","-0.78%"</t>
  </si>
  <si>
    <t>04/22/2026,"192,889","196,132","196,132","192,687","8.40B","-1.65%"</t>
  </si>
  <si>
    <t>04/20/2026,"196,132","195,734","196,724","195,282","6.77B","0.20%"</t>
  </si>
  <si>
    <t>04/17/2026,"195,734","196,819","198,666","195,368","12.19B","-0.55%"</t>
  </si>
  <si>
    <t>04/16/2026,"196,819","197,738","198,587","196,354","9.29B","-0.46%"</t>
  </si>
  <si>
    <t>04/15/2026,"197,738","198,657","199,232","196,966","10.71B","-0.46%"</t>
  </si>
  <si>
    <t>04/14/2026,"198,657","198,001","199,355","198,001","9.22B","0.33%"</t>
  </si>
  <si>
    <t>04/13/2026,"198,001","197,324","198,173","196,223","9.95B","0.34%"</t>
  </si>
  <si>
    <t>04/10/2026,"197,324","195,130","197,554","195,129","9.66B","1.12%"</t>
  </si>
  <si>
    <t>04/09/2026,"195,129","192,206","195,514","192,206","9.38B","1.52%"</t>
  </si>
  <si>
    <t>04/08/2026,"192,201","188,261","193,759","188,260","12.59B","2.09%"</t>
  </si>
  <si>
    <t>04/07/2026,"188,259","188,162","188,259","185,885","8.75B","0.05%"</t>
  </si>
  <si>
    <t>04/06/2026,"188,162","188,054","189,220","187,811","5.70B","0.06%"</t>
  </si>
  <si>
    <t>04/02/2026,"188,052","187,923","189,251","185,214","7.08B","0.05%"</t>
  </si>
  <si>
    <t>04/01/2026,"187,953","187,463","189,131","187,256","10.56B","0.26%"</t>
  </si>
  <si>
    <t>03/31/2026,"187,462","182,515","187,508","182,515","11.39B","2.71%"</t>
  </si>
  <si>
    <t>03/30/2026,"182,514","181,561","184,414","181,559","7.70B","0.53%"</t>
  </si>
  <si>
    <t>03/27/2026,"181,557","182,733","183,351","180,976","8.07B","-0.64%"</t>
  </si>
  <si>
    <t>03/26/2026,"182,733","185,424","185,424","182,570","7.81B","-1.45%"</t>
  </si>
  <si>
    <t>03/25/2026,"185,424","182,528","186,401","182,524","9.07B","1.60%"</t>
  </si>
  <si>
    <t>03/24/2026,"182,509","181,932","182,649","179,915","7.56B","0.32%"</t>
  </si>
  <si>
    <t>03/23/2026,"181,932","176,221","182,973","176,221","9.87B","3.24%"</t>
  </si>
  <si>
    <t>03/20/2026,"176,219","180,262","180,305","175,039","15.35B","-2.25%"</t>
  </si>
  <si>
    <t>03/19/2026,"180,271","179,624","181,251","176,296","12.56B","0.35%"</t>
  </si>
  <si>
    <t>03/18/2026,"179,640","180,409","181,551","179,576","9.75B","-0.43%"</t>
  </si>
  <si>
    <t>03/17/2026,"180,410","179,882","182,800","179,850","9.33B","0.30%"</t>
  </si>
  <si>
    <t>03/16/2026,"179,875","177,656","181,255","177,656","7.37B","1.25%"</t>
  </si>
  <si>
    <t>03/13/2026,"177,653","179,285","180,996","177,322","9.53B","-0.91%"</t>
  </si>
  <si>
    <t>03/12/2026,"179,284","183,968","183,992","178,495","12.08B","-2.55%"</t>
  </si>
  <si>
    <t>03/11/2026,"183,969","183,446","185,714","182,021","8.96B","0.28%"</t>
  </si>
  <si>
    <t>03/10/2026,"183,447","180,921","185,324","180,693","10.08B","1.40%"</t>
  </si>
  <si>
    <t>03/09/2026,"180,915","179,367","181,952","177,637","11.42B","0.86%"</t>
  </si>
  <si>
    <t>03/06/2026,"179,365","180,463","181,091","178,556","9.92B","-0.61%"</t>
  </si>
  <si>
    <t>03/05/2026,"180,464","185,365","185,366","179,895","10.60B","-2.64%"</t>
  </si>
  <si>
    <t>03/04/2026,"185,366","183,110","186,306","183,110","9.11B","1.24%"</t>
  </si>
  <si>
    <t>03/03/2026,"183,105","189,284","189,602","180,518","14.37B","-3.28%"</t>
  </si>
  <si>
    <t>03/02/2026,"189,307","188,786","190,110","186,638","9.09B","0.28%"</t>
  </si>
  <si>
    <t>02/27/2026,"188,787","191,005","191,005","188,478","11.00B","-1.16%"</t>
  </si>
  <si>
    <t>02/26/2026,"191,005","191,248","191,978","188,977","8.80B","-0.13%"</t>
  </si>
  <si>
    <t>02/25/2026,"191,247","191,491","192,624","190,419","9.13B","-0.13%"</t>
  </si>
  <si>
    <t>02/24/2026,"191,490","188,854","191,781","188,854","11.04B","1.40%"</t>
  </si>
  <si>
    <t>02/23/2026,"188,853","190,532","191,003","188,526","9.90B","-0.88%"</t>
  </si>
  <si>
    <t>02/20/2026,"190,534","188,531","190,727","186,700","9.99B","1.06%"</t>
  </si>
  <si>
    <t>02/19/2026,"188,534","186,020","188,687","185,928","9.23B","1.35%"</t>
  </si>
  <si>
    <t>02/18/2026,"186,016","186,464","187,657","185,001","7.79B","-0.24%"</t>
  </si>
  <si>
    <t>02/13/2026,"186,464","187,766","187,766","183,662","11.59B","-0.69%"</t>
  </si>
  <si>
    <t>02/12/2026,"187,766","189,694","189,990","186,959","12.36B","-1.02%"</t>
  </si>
  <si>
    <t>02/11/2026,"189,699","185,936","190,561","185,936","11.64B","2.03%"</t>
  </si>
  <si>
    <t>02/10/2026,"185,929","186,241","186,959","185,083","10.30B","-0.17%"</t>
  </si>
  <si>
    <t>02/09/2026,"186,241","182,950","186,460","182,950","8.92B","1.80%"</t>
  </si>
  <si>
    <t>02/06/2026,"182,950","182,128","183,262","181,391","9.90B","0.45%"</t>
  </si>
  <si>
    <t>02/05/2026,"182,127","181,708","184,017","181,569","9.83B","0.23%"</t>
  </si>
  <si>
    <t>02/04/2026,"181,708","185,671","185,671","180,269","10.73B","-2.14%"</t>
  </si>
  <si>
    <t>02/03/2026,"185,674","182,816","187,334","182,816","10.76B","1.58%"</t>
  </si>
  <si>
    <t>02/02/2026,"182,793","181,369","182,890","181,348","8.74B","0.79%"</t>
  </si>
  <si>
    <t>01/30/2026,"181,364","183,133","183,620","180,089","11.11B","-0.97%"</t>
  </si>
  <si>
    <t>01/29/2026,"183,134","184,692","186,450","181,567","12.95B","-0.84%"</t>
  </si>
  <si>
    <t>01/28/2026,"184,691","181,921","185,065","181,921","11.86B","1.52%"</t>
  </si>
  <si>
    <t>01/27/2026,"181,919","178,852","183,360","178,852","11.34B","1.79%"</t>
  </si>
  <si>
    <t>01/26/2026,"178,721","178,859","179,543","177,694","9.57B","-0.08%"</t>
  </si>
  <si>
    <t>01/23/2026,"178,859","175,590","180,532","175,590","11.78B","1.86%"</t>
  </si>
  <si>
    <t>01/22/2026,"175,589","171,817","177,742","171,817","14.02B","2.20%"</t>
  </si>
  <si>
    <t>01/21/2026,"171,817","166,278","171,969","166,278","14.07B","3.33%"</t>
  </si>
  <si>
    <t>01/20/2026,"166,277","164,846","166,468","163,575","8.37B","0.87%"</t>
  </si>
  <si>
    <t>01/19/2026,"164,849","164,800","165,155","164,265","4.80B","0.03%"</t>
  </si>
  <si>
    <t>01/16/2026,"164,800","165,557","165,872","164,100","11.49B","-0.46%"</t>
  </si>
  <si>
    <t>01/15/2026,"165,568","165,180","166,070","164,833","9.41B","0.26%"</t>
  </si>
  <si>
    <t>01/14/2026,"165,146","161,974","165,146","161,974","9.93B","1.96%"</t>
  </si>
  <si>
    <t>01/13/2026,"161,973","163,146","163,146","161,765","9.67B","-0.72%"</t>
  </si>
  <si>
    <t>01/12/2026,"163,150","163,370","163,493","162,277","6.90B","-0.13%"</t>
  </si>
  <si>
    <t>01/09/2026,"163,370","162,938","164,263","162,638","8.30B","0.27%"</t>
  </si>
  <si>
    <t>01/08/2026,"162,936","161,975","162,936","161,748","8.61B","0.59%"</t>
  </si>
  <si>
    <t>01/07/2026,"161,975","163,661","163,661","161,746","8.85B","-1.03%"</t>
  </si>
  <si>
    <t>01/06/2026,"163,664","161,870","164,135","161,870","8.41B","1.11%"</t>
  </si>
  <si>
    <t>01/05/2026,"161,870","160,542","162,166","160,215","7.99B","0.83%"</t>
  </si>
  <si>
    <t>01/02/2026,"160,539","161,124","161,957","160,059","7.46B","-0.36%"</t>
  </si>
  <si>
    <t>12/30/2025,"161,125","160,491","162,075","160,491","5.87B","0.40%"</t>
  </si>
  <si>
    <t>12/29/2025,"160,490","160,897","161,133","159,702","5.61B","-0.25%"</t>
  </si>
  <si>
    <t>12/26/2025,"160,897","160,456","160,913","159,359","4.79B","0.27%"</t>
  </si>
  <si>
    <t>12/23/2025,"160,456","158,144","160,456","158,144","6.57B","1.46%"</t>
  </si>
  <si>
    <t>12/22/2025,"158,142","158,480","158,634","157,306","8.42B","-0.21%"</t>
  </si>
  <si>
    <t>12/19/2025,"158,473","157,928","159,552","157,906","9.95B","0.35%"</t>
  </si>
  <si>
    <t>12/18/2025,"157,923","157,327","158,495","157,124","7.80B","0.38%"</t>
  </si>
  <si>
    <t>12/17/2025,"157,327","158,578","158,611","156,351","11.34B","-0.79%"</t>
  </si>
  <si>
    <t>12/16/2025,"158,578","162,482","162,482","158,558","9.92B","-2.40%"</t>
  </si>
  <si>
    <t>12/15/2025,"162,482","160,766","163,073","160,766","8.23B","1.07%"</t>
  </si>
  <si>
    <t>12/12/2025,"160,766","159,189","161,263","159,189","7.67B","0.99%"</t>
  </si>
  <si>
    <t>12/11/2025,"159,189","159,072","159,850","158,098","7.02B","0.07%"</t>
  </si>
  <si>
    <t>12/10/2025,"159,075","157,984","159,691","157,628","8.24B","0.69%"</t>
  </si>
  <si>
    <t>12/09/2025,"157,981","158,187","158,851","155,188","8.70B","-0.13%"</t>
  </si>
  <si>
    <t>12/08/2025,"158,187","157,369","159,235","157,369","9.02B","0.52%"</t>
  </si>
  <si>
    <t>12/05/2025,"157,369","164,461","165,036","157,007","14.53B","-4.31%"</t>
  </si>
  <si>
    <t>12/04/2025,"164,456","161,760","164,551","161,759","10.59B","1.67%"</t>
  </si>
  <si>
    <t>12/03/2025,"161,755","161,094","161,963","161,093","8.29B","0.41%"</t>
  </si>
  <si>
    <t>12/02/2025,"161,092","158,612","161,092","158,612","8.43B","1.56%"</t>
  </si>
  <si>
    <t>12/01/2025,"158,611","159,073","159,224","158,029","7.50B","-0.29%"</t>
  </si>
  <si>
    <t>11/28/2025,"159,072","158,358","159,689","158,078","8.02B","0.45%"</t>
  </si>
  <si>
    <t>11/27/2025,"158,360","158,554","158,864","158,167","4.47B","-0.12%"</t>
  </si>
  <si>
    <t>11/26/2025,"158,555","155,915","158,714","155,914","8.60B","1.70%"</t>
  </si>
  <si>
    <t>11/25/2025,"155,910","155,278","156,373","154,821","6.93B","0.41%"</t>
  </si>
  <si>
    <t>11/24/2025,"155,278","154,769","155,832","154,529","9.28B","0.33%"</t>
  </si>
  <si>
    <t>11/21/2025,"154,770","155,381","155,387","153,571","7.85B","-0.39%"</t>
  </si>
  <si>
    <t>11/19/2025,"155,381","156,522","156,522","155,212","8.82B","-0.73%"</t>
  </si>
  <si>
    <t>11/18/2025,"156,522","156,990","157,040","155,834","8.72B","-0.30%"</t>
  </si>
  <si>
    <t>11/17/2025,"156,993","157,742","157,901","156,568","8.42B","-0.47%"</t>
  </si>
  <si>
    <t>11/14/2025,"157,739","157,162","158,366","156,656","7.98B","0.37%"</t>
  </si>
  <si>
    <t>11/13/2025,"157,162","157,633","158,319","156,509","10.56B","-0.30%"</t>
  </si>
  <si>
    <t>11/12/2025,"157,633","157,749","158,134","156,560","11.23B","-0.07%"</t>
  </si>
  <si>
    <t>11/11/2025,"157,749","155,257","158,467","155,252","12.88B","1.60%"</t>
  </si>
  <si>
    <t>11/10/2025,"155,257","154,061","155,601","154,058","7.75B","0.77%"</t>
  </si>
  <si>
    <t>11/07/2025,"154,064","153,339","154,066","152,368","9.47B","0.47%"</t>
  </si>
  <si>
    <t>11/06/2025,"153,339","153,297","154,352","153,235","9.39B","0.03%"</t>
  </si>
  <si>
    <t>11/05/2025,"153,294","150,709","153,583","150,296","9.80B","1.72%"</t>
  </si>
  <si>
    <t>11/04/2025,"150,704","150,453","150,888","149,979","7.54B","0.17%"</t>
  </si>
  <si>
    <t>11/03/2025,"150,454","149,551","150,761","149,551","7.67B","0.61%"</t>
  </si>
  <si>
    <t>10/31/2025,"149,540","148,774","149,636","148,774","8.91B","0.51%"</t>
  </si>
  <si>
    <t>10/30/2025,"148,780","148,632","149,234","147,546","7.30B","0.10%"</t>
  </si>
  <si>
    <t>10/29/2025,"148,633","147,430","149,067","147,430","8.00B","0.82%"</t>
  </si>
  <si>
    <t>10/28/2025,"147,429","146,970","147,811","146,575","7.11B","0.31%"</t>
  </si>
  <si>
    <t>10/27/2025,"146,969","146,174","147,977","146,174","6.45B","0.55%"</t>
  </si>
  <si>
    <t>10/24/2025,"146,172","145,721","147,240","145,721","6.49B","0.31%"</t>
  </si>
  <si>
    <t>10/23/2025,"145,721","144,881","146,358","144,881","6.60B","0.59%"</t>
  </si>
  <si>
    <t>10/22/2025,"144,873","144,094","145,048","144,039","7.02B","0.55%"</t>
  </si>
  <si>
    <t>10/21/2025,"144,085","144,509","144,795","143,829","6.19B","-0.29%"</t>
  </si>
  <si>
    <t>10/20/2025,"144,509","143,399","145,216","143,396","6.79B","0.77%"</t>
  </si>
  <si>
    <t>10/17/2025,"143,399","142,200","143,424","141,248","8.88B","0.84%"</t>
  </si>
  <si>
    <t>10/16/2025,"142,200","142,604","143,191","141,446","7.39B","-0.28%"</t>
  </si>
  <si>
    <t>10/15/2025,"142,604","141,683","142,905","141,154","10.32B","0.65%"</t>
  </si>
  <si>
    <t>10/14/2025,"141,683","141,788","142,589","141,334","7.12B","-0.07%"</t>
  </si>
  <si>
    <t>10/13/2025,"141,783","140,682","142,303","140,682","5.53B","0.78%"</t>
  </si>
  <si>
    <t>10/10/2025,"140,680","141,725","142,274","140,231","8.28B","-0.73%"</t>
  </si>
  <si>
    <t>10/09/2025,"141,708","142,148","143,212","141,603","6.82B","-0.31%"</t>
  </si>
  <si>
    <t>10/08/2025,"142,145","141,356","142,385","141,356","7.53B","0.56%"</t>
  </si>
  <si>
    <t>10/07/2025,"141,356","143,606","143,606","141,035","9.27B","-1.57%"</t>
  </si>
  <si>
    <t>10/06/2025,"143,608","144,202","144,532","143,376","5.98B","-0.41%"</t>
  </si>
  <si>
    <t>10/03/2025,"144,201","143,950","144,518","143,676","6.18B","0.17%"</t>
  </si>
  <si>
    <t>10/02/2025,"143,950","145,517","145,621","143,635","7.25B","-1.08%"</t>
  </si>
  <si>
    <t>10/01/2025,"145,517","146,237","146,879","145,193","8.34B","-0.49%"</t>
  </si>
  <si>
    <t>09/30/2025,"146,237","146,337","147,578","145,774","9.48B","-0.07%"</t>
  </si>
  <si>
    <t>09/29/2025,"146,337","145,447","147,558","145,447","7.07B","0.61%"</t>
  </si>
  <si>
    <t>09/26/2025,"145,447","145,326","146,235","145,146","6.34B","0.10%"</t>
  </si>
  <si>
    <t>09/25/2025,"145,306","146,492","146,519","145,187","8.29B","-0.81%"</t>
  </si>
  <si>
    <t>09/24/2025,"146,492","146,426","146,585","146,067","7.29B","0.05%"</t>
  </si>
  <si>
    <t>09/23/2025,"146,425","145,112","147,178","145,107","8.14B","0.91%"</t>
  </si>
  <si>
    <t>09/22/2025,"145,109","145,864","145,864","144,117","9.43B","-0.52%"</t>
  </si>
  <si>
    <t>09/19/2025,"145,865","145,499","146,399","145,496","10.28B","0.25%"</t>
  </si>
  <si>
    <t>09/18/2025,"145,499","145,594","145,726","144,993","8.37B","-0.06%"</t>
  </si>
  <si>
    <t>09/17/2025,"145,594","144,059","146,331","143,910","9.60B","1.06%"</t>
  </si>
  <si>
    <t>09/16/2025,"144,062","143,547","144,584","143,547","8.48B","0.36%"</t>
  </si>
  <si>
    <t>09/15/2025,"143,547","142,292","144,194","142,292","6.61B","0.90%"</t>
  </si>
  <si>
    <t>09/12/2025,"142,272","143,151","143,202","142,241","6.39B","-0.61%"</t>
  </si>
  <si>
    <t>09/11/2025,"143,151","142,349","144,013","142,349","7.57B","0.56%"</t>
  </si>
  <si>
    <t>09/10/2025,"142,349","141,612","143,182","141,612","7.14B","0.52%"</t>
  </si>
  <si>
    <t>09/09/2025,"141,618","141,794","142,286","141,605","7.48B","-0.12%"</t>
  </si>
  <si>
    <t>09/08/2025,"141,792","142,640","143,089","141,329","7.44B","-0.59%"</t>
  </si>
  <si>
    <t>09/05/2025,"142,640","141,003","143,409","141,003","8.38B","1.17%"</t>
  </si>
  <si>
    <t>09/04/2025,"140,993","139,832","141,482","139,832","8.03B","0.81%"</t>
  </si>
  <si>
    <t>09/03/2025,"139,864","140,332","140,496","139,582","7.58B","-0.34%"</t>
  </si>
  <si>
    <t>09/02/2025,"140,335","141,279","141,279","139,625","8.79B","-0.67%"</t>
  </si>
  <si>
    <t>09/01/2025,"141,283","141,423","141,950","140,878","4.95B","-0.10%"</t>
  </si>
  <si>
    <t>08/29/2025,"141,422","141,049","142,379","141,000","9.33B","0.26%"</t>
  </si>
  <si>
    <t>08/28/2025,"141,049","139,206","142,138","139,206","9.29B","1.32%"</t>
  </si>
  <si>
    <t>08/27/2025,"139,206","137,773","139,281","137,456","6.61B","1.04%"</t>
  </si>
  <si>
    <t>08/26/2025,"137,771","138,026","138,037","137,058","8.45B","-0.18%"</t>
  </si>
  <si>
    <t>08/25/2025,"138,025","137,971","138,890","137,971","5.99B","0.04%"</t>
  </si>
  <si>
    <t>08/22/2025,"137,968","134,511","138,072","134,511","9.32B","2.57%"</t>
  </si>
  <si>
    <t>08/21/2025,"134,511","134,664","134,837","133,874","6.52B","-0.12%"</t>
  </si>
  <si>
    <t>08/20/2025,"134,666","134,430","134,964","134,122","6.85B","0.17%"</t>
  </si>
  <si>
    <t>08/19/2025,"134,432","137,321","137,321","133,997","8.68B","-2.10%"</t>
  </si>
  <si>
    <t>08/18/2025,"137,322","136,341","137,902","136,341","8.09B","0.72%"</t>
  </si>
  <si>
    <t>08/15/2025,"136,341","136,354","136,431","135,583","9.29B","-0.01%"</t>
  </si>
  <si>
    <t>08/14/2025,"136,356","136,681","137,437","135,588","9.67B","-0.24%"</t>
  </si>
  <si>
    <t>08/13/2025,"136,687","137,911","137,913","136,535","9.40B","-0.89%"</t>
  </si>
  <si>
    <t>08/12/2025,"137,914","135,629","138,414","135,629","8.34B","1.69%"</t>
  </si>
  <si>
    <t>08/11/2025,"135,623","135,913","136,307","135,496","6.95B","-0.21%"</t>
  </si>
  <si>
    <t>08/08/2025,"135,913","136,526","136,761","135,659","9.89B","-0.45%"</t>
  </si>
  <si>
    <t>08/07/2025,"136,528","134,538","137,007","134,533","9.50B","1.48%"</t>
  </si>
  <si>
    <t>08/06/2025,"134,538","133,169","135,241","133,169","8.68B","1.04%"</t>
  </si>
  <si>
    <t>08/05/2025,"133,151","132,971","134,233","132,682","6.61B","0.14%"</t>
  </si>
  <si>
    <t>08/04/2025,"132,971","132,440","133,929","132,440","6.14B","0.40%"</t>
  </si>
  <si>
    <t>08/01/2025,"132,437","132,920","133,237","132,140","8.50B","-0.48%"</t>
  </si>
  <si>
    <t>07/31/2025,"133,071","133,987","133,987","132,096","9.20B","-0.69%"</t>
  </si>
  <si>
    <t>07/30/2025,"133,990","132,702","134,368","131,883","8.66B","0.95%"</t>
  </si>
  <si>
    <t>07/29/2025,"132,726","132,130","133,346","132,130","6.32B","0.45%"</t>
  </si>
  <si>
    <t>07/28/2025,"132,129","133,538","133,902","131,550","6.63B","-1.04%"</t>
  </si>
  <si>
    <t>07/25/2025,"133,524","133,820","134,204","133,285","5.56B","-0.21%"</t>
  </si>
  <si>
    <t>07/24/2025,"133,808","135,357","135,363","133,648","5.98B","-1.15%"</t>
  </si>
  <si>
    <t>07/23/2025,"135,368","134,036","135,782","133,676","6.53B","0.99%"</t>
  </si>
  <si>
    <t>07/22/2025,"134,036","134,180","135,300","133,986","7.05B","-0.10%"</t>
  </si>
  <si>
    <t>07/21/2025,"134,167","133,382","134,865","133,367","6.73B","0.59%"</t>
  </si>
  <si>
    <t>07/18/2025,"133,382","135,562","135,562","133,296","10.07B","-1.61%"</t>
  </si>
  <si>
    <t>07/17/2025,"135,565","135,515","135,792","135,016","6.80B","0.04%"</t>
  </si>
  <si>
    <t>07/16/2025,"135,511","135,250","135,641","134,265","7.83B","0.19%"</t>
  </si>
  <si>
    <t>07/15/2025,"135,250","135,298","136,022","134,380","6.90B","-0.04%"</t>
  </si>
  <si>
    <t>07/14/2025,"135,299","136,187","136,187","134,840","7.33B","-0.65%"</t>
  </si>
  <si>
    <t>07/11/2025,"136,187","136,742","136,742","135,528","7.40B","-0.41%"</t>
  </si>
  <si>
    <t>07/10/2025,"136,743","137,472","137,472","136,014","9.57B","-0.54%"</t>
  </si>
  <si>
    <t>07/09/2025,"137,481","139,303","139,331","137,299","7.58B","-1.31%"</t>
  </si>
  <si>
    <t>07/08/2025,"139,303","139,491","139,591","138,770","6.75B","-0.13%"</t>
  </si>
  <si>
    <t>07/07/2025,"139,490","141,265","141,342","139,295","6.12B","-1.26%"</t>
  </si>
  <si>
    <t>07/04/2025,"141,264","140,928","141,564","140,597","3.31B","0.24%"</t>
  </si>
  <si>
    <t>07/03/2025,"140,928","139,051","141,304","139,051","6.08B","1.35%"</t>
  </si>
  <si>
    <t>07/02/2025,"139,051","139,586","140,049","138,384","8.81B","-0.36%"</t>
  </si>
  <si>
    <t>07/01/2025,"139,549","138,855","139,695","138,855","6.35B","0.50%"</t>
  </si>
  <si>
    <t>06/30/2025,"138,855","136,865","139,103","136,430","7.68B","1.45%"</t>
  </si>
  <si>
    <t>06/27/2025,"136,866","137,113","137,209","136,469","6.24B","-0.18%"</t>
  </si>
  <si>
    <t>06/26/2025,"137,114","135,767","137,353","135,756","8.02B","0.99%"</t>
  </si>
  <si>
    <t>06/25/2025,"135,767","137,163","137,163","135,565","7.71B","-1.02%"</t>
  </si>
  <si>
    <t>06/24/2025,"137,165","136,552","138,156","136,254","8.08B","0.45%"</t>
  </si>
  <si>
    <t>06/23/2025,"136,551","137,116","137,130","135,835","7.73B","-0.41%"</t>
  </si>
  <si>
    <t>06/20/2025,"137,116","138,715","138,719","136,815","11.29B","-1.15%"</t>
  </si>
  <si>
    <t>06/18/2025,"138,717","138,844","139,161","138,443","8.32B","-0.09%"</t>
  </si>
  <si>
    <t>06/17/2025,"138,840","139,256","139,497","138,293","8.38B","-0.30%"</t>
  </si>
  <si>
    <t>06/16/2025,"139,256","137,212","139,988","137,212","7.62B","1.49%"</t>
  </si>
  <si>
    <t>06/13/2025,"137,213","137,800","137,800","136,586","8.63B","-0.43%"</t>
  </si>
  <si>
    <t>06/12/2025,"137,800","137,127","137,931","136,175","7.12B","0.49%"</t>
  </si>
  <si>
    <t>06/11/2025,"137,128","136,443","137,531","135,628","8.77B","0.51%"</t>
  </si>
  <si>
    <t>06/10/2025,"136,436","135,716","137,369","135,716","8.19B","0.54%"</t>
  </si>
  <si>
    <t>06/09/2025,"135,699","136,102","136,106","134,119","7.76B","-0.30%"</t>
  </si>
  <si>
    <t>06/06/2025,"136,102","136,236","136,890","135,601","9.12B","-0.10%"</t>
  </si>
  <si>
    <t>06/05/2025,"136,236","137,003","137,451","136,031","9.48B","-0.56%"</t>
  </si>
  <si>
    <t>06/04/2025,"137,002","137,547","138,797","136,695","10.20B","-0.40%"</t>
  </si>
  <si>
    <t>06/03/2025,"137,546","136,787","137,672","136,175","9.70B","0.56%"</t>
  </si>
  <si>
    <t>06/02/2025,"136,787","137,026","138,471","136,483","9.10B","-0.18%"</t>
  </si>
  <si>
    <t>05/30/2025,"137,027","138,546","138,637","136,726","15.14B","-1.09%"</t>
  </si>
  <si>
    <t>05/29/2025,"138,534","138,869","139,108","137,993","8.83B","-0.25%"</t>
  </si>
  <si>
    <t>05/28/2025,"138,888","139,541","139,547","138,580","9.73B","-0.47%"</t>
  </si>
  <si>
    <t>05/27/2025,"139,541","138,136","140,382","138,136","11.19B","1.02%"</t>
  </si>
  <si>
    <t>05/26/2025,"138,136","137,824","138,800","137,795","5.55B","0.23%"</t>
  </si>
  <si>
    <t>05/23/2025,"137,824","137,273","137,824","134,997","10.68B","0.40%"</t>
  </si>
  <si>
    <t>05/22/2025,"137,273","137,881","138,837","137,088","13.22B","-0.44%"</t>
  </si>
  <si>
    <t>05/21/2025,"137,881","140,109","140,109","137,538","10.15B","-1.59%"</t>
  </si>
  <si>
    <t>05/20/2025,"140,110","139,636","140,244","138,966","9.65B","0.34%"</t>
  </si>
  <si>
    <t>05/19/2025,"139,636","139,186","140,203","138,587","9.59B","0.32%"</t>
  </si>
  <si>
    <t>05/16/2025,"139,187","139,335","139,335","137,713","12.11B","-0.11%"</t>
  </si>
  <si>
    <t>05/15/2025,"139,334","138,425","139,408","138,321","11.50B","0.66%"</t>
  </si>
  <si>
    <t>05/14/2025,"138,423","138,965","139,362","138,228","11.16B","-0.39%"</t>
  </si>
  <si>
    <t>05/13/2025,"138,963","136,565","139,419","136,550","13.07B","1.76%"</t>
  </si>
  <si>
    <t>05/12/2025,"136,563","136,516","137,519","136,356","10.92B","0.04%"</t>
  </si>
  <si>
    <t>05/09/2025,"136,512","136,232","137,286","136,105","13.88B","0.21%"</t>
  </si>
  <si>
    <t>05/08/2025,"136,232","133,458","137,635","133,458","17.20B","2.12%"</t>
  </si>
  <si>
    <t>05/07/2025,"133,398","133,517","134,110","132,872","9.94B","-0.09%"</t>
  </si>
  <si>
    <t>05/06/2025,"133,516","133,499","134,135","133,260","11.14B","0.02%"</t>
  </si>
  <si>
    <t>05/05/2025,"133,491","135,131","135,198","133,390","10.80B","-1.22%"</t>
  </si>
  <si>
    <t>05/02/2025,"135,134","135,067","135,275","134,355","12.74B","0.05%"</t>
  </si>
  <si>
    <t>04/30/2025,"135,067","135,094","135,171","133,955","15.45B","-0.02%"</t>
  </si>
  <si>
    <t>04/29/2025,"135,093","135,017","136,150","134,899","12.76B","0.06%"</t>
  </si>
  <si>
    <t>04/28/2025,"135,016","134,741","135,709","134,711","11.45B","0.21%"</t>
  </si>
  <si>
    <t>04/25/2025,"134,739","134,579","134,992","134,186","13.05B","0.12%"</t>
  </si>
  <si>
    <t>04/24/2025,"134,580","132,245","134,938","132,223","14.11B","1.79%"</t>
  </si>
  <si>
    <t>04/23/2025,"132,216","130,468","133,318","130,468","11.34B","1.34%"</t>
  </si>
  <si>
    <t>04/22/2025,"130,464","129,650","130,877","128,726","8.61B","0.63%"</t>
  </si>
  <si>
    <t>04/17/2025,"129,650","128,316","130,091","127,973","9.98B","1.04%"</t>
  </si>
  <si>
    <t>04/16/2025,"128,317","129,245","129,605","128,149","11.54B","-0.72%"</t>
  </si>
  <si>
    <t>04/15/2025,"129,245","129,452","129,927","128,951","8.84B","-0.16%"</t>
  </si>
  <si>
    <t>04/14/2025,"129,454","127,683","129,955","127,683","10.61B","1.39%"</t>
  </si>
  <si>
    <t>04/11/2025,"127,682","126,355","128,386","126,078","10.08B","1.05%"</t>
  </si>
  <si>
    <t>04/10/2025,"126,355","127,796","127,797","124,895","11.46B","-1.13%"</t>
  </si>
  <si>
    <t>04/09/2025,"127,796","123,928","128,649","122,887","16.92B","3.12%"</t>
  </si>
  <si>
    <t>04/08/2025,"123,932","125,588","127,652","123,454","12.81B","-1.32%"</t>
  </si>
  <si>
    <t>04/07/2025,"125,588","127,229","128,411","123,876","14.05B","-1.31%"</t>
  </si>
  <si>
    <t>04/04/2025,"127,256","131,139","131,139","126,466","13.18B","-2.96%"</t>
  </si>
  <si>
    <t>04/03/2025,"131,141","131,185","132,552","130,182","12.33B","-0.04%"</t>
  </si>
  <si>
    <t>04/02/2025,"131,190","131,151","131,424","130,393","8.82B","0.03%"</t>
  </si>
  <si>
    <t>04/01/2025,"131,147","130,267","131,982","130,081","8.97B","0.68%"</t>
  </si>
  <si>
    <t>03/31/2025,"130,260","131,900","131,901","130,115","9.99B","-1.25%"</t>
  </si>
  <si>
    <t>03/28/2025,"131,902","133,143","133,143","131,315","8.91B","-0.94%"</t>
  </si>
  <si>
    <t>03/27/2025,"133,149","132,522","133,904","132,479","10.02B","0.47%"</t>
  </si>
  <si>
    <t>03/26/2025,"132,520","132,069","132,984","132,068","9.40B","0.34%"</t>
  </si>
  <si>
    <t>03/25/2025,"132,068","131,327","133,471","131,325","9.24B","0.57%"</t>
  </si>
  <si>
    <t>03/24/2025,"131,321","132,344","132,424","130,992","8.30B","-0.77%"</t>
  </si>
  <si>
    <t>03/21/2025,"132,345","132,005","132,588","131,776","14.19B","0.30%"</t>
  </si>
  <si>
    <t>03/20/2025,"131,955","132,505","132,713","131,813","14.19B","-0.42%"</t>
  </si>
  <si>
    <t>03/19/2025,"132,508","131,476","132,984","131,451","12.20B","0.79%"</t>
  </si>
  <si>
    <t>03/18/2025,"131,475","130,832","131,834","130,722","10.99B","0.49%"</t>
  </si>
  <si>
    <t>03/17/2025,"130,834","128,959","131,313","128,957","11.06B","1.46%"</t>
  </si>
  <si>
    <t>03/14/2025,"128,957","125,647","129,194","125,647","14.57B","2.64%"</t>
  </si>
  <si>
    <t>03/13/2025,"125,637","123,863","125,774","123,590","11.26B","1.43%"</t>
  </si>
  <si>
    <t>03/12/2025,"123,864","123,507","124,048","122,969","8.25B","0.29%"</t>
  </si>
  <si>
    <t>03/11/2025,"123,507","124,519","124,625","122,636","8.81B","-0.81%"</t>
  </si>
  <si>
    <t>03/10/2025,"124,519","125,031","125,031","123,471","9.37B","-0.41%"</t>
  </si>
  <si>
    <t>03/07/2025,"125,035","123,357","125,822","122,530","9.98B","1.36%"</t>
  </si>
  <si>
    <t>03/06/2025,"123,358","123,048","124,112","122,681","10.06B","0.25%"</t>
  </si>
  <si>
    <t>03/05/2025,"123,047","122,799","123,364","122,747","9.60B","0.20%"</t>
  </si>
  <si>
    <t>02/28/2025,"122,799","124,798","124,916","122,659","24.87B","-1.60%"</t>
  </si>
  <si>
    <t>02/27/2025,"124,799","124,768","125,497","124,352","12.55B","0.02%"</t>
  </si>
  <si>
    <t>02/26/2025,"124,769","125,980","126,563","124,732","11.36B","-0.96%"</t>
  </si>
  <si>
    <t>02/25/2025,"125,980","125,401","126,718","125,382","11.08B","0.46%"</t>
  </si>
  <si>
    <t>02/24/2025,"125,401","127,129","127,275","125,162","10.15B","-1.36%"</t>
  </si>
  <si>
    <t>02/21/2025,"127,128","127,601","127,654","126,483","11.09B","-0.37%"</t>
  </si>
  <si>
    <t>02/20/2025,"127,601","127,309","127,871","127,063","10.64B","0.23%"</t>
  </si>
  <si>
    <t>02/19/2025,"127,309","128,528","128,528","127,028","9.30B","-0.95%"</t>
  </si>
  <si>
    <t>02/18/2025,"128,532","128,553","129,294","128,012","10.99B","-0.02%"</t>
  </si>
  <si>
    <t>02/17/2025,"128,552","128,229","129,534","128,229","9.97B","0.26%"</t>
  </si>
  <si>
    <t>02/14/2025,"128,219","124,849","128,482","124,849","12.56B","2.70%"</t>
  </si>
  <si>
    <t>02/13/2025,"124,850","124,372","124,853","123,778","9.05B","0.38%"</t>
  </si>
  <si>
    <t>02/12/2025,"124,380","126,513","126,513","124,116","14.63B","-1.69%"</t>
  </si>
  <si>
    <t>02/11/2025,"126,522","125,571","126,886","125,570","11.24B","0.76%"</t>
  </si>
  <si>
    <t>02/10/2025,"125,572","124,619","126,386","124,619","8.91B","0.76%"</t>
  </si>
  <si>
    <t>02/07/2025,"124,619","126,219","126,524","124,320","10.95B","-1.27%"</t>
  </si>
  <si>
    <t>02/06/2025,"126,225","125,531","126,399","125,249","10.03B","0.55%"</t>
  </si>
  <si>
    <t>02/05/2025,"125,534","125,146","125,846","124,637","9.96B","0.31%"</t>
  </si>
  <si>
    <t>02/04/2025,"125,147","125,964","125,964","124,694","9.78B","-0.65%"</t>
  </si>
  <si>
    <t>02/03/2025,"125,970","126,135","126,473","125,566","9.55B","-0.13%"</t>
  </si>
  <si>
    <t>01/31/2025,"126,135","126,914","127,532","126,057","10.24B","-0.61%"</t>
  </si>
  <si>
    <t>01/30/2025,"126,913","123,433","127,169","123,432","11.69B","2.82%"</t>
  </si>
  <si>
    <t>01/29/2025,"123,432","124,056","124,767","123,278","7.35B","-0.50%"</t>
  </si>
  <si>
    <t>01/28/2025,"124,056","124,861","124,881","123,973","8.31B","-0.65%"</t>
  </si>
  <si>
    <t>01/27/2025,"124,862","122,443","124,862","122,207","11.02B","1.97%"</t>
  </si>
  <si>
    <t>01/24/2025,"122,447","122,483","122,908","122,196","7.78B","-0.03%"</t>
  </si>
  <si>
    <t>01/23/2025,"122,483","122,965","123,958","122,159","9.49B","-0.40%"</t>
  </si>
  <si>
    <t>01/22/2025,"122,972","123,345","123,865","122,926","9.98B","-0.30%"</t>
  </si>
  <si>
    <t>01/21/2025,"123,338","122,850","123,462","122,290","7.82B","0.39%"</t>
  </si>
  <si>
    <t>01/20/2025,"122,855","122,349","123,172","121,511","6.05B","0.41%"</t>
  </si>
  <si>
    <t>01/17/2025,"122,350","121,258","122,674","121,074","10.24B","0.92%"</t>
  </si>
  <si>
    <t>01/16/2025,"121,234","122,649","122,660","120,796","11.31B","-1.15%"</t>
  </si>
  <si>
    <t>01/15/2025,"122,650","119,309","122,988","119,303","11.93B","2.81%"</t>
  </si>
  <si>
    <t>01/14/2025,"119,299","119,007","119,451","118,223","9.35B","0.25%"</t>
  </si>
  <si>
    <t>01/13/2025,"119,007","118,856","119,729","118,743","8.16B","0.13%"</t>
  </si>
  <si>
    <t>01/10/2025,"118,856","119,781","120,052","118,732","9.26B","-0.77%"</t>
  </si>
  <si>
    <t>01/09/2025,"119,781","119,625","120,145","119,502","6.61B","0.13%"</t>
  </si>
  <si>
    <t>01/08/2025,"119,625","121,160","121,160","119,351","10.23B","-1.27%"</t>
  </si>
  <si>
    <t>01/07/2025,"121,163","120,022","121,713","120,022","11.12B","0.95%"</t>
  </si>
  <si>
    <t>01/06/2025,"120,022","118,534","120,322","118,534","9.69M","1.26%"</t>
  </si>
  <si>
    <t>01/03/2025,"118,533","120,125","120,356","118,404","9.80M","-1.33%"</t>
  </si>
  <si>
    <t>01/02/2025,"120,125","120,283","120,782","119,120","9.37M","-0.13%"</t>
  </si>
  <si>
    <t>12/30/2024,"120,283","120,267","121,050","120,158","8.90M","0.01%"</t>
  </si>
  <si>
    <t>12/27/2024,"120,269","121,078","121,609","120,252","8.94M","-0.67%"</t>
  </si>
  <si>
    <t>12/26/2024,"121,078","120,767","121,612","120,428","8.34M","0.26%"</t>
  </si>
  <si>
    <t>12/23/2024,"120,767","122,105","122,105","120,617","9.95M","-1.09%"</t>
  </si>
  <si>
    <t>12/20/2024,"122,102","121,183","122,209","120,700","18.13M","0.75%"</t>
  </si>
  <si>
    <t>12/19/2024,"121,188","120,768","121,770","120,768","13.68M","0.34%"</t>
  </si>
  <si>
    <t>12/18/2024,"120,772","124,699","124,699","120,457","19.74M","-3.15%"</t>
  </si>
  <si>
    <t>12/17/2024,"124,698","123,560","125,301","123,560","17.56M","0.92%"</t>
  </si>
  <si>
    <t>12/16/2024,"123,560","124,610","124,956","123,495","11.07M","-0.84%"</t>
  </si>
  <si>
    <t>12/13/2024,"124,612","126,102","126,290","124,578","11.76M","-1.13%"</t>
  </si>
  <si>
    <t>12/12/2024,"126,042","129,587","129,587","125,829","13.45M","-2.74%"</t>
  </si>
  <si>
    <t>12/11/2024,"129,593","128,228","130,899","127,362","13.17M","1.06%"</t>
  </si>
  <si>
    <t>12/10/2024,"128,228","127,213","128,511","127,213","9.14M","0.80%"</t>
  </si>
  <si>
    <t>12/09/2024,"127,210","125,946","127,542","125,946","9.37M","1.00%"</t>
  </si>
  <si>
    <t>12/06/2024,"125,946","127,856","127,872","125,833","11.22M","-1.50%"</t>
  </si>
  <si>
    <t>12/05/2024,"127,858","126,088","127,989","126,087","9.53M","1.40%"</t>
  </si>
  <si>
    <t>12/04/2024,"126,087","126,139","126,720","125,828","9.39M","-0.04%"</t>
  </si>
  <si>
    <t>12/03/2024,"126,139","125,235","126,417","125,233","9.99M","0.72%"</t>
  </si>
  <si>
    <t>12/02/2024,"125,236","125,668","125,901","124,734","11.52M","-0.34%"</t>
  </si>
  <si>
    <t>11/29/2024,"125,668","124,611","126,056","123,946","16.40M","0.85%"</t>
  </si>
  <si>
    <t>11/28/2024,"124,610","127,667","127,668","124,390","12.83M","-2.40%"</t>
  </si>
  <si>
    <t>11/27/2024,"127,669","129,923","130,283","127,669","12.32M","-1.73%"</t>
  </si>
  <si>
    <t>11/26/2024,"129,922","129,043","130,361","129,042","9.75M","0.69%"</t>
  </si>
  <si>
    <t>11/25/2024,"129,036","129,125","129,495","128,932","14.41M","-0.07%"</t>
  </si>
  <si>
    <t>11/22/2024,"129,126","126,944","129,126","126,944","9.19M","1.74%"</t>
  </si>
  <si>
    <t>11/21/2024,"126,922","128,197","128,197","126,594","10.27M","-0.99%"</t>
  </si>
  <si>
    <t>11/19/2024,"128,197","127,768","128,579","127,235","9.10M","0.34%"</t>
  </si>
  <si>
    <t>11/18/2024,"127,768","127,791","128,277","127,226","10.74M","-0.02%"</t>
  </si>
  <si>
    <t>11/14/2024,"127,792","127,734","128,423","127,389","13.14M","0.05%"</t>
  </si>
  <si>
    <t>11/13/2024,"127,734","127,698","128,100","126,869","12.69M","0.03%"</t>
  </si>
  <si>
    <t>11/12/2024,"127,698","127,873","128,210","127,411","9.52M","-0.14%"</t>
  </si>
  <si>
    <t>11/11/2024,"127,874","127,829","128,095","127,306","8.40M","0.03%"</t>
  </si>
  <si>
    <t>11/08/2024,"127,830","129,647","129,647","126,973","13.18M","-1.43%"</t>
  </si>
  <si>
    <t>11/07/2024,"129,682","130,341","131,319","129,406","10.52M","-0.51%"</t>
  </si>
  <si>
    <t>11/06/2024,"130,341","130,613","130,670","128,822","10.54M","-0.24%"</t>
  </si>
  <si>
    <t>11/05/2024,"130,661","130,515","130,769","129,692","8.56M","0.11%"</t>
  </si>
  <si>
    <t>11/04/2024,"130,515","128,130","130,609","128,128","9.01M","1.87%"</t>
  </si>
  <si>
    <t>11/01/2024,"128,121","129,718","129,902","128,070","9.90M","-1.23%"</t>
  </si>
  <si>
    <t>10/31/2024,"129,713","130,639","130,798","129,642","9.07M","-0.71%"</t>
  </si>
  <si>
    <t>10/30/2024,"130,639","130,730","131,027","130,473","7.33M","-0.07%"</t>
  </si>
  <si>
    <t>10/29/2024,"130,730","131,214","131,765","130,693","7.64M","-0.37%"</t>
  </si>
  <si>
    <t>10/28/2024,"131,213","129,894","131,421","129,894","7.14M","1.02%"</t>
  </si>
  <si>
    <t>10/25/2024,"129,893","130,067","130,529","129,806","8.51M","-0.13%"</t>
  </si>
  <si>
    <t>10/24/2024,"130,067","129,233","130,130","128,798","8.31M","0.65%"</t>
  </si>
  <si>
    <t>10/23/2024,"129,233","129,949","129,949","128,589","7.96M","-0.55%"</t>
  </si>
  <si>
    <t>10/22/2024,"129,951","130,346","130,346","129,094","8.22M","-0.31%"</t>
  </si>
  <si>
    <t>10/21/2024,"130,362","130,499","131,124","130,157","7.77M","-0.11%"</t>
  </si>
  <si>
    <t>10/18/2024,"130,499","130,793","131,725","130,121","8.68M","-0.22%"</t>
  </si>
  <si>
    <t>10/17/2024,"130,793","131,716","131,716","129,902","7.09M","-0.73%"</t>
  </si>
  <si>
    <t>10/16/2024,"131,750","131,045","132,233","130,780","10.28M","0.54%"</t>
  </si>
  <si>
    <t>10/15/2024,"131,043","131,005","131,457","130,200","7.98M","0.03%"</t>
  </si>
  <si>
    <t>10/14/2024,"131,005","129,992","131,220","129,729","8.50M","0.78%"</t>
  </si>
  <si>
    <t>10/11/2024,"129,992","130,354","130,354","129,338","7.97M","-0.28%"</t>
  </si>
  <si>
    <t>10/10/2024,"130,353","129,963","130,418","129,835","7.62M","0.30%"</t>
  </si>
  <si>
    <t>10/09/2024,"129,962","131,510","131,520","129,719","9.22M","-1.18%"</t>
  </si>
  <si>
    <t>10/08/2024,"131,512","132,016","132,016","130,371","9.09M","-0.38%"</t>
  </si>
  <si>
    <t>10/07/2024,"132,018","131,792","132,943","131,676","7.70M","0.17%"</t>
  </si>
  <si>
    <t>10/04/2024,"131,792","131,672","131,936","131,156","7.05M","0.09%"</t>
  </si>
  <si>
    <t>10/03/2024,"131,672","133,514","133,514","131,176","9.82M","-1.38%"</t>
  </si>
  <si>
    <t>10/02/2024,"133,515","132,495","134,922","132,495","9.40M","0.77%"</t>
  </si>
  <si>
    <t>10/01/2024,"132,495","131,817","133,405","131,817","9.84M","0.51%"</t>
  </si>
  <si>
    <t>09/30/2024,"131,816","132,761","133,120","131,816","9.13M","-0.69%"</t>
  </si>
  <si>
    <t>09/27/2024,"132,730","133,010","133,923","132,628","9.34M","-0.21%"</t>
  </si>
  <si>
    <t>09/26/2024,"133,010","131,595","133,313","131,594","11.62M","1.08%"</t>
  </si>
  <si>
    <t>09/25/2024,"131,586","132,156","132,982","131,489","10.53M","-0.43%"</t>
  </si>
  <si>
    <t>09/24/2024,"132,156","130,570","133,073","130,570","9.37M","1.22%"</t>
  </si>
  <si>
    <t>09/23/2024,"130,568","131,065","131,065","130,100","9.14M","-0.38%"</t>
  </si>
  <si>
    <t>09/20/2024,"131,065","133,121","133,128","130,907","13.61M","-1.55%"</t>
  </si>
  <si>
    <t>09/19/2024,"133,123","133,748","134,759","133,123","9.25M","-0.47%"</t>
  </si>
  <si>
    <t>09/18/2024,"133,748","134,960","135,203","133,748","9.79M","-0.90%"</t>
  </si>
  <si>
    <t>09/17/2024,"134,960","135,118","135,118","134,180","7.31M","-0.12%"</t>
  </si>
  <si>
    <t>09/16/2024,"135,118","134,885","135,715","134,870","6.71M","0.18%"</t>
  </si>
  <si>
    <t>09/13/2024,"134,882","134,031","135,879","134,031","8.87M","0.64%"</t>
  </si>
  <si>
    <t>09/12/2024,"134,029","134,677","134,777","133,591","7.00M","-0.48%"</t>
  </si>
  <si>
    <t>09/11/2024,"134,677","134,319","135,087","133,757","7.95M","0.27%"</t>
  </si>
  <si>
    <t>09/10/2024,"134,320","134,738","134,738","133,754","8.25M","-0.31%"</t>
  </si>
  <si>
    <t>09/09/2024,"134,737","134,574","135,250","134,399","6.59M","0.12%"</t>
  </si>
  <si>
    <t>09/06/2024,"134,572","136,508","136,653","134,476","7.56M","-1.41%"</t>
  </si>
  <si>
    <t>09/05/2024,"136,502","136,112","136,656","135,959","7.53M","0.29%"</t>
  </si>
  <si>
    <t>09/04/2024,"136,111","134,359","136,838","134,359","9.42M","1.31%"</t>
  </si>
  <si>
    <t>09/03/2024,"134,353","134,907","135,011","134,171","8.80M","-0.41%"</t>
  </si>
  <si>
    <t>09/02/2024,"134,906","136,004","136,004","134,497","5.53M","-0.81%"</t>
  </si>
  <si>
    <t>08/30/2024,"136,004","136,041","136,139","134,910","18.40M","-0.03%"</t>
  </si>
  <si>
    <t>08/29/2024,"136,041","137,349","137,370","135,858","8.39M","-0.95%"</t>
  </si>
  <si>
    <t>08/28/2024,"137,344","136,776","137,469","135,746","7.46M","0.42%"</t>
  </si>
  <si>
    <t>08/27/2024,"136,776","136,888","137,213","136,664","6.75M","-0.08%"</t>
  </si>
  <si>
    <t>08/26/2024,"136,889","135,608","137,013","135,596","7.56M","0.94%"</t>
  </si>
  <si>
    <t>08/23/2024,"135,608","135,174","136,478","135,174","8.65M","0.32%"</t>
  </si>
  <si>
    <t>08/22/2024,"135,173","136,462","136,462","134,836","8.05M","-0.95%"</t>
  </si>
  <si>
    <t>08/21/2024,"136,464","136,088","137,040","136,086","9.57M","0.28%"</t>
  </si>
  <si>
    <t>08/20/2024,"136,087","135,779","136,330","135,312","8.11M","0.23%"</t>
  </si>
  <si>
    <t>08/19/2024,"135,778","133,953","136,179","133,953","11.28M","1.36%"</t>
  </si>
  <si>
    <t>08/16/2024,"133,953","134,154","134,781","133,852","10.87M","-0.15%"</t>
  </si>
  <si>
    <t>08/15/2024,"134,153","133,319","134,575","133,319","10.53M","0.63%"</t>
  </si>
  <si>
    <t>08/14/2024,"133,318","132,398","133,777","132,112","12.16M","0.69%"</t>
  </si>
  <si>
    <t>08/13/2024,"132,398","131,115","132,430","131,115","9.80M","0.98%"</t>
  </si>
  <si>
    <t>08/12/2024,"131,116","130,615","131,662","130,615","8.60M","0.38%"</t>
  </si>
  <si>
    <t>08/09/2024,"130,615","128,662","130,631","128,662","11.32M","1.52%"</t>
  </si>
  <si>
    <t>08/08/2024,"128,661","127,515","128,793","127,515","8.62M","0.90%"</t>
  </si>
  <si>
    <t>08/07/2024,"127,514","126,268","127,517","126,268","8.84M","0.99%"</t>
  </si>
  <si>
    <t>08/06/2024,"126,267","125,270","126,966","125,261","10.05M","0.80%"</t>
  </si>
  <si>
    <t>08/05/2024,"125,270","125,851","125,851","123,073","10.89M","-0.46%"</t>
  </si>
  <si>
    <t>08/02/2024,"125,854","127,395","128,104","125,731","9.95M","-1.21%"</t>
  </si>
  <si>
    <t>08/01/2024,"127,395","127,652","128,762","127,150","9.81M","-0.20%"</t>
  </si>
  <si>
    <t>07/31/2024,"127,652","126,139","127,853","126,139","9.47M","1.20%"</t>
  </si>
  <si>
    <t>07/30/2024,"126,139","126,951","126,951","125,973","6.85M","-0.64%"</t>
  </si>
  <si>
    <t>07/29/2024,"126,954","127,492","127,657","126,606","7.08M","-0.42%"</t>
  </si>
  <si>
    <t>07/26/2024,"127,492","125,964","127,700","125,953","8.27M","1.22%"</t>
  </si>
  <si>
    <t>07/25/2024,"125,954","126,423","126,423","125,626","7.13M","-0.37%"</t>
  </si>
  <si>
    <t>07/24/2024,"126,423","126,596","126,823","126,218","7.30M","-0.13%"</t>
  </si>
  <si>
    <t>07/23/2024,"126,590","127,860","127,860","126,530","7.02M","-0.99%"</t>
  </si>
  <si>
    <t>07/22/2024,"127,860","127,616","128,151","127,456","6.10M","0.19%"</t>
  </si>
  <si>
    <t>07/19/2024,"127,616","127,652","128,360","127,413","7.62M","-0.03%"</t>
  </si>
  <si>
    <t>07/18/2024,"127,652","129,450","129,454","127,523","7.59M","-1.39%"</t>
  </si>
  <si>
    <t>07/17/2024,"129,450","129,112","129,658","128,741","6.67M","0.26%"</t>
  </si>
  <si>
    <t>07/16/2024,"129,110","129,322","129,521","128,761","6.82M","-0.16%"</t>
  </si>
  <si>
    <t>07/15/2024,"129,321","128,898","129,485","128,723","5.83M","0.33%"</t>
  </si>
  <si>
    <t>07/12/2024,"128,897","128,293","129,015","128,002","7.21M","0.47%"</t>
  </si>
  <si>
    <t>07/11/2024,"128,294","127,221","128,326","127,221","7.97M","0.85%"</t>
  </si>
  <si>
    <t>07/10/2024,"127,218","127,109","127,769","126,928","8.15M","0.09%"</t>
  </si>
  <si>
    <t>07/09/2024,"127,108","126,548","127,295","125,937","6.68M","0.44%"</t>
  </si>
  <si>
    <t>07/08/2024,"126,548","126,280","126,551","125,614","7.43M","0.22%"</t>
  </si>
  <si>
    <t>07/05/2024,"126,267","126,165","126,662","125,556","8.09M","0.08%"</t>
  </si>
  <si>
    <t>07/04/2024,"126,164","125,666","126,660","125,666","6.54M","0.40%"</t>
  </si>
  <si>
    <t>07/03/2024,"125,662","124,787","126,581","124,787","8.53M","0.70%"</t>
  </si>
  <si>
    <t>07/02/2024,"124,787","124,720","125,491","124,310","8.37M","0.06%"</t>
  </si>
  <si>
    <t>07/01/2024,"124,718","123,905","125,220","123,735","8.23M","0.65%"</t>
  </si>
  <si>
    <t>06/28/2024,"123,907","124,308","124,500","123,298","9.07M","-0.32%"</t>
  </si>
  <si>
    <t>06/27/2024,"124,308","122,642","124,308","122,642","8.71M","1.36%"</t>
  </si>
  <si>
    <t>06/26/2024,"122,641","122,331","122,701","121,402","8.18M","0.25%"</t>
  </si>
  <si>
    <t>06/25/2024,"122,331","122,634","122,849","121,997","6.94M","-0.25%"</t>
  </si>
  <si>
    <t>06/24/2024,"122,637","121,343","122,840","121,307","7.84M","1.07%"</t>
  </si>
  <si>
    <t>06/21/2024,"121,341","120,446","121,580","120,061","12.91M","0.74%"</t>
  </si>
  <si>
    <t>06/20/2024,"120,446","120,267","121,607","120,156","8.66M","0.15%"</t>
  </si>
  <si>
    <t>06/19/2024,"120,261","119,630","120,383","118,960","5.65M","0.53%"</t>
  </si>
  <si>
    <t>06/18/2024,"119,630","119,138","120,109","118,872","8.10M","0.41%"</t>
  </si>
  <si>
    <t>06/17/2024,"119,138","119,663","119,663","118,685","7.38M","-0.44%"</t>
  </si>
  <si>
    <t>06/14/2024,"119,662","119,558","120,214","118,828","7.85M","0.08%"</t>
  </si>
  <si>
    <t>06/13/2024,"119,568","119,936","120,222","119,171","8.54M","-0.31%"</t>
  </si>
  <si>
    <t>06/12/2024,"119,936","121,644","122,483","119,544","11.28M","-1.40%"</t>
  </si>
  <si>
    <t>06/11/2024,"121,635","120,760","121,759","120,757","7.49M","0.73%"</t>
  </si>
  <si>
    <t>06/10/2024,"120,760","120,769","121,421","120,540","6.57M","-0.01%"</t>
  </si>
  <si>
    <t>06/07/2024,"120,767","122,899","122,899","120,679","9.80M","-1.73%"</t>
  </si>
  <si>
    <t>06/06/2024,"122,899","121,408","123,246","121,377","8.40M","1.23%"</t>
  </si>
  <si>
    <t>06/05/2024,"121,407","121,803","122,170","121,253","8.77M","-0.32%"</t>
  </si>
  <si>
    <t>06/04/2024,"121,802","122,032","122,032","120,878","8.53M","-0.19%"</t>
  </si>
  <si>
    <t>06/03/2024,"122,032","122,100","122,495","121,496","8.43M","-0.05%"</t>
  </si>
  <si>
    <t>05/31/2024,"122,098","122,704","122,837","121,929","15.92M","-0.50%"</t>
  </si>
  <si>
    <t>05/29/2024,"122,707","123,780","123,780","122,458","8.26M","-0.87%"</t>
  </si>
  <si>
    <t>05/28/2024,"123,780","124,498","125,392","123,537","9.18M","-0.58%"</t>
  </si>
  <si>
    <t>05/27/2024,"124,496","124,297","124,535","124,081","4.33M","0.15%"</t>
  </si>
  <si>
    <t>05/24/2024,"124,306","124,731","125,257","124,259","9.21M","-0.34%"</t>
  </si>
  <si>
    <t>05/23/2024,"124,729","125,650","125,665","124,431","9.99M","-0.73%"</t>
  </si>
  <si>
    <t>05/22/2024,"125,650","127,412","127,412","125,524","12.40M","-1.38%"</t>
  </si>
  <si>
    <t>05/21/2024,"127,412","127,754","128,272","127,205","9.14M","-0.27%"</t>
  </si>
  <si>
    <t>05/20/2024,"127,751","128,151","128,730","127,488","9.34M","-0.31%"</t>
  </si>
  <si>
    <t>05/17/2024,"128,151","128,280","128,464","127,696","10.26M","-0.10%"</t>
  </si>
  <si>
    <t>05/16/2024,"128,284","128,029","128,965","127,922","9.86M","0.20%"</t>
  </si>
  <si>
    <t>05/15/2024,"128,028","128,514","128,646","127,029","10.86M","-0.38%"</t>
  </si>
  <si>
    <t>05/14/2024,"128,515","128,155","128,965","127,962","11.89M","0.28%"</t>
  </si>
  <si>
    <t>05/13/2024,"128,155","127,600","128,669","127,599","8.92M","0.44%"</t>
  </si>
  <si>
    <t>05/10/2024,"127,600","128,188","129,022","127,467","12.57M","-0.46%"</t>
  </si>
  <si>
    <t>05/09/2024,"128,188","129,468","129,468","127,376","13.37M","-1.00%"</t>
  </si>
  <si>
    <t>05/08/2024,"129,481","129,210","129,564","128,048","9.79M","0.21%"</t>
  </si>
  <si>
    <t>05/07/2024,"129,210","128,466","129,745","128,464","10.18M","0.58%"</t>
  </si>
  <si>
    <t>05/06/2024,"128,466","128,506","129,181","128,294","8.78M","-0.03%"</t>
  </si>
  <si>
    <t>05/03/2024,"128,509","127,130","128,787","127,130","12.80M","1.09%"</t>
  </si>
  <si>
    <t>05/02/2024,"127,122","125,926","127,670","125,926","11.55M","0.95%"</t>
  </si>
  <si>
    <t>04/30/2024,"125,924","127,352","127,352","125,856","10.89M","-1.12%"</t>
  </si>
  <si>
    <t>04/29/2024,"127,352","126,527","127,352","126,467","8.39M","0.65%"</t>
  </si>
  <si>
    <t>04/26/2024,"126,526","124,651","126,826","124,651","8.90M","1.51%"</t>
  </si>
  <si>
    <t>04/25/2024,"124,646","124,718","124,732","123,703","10.09M","-0.08%"</t>
  </si>
  <si>
    <t>04/24/2024,"124,741","125,149","125,473","124,556","10.53M","-0.33%"</t>
  </si>
  <si>
    <t>04/23/2024,"125,148","125,572","125,826","124,310","11.26M","-0.34%"</t>
  </si>
  <si>
    <t>04/22/2024,"125,573","125,124","126,081","124,633","10.26M","0.36%"</t>
  </si>
  <si>
    <t>04/19/2024,"125,124","124,197","125,509","124,056","13.60M","0.75%"</t>
  </si>
  <si>
    <t>04/18/2024,"124,196","124,171","125,140","123,397","10.66M","0.02%"</t>
  </si>
  <si>
    <t>04/17/2024,"124,171","124,389","125,301","123,642","11.37M","-0.17%"</t>
  </si>
  <si>
    <t>04/16/2024,"124,389","125,316","125,316","123,756","14.01M","-0.75%"</t>
  </si>
  <si>
    <t>04/15/2024,"125,334","125,946","126,250","125,034","13.50M","-0.49%"</t>
  </si>
  <si>
    <t>04/12/2024,"125,946","127,396","127,640","125,635","10.25M","-1.14%"</t>
  </si>
  <si>
    <t>04/11/2024,"127,396","128,051","128,051","127,069","8.88M","-0.51%"</t>
  </si>
  <si>
    <t>04/10/2024,"128,054","129,872","129,872","127,732","10.45M","-1.41%"</t>
  </si>
  <si>
    <t>04/09/2024,"129,890","128,858","129,956","128,826","8.49M","0.80%"</t>
  </si>
  <si>
    <t>04/08/2024,"128,857","126,796","129,178","126,796","8.13M","1.63%"</t>
  </si>
  <si>
    <t>04/05/2024,"126,795","127,422","127,432","126,394","9.10M","-0.50%"</t>
  </si>
  <si>
    <t>04/04/2024,"127,428","127,313","129,627","127,178","13.24M","0.09%"</t>
  </si>
  <si>
    <t>04/03/2024,"127,318","127,546","127,694","126,181","11.03M","-0.18%"</t>
  </si>
  <si>
    <t>04/02/2024,"127,549","126,990","127,654","126,669","9.07M","0.44%"</t>
  </si>
  <si>
    <t>04/01/2024,"126,990","128,106","128,659","126,772","9.37M","-0.87%"</t>
  </si>
  <si>
    <t>03/28/2024,"128,106","127,689","128,364","127,270","9.94M","0.33%"</t>
  </si>
  <si>
    <t>03/27/2024,"127,691","126,863","127,756","126,223","9.92M","0.65%"</t>
  </si>
  <si>
    <t>03/26/2024,"126,863","126,931","127,193","126,591","9.44M","-0.05%"</t>
  </si>
  <si>
    <t>03/25/2024,"126,931","127,027","127,224","126,750","8.06M","-0.08%"</t>
  </si>
  <si>
    <t>03/22/2024,"127,027","128,159","128,159","126,879","9.37M","-0.88%"</t>
  </si>
  <si>
    <t>03/21/2024,"128,159","129,125","129,556","128,093","9.57M","-0.75%"</t>
  </si>
  <si>
    <t>03/20/2024,"129,125","127,534","129,210","127,349","10.82M","1.25%"</t>
  </si>
  <si>
    <t>03/19/2024,"127,529","126,955","128,000","126,955","11.18M","0.45%"</t>
  </si>
  <si>
    <t>03/18/2024,"126,954","126,758","127,540","126,272","10.51M","0.17%"</t>
  </si>
  <si>
    <t>03/15/2024,"126,742","127,682","127,957","126,502","14.99M","-0.74%"</t>
  </si>
  <si>
    <t>03/14/2024,"127,690","127,992","128,256","127,192","9.29M","-0.25%"</t>
  </si>
  <si>
    <t>03/13/2024,"128,006","127,668","128,530","127,439","8.84M","0.26%"</t>
  </si>
  <si>
    <t>03/12/2024,"127,668","126,124","128,039","126,121","9.48M","1.22%"</t>
  </si>
  <si>
    <t>03/11/2024,"126,124","127,068","127,068","126,065","8.90M","-0.75%"</t>
  </si>
  <si>
    <t>03/08/2024,"127,071","128,335","128,338","125,802","11.94M","-0.99%"</t>
  </si>
  <si>
    <t>03/07/2024,"128,340","128,890","129,188","128,033","7.35M","-0.43%"</t>
  </si>
  <si>
    <t>03/06/2024,"128,890","128,099","129,323","128,099","11.06M","0.62%"</t>
  </si>
  <si>
    <t>03/05/2024,"128,098","128,336","128,989","127,823","9.69M","-0.19%"</t>
  </si>
  <si>
    <t>03/04/2024,"128,341","129,176","129,307","128,278","7.97M","-0.65%"</t>
  </si>
  <si>
    <t>03/01/2024,"129,180","129,026","129,716","128,717","9.77M","0.12%"</t>
  </si>
  <si>
    <t>02/29/2024,"129,020","130,155","130,155","128,669","12.00M","-0.87%"</t>
  </si>
  <si>
    <t>02/28/2024,"130,155","131,685","131,685","129,771","9.05M","-1.16%"</t>
  </si>
  <si>
    <t>02/27/2024,"131,689","129,613","131,696","129,613","10.05M","1.61%"</t>
  </si>
  <si>
    <t>02/26/2024,"129,609","129,417","129,978","129,077","7.44M","0.15%"</t>
  </si>
  <si>
    <t>02/23/2024,"129,419","130,240","130,624","129,077","9.23M","-0.63%"</t>
  </si>
  <si>
    <t>02/22/2024,"130,241","130,035","130,829","129,971","10.77M","0.16%"</t>
  </si>
  <si>
    <t>02/21/2024,"130,032","129,916","130,034","129,359","12.59M","0.09%"</t>
  </si>
  <si>
    <t>02/20/2024,"129,916","129,033","129,916","128,326","12.24M","0.68%"</t>
  </si>
  <si>
    <t>02/19/2024,"129,036","128,720","129,036","128,097","5.80M","0.24%"</t>
  </si>
  <si>
    <t>02/16/2024,"128,726","127,809","129,069","127,653","10.12M","0.72%"</t>
  </si>
  <si>
    <t>02/15/2024,"127,804","127,018","127,824","126,932","10.98M","0.62%"</t>
  </si>
  <si>
    <t>02/14/2024,"127,018","128,026","128,026","126,663","7.75M","-0.79%"</t>
  </si>
  <si>
    <t>02/09/2024,"128,026","128,216","128,896","127,579","12.12M","-0.15%"</t>
  </si>
  <si>
    <t>02/08/2024,"128,217","129,950","130,126","127,912","13.63M","-1.33%"</t>
  </si>
  <si>
    <t>02/07/2024,"129,950","130,412","130,552","129,426","15.43M","-0.36%"</t>
  </si>
  <si>
    <t>02/06/2024,"130,416","127,593","130,417","127,593","13.78M","2.21%"</t>
  </si>
  <si>
    <t>02/05/2024,"127,593","127,182","127,834","126,443","9.64M","0.32%"</t>
  </si>
  <si>
    <t>02/02/2024,"127,182","128,471","128,878","126,628","10.98M","-1.01%"</t>
  </si>
  <si>
    <t>02/01/2024,"128,481","127,752","128,481","127,284","10.23M","0.57%"</t>
  </si>
  <si>
    <t>01/31/2024,"127,752","127,402","129,558","127,326","12.50M","0.28%"</t>
  </si>
  <si>
    <t>01/30/2024,"127,402","128,492","128,492","127,105","10.04M","-0.86%"</t>
  </si>
  <si>
    <t>01/29/2024,"128,503","128,970","129,068","127,853","8.76M","-0.36%"</t>
  </si>
  <si>
    <t>01/26/2024,"128,967","128,196","129,252","127,869","8.51M","0.62%"</t>
  </si>
  <si>
    <t>01/25/2024,"128,169","127,815","128,697","127,803","8.76M","0.28%"</t>
  </si>
  <si>
    <t>01/24/2024,"127,816","128,275","129,446","127,680","8.82M","-0.35%"</t>
  </si>
  <si>
    <t>01/23/2024,"128,263","126,612","128,331","126,612","9.37M","1.31%"</t>
  </si>
  <si>
    <t>01/22/2024,"126,602","127,636","127,843","125,876","9.51M","-0.81%"</t>
  </si>
  <si>
    <t>01/19/2024,"127,636","127,319","127,820","126,533","11.96M","0.25%"</t>
  </si>
  <si>
    <t>01/18/2024,"127,316","128,524","129,047","127,316","12.46M","-0.94%"</t>
  </si>
  <si>
    <t>01/17/2024,"128,524","129,293","129,296","128,312","9.95M","-0.60%"</t>
  </si>
  <si>
    <t>01/16/2024,"129,294","131,515","131,517","129,147","11.91M","-1.69%"</t>
  </si>
  <si>
    <t>01/15/2024,"131,521","130,988","131,606","130,253","5.75M","0.41%"</t>
  </si>
  <si>
    <t>01/12/2024,"130,988","130,652","131,927","130,410","10.66M","0.26%"</t>
  </si>
  <si>
    <t>01/11/2024,"130,649","130,841","131,308","129,898","9.76M","-0.15%"</t>
  </si>
  <si>
    <t>01/10/2024,"130,841","131,447","131,628","130,438","8.96M","-0.46%"</t>
  </si>
  <si>
    <t>01/09/2024,"131,447","132,424","132,426","131,203","9.29M","-0.74%"</t>
  </si>
  <si>
    <t>01/08/2024,"132,427","132,023","132,498","131,015","8.50M","0.31%"</t>
  </si>
  <si>
    <t>01/05/2024,"132,023","131,218","132,635","130,579","9.20M","0.61%"</t>
  </si>
  <si>
    <t>01/04/2024,"131,226","132,831","132,885","131,024","8.97M","-1.21%"</t>
  </si>
  <si>
    <t>01/03/2024,"132,834","132,697","133,576","132,250","8.70M","0.10%"</t>
  </si>
  <si>
    <t>01/02/2024,"132,697","134,186","134,195","132,095","8.44M","-1.11%"</t>
  </si>
  <si>
    <t>12/28/2023,"134,185","134,194","134,392","133,832","7.81M","-0.01%"</t>
  </si>
  <si>
    <t>12/27/2023,"134,194","133,523","134,195","133,328","6.17M","0.49%"</t>
  </si>
  <si>
    <t>12/26/2023,"133,533","132,753","133,645","132,753","5.15M","0.59%"</t>
  </si>
  <si>
    <t>12/22/2023,"132,753","132,182","133,035","132,094","8.23M","0.43%"</t>
  </si>
  <si>
    <t>12/21/2023,"132,182","130,826","132,277","130,822","8.68M","1.05%"</t>
  </si>
  <si>
    <t>12/20/2023,"130,804","131,851","132,341","130,710","10.34M","-0.79%"</t>
  </si>
  <si>
    <t>12/19/2023,"131,851","131,088","132,047","131,086","9.43M","0.59%"</t>
  </si>
  <si>
    <t>12/18/2023,"131,084","130,202","131,447","130,198","9.60M","0.68%"</t>
  </si>
  <si>
    <t>12/15/2023,"130,197","130,842","131,661","129,884","15.14M","-0.49%"</t>
  </si>
  <si>
    <t>12/14/2023,"130,842","129,469","131,260","129,469","15.82M","1.06%"</t>
  </si>
  <si>
    <t>12/13/2023,"129,465","126,406","129,793","126,299","15.07M","2.42%"</t>
  </si>
  <si>
    <t>12/12/2023,"126,403","126,923","127,359","126,013","10.27M","-0.40%"</t>
  </si>
  <si>
    <t>12/11/2023,"126,916","127,093","127,154","126,526","7.09M","-0.14%"</t>
  </si>
  <si>
    <t>12/08/2023,"127,094","126,010","127,289","125,562","10.75M","0.86%"</t>
  </si>
  <si>
    <t>12/07/2023,"126,010","125,623","126,581","125,566","10.51M","0.31%"</t>
  </si>
  <si>
    <t>12/06/2023,"125,623","126,907","127,538","125,614","10.84M","-1.01%"</t>
  </si>
  <si>
    <t>12/05/2023,"126,903","126,802","127,489","126,491","11.96M","0.08%"</t>
  </si>
  <si>
    <t>12/04/2023,"126,803","128,183","128,183","126,643","10.27M","-1.08%"</t>
  </si>
  <si>
    <t>12/01/2023,"128,185","127,331","128,185","126,656","13.70M","0.67%"</t>
  </si>
  <si>
    <t>11/30/2023,"127,331","126,168","127,399","126,168","19.24M","0.92%"</t>
  </si>
  <si>
    <t>11/29/2023,"126,166","126,541","127,388","126,018","12.42M","-0.29%"</t>
  </si>
  <si>
    <t>11/28/2023,"126,538","125,726","126,916","125,388","12.39M","0.64%"</t>
  </si>
  <si>
    <t>11/27/2023,"125,731","125,517","125,826","124,840","11.01M","0.17%"</t>
  </si>
  <si>
    <t>11/24/2023,"125,517","126,553","126,553","125,341","9.61M","-0.84%"</t>
  </si>
  <si>
    <t>11/23/2023,"126,576","126,035","126,760","125,764","7.82M","0.43%"</t>
  </si>
  <si>
    <t>11/22/2023,"126,035","125,626","126,875","125,439","14.06M","0.33%"</t>
  </si>
  <si>
    <t>11/21/2023,"125,626","125,957","125,957","125,060","10.79M","-0.26%"</t>
  </si>
  <si>
    <t>11/20/2023,"125,957","124,773","126,162","124,773","11.11M","0.95%"</t>
  </si>
  <si>
    <t>11/17/2023,"124,773","124,639","125,431","124,547","15.72M","0.11%"</t>
  </si>
  <si>
    <t>11/16/2023,"124,639","123,165","124,737","123,165","18.36M","1.20%"</t>
  </si>
  <si>
    <t>11/14/2023,"123,166","120,411","123,370","120,411","19.43M","2.29%"</t>
  </si>
  <si>
    <t>11/13/2023,"120,410","120,561","120,606","119,878","11.20M","-0.13%"</t>
  </si>
  <si>
    <t>11/10/2023,"120,568","119,036","120,823","119,036","11.75M","1.29%"</t>
  </si>
  <si>
    <t>11/09/2023,"119,034","119,180","120,257","118,446","15.57M","-0.12%"</t>
  </si>
  <si>
    <t>11/08/2023,"119,177","119,268","119,976","118,464","15.19M","-0.08%"</t>
  </si>
  <si>
    <t>11/07/2023,"119,268","118,422","119,577","118,026","16.39M","0.71%"</t>
  </si>
  <si>
    <t>11/06/2023,"118,431","118,160","118,758","118,045","10.17M","0.23%"</t>
  </si>
  <si>
    <t>11/03/2023,"118,160","115,062","118,502","115,062","15.71M","2.70%"</t>
  </si>
  <si>
    <t>11/01/2023,"115,053","113,157","115,433","113,157","13.90M","1.69%"</t>
  </si>
  <si>
    <t>10/31/2023,"113,144","112,534","113,597","112,098","10.56M","0.54%"</t>
  </si>
  <si>
    <t>10/30/2023,"112,532","113,303","114,204","112,309","9.74M","-0.68%"</t>
  </si>
  <si>
    <t>10/27/2023,"113,301","114,777","115,342","112,953","12.29M","-1.29%"</t>
  </si>
  <si>
    <t>10/26/2023,"114,777","112,840","114,886","112,840","12.77M","1.73%"</t>
  </si>
  <si>
    <t>10/25/2023,"112,830","113,762","114,319","112,680","12.31M","-0.82%"</t>
  </si>
  <si>
    <t>10/24/2023,"113,762","112,814","114,249","112,814","10.71M","0.87%"</t>
  </si>
  <si>
    <t>10/23/2023,"112,785","113,145","113,680","112,164","10.70M","-0.33%"</t>
  </si>
  <si>
    <t>10/20/2023,"113,155","113,996","114,090","112,533","11.74M","-0.74%"</t>
  </si>
  <si>
    <t>10/19/2023,"114,004","114,059","115,063","113,768","11.50M","-0.05%"</t>
  </si>
  <si>
    <t>10/18/2023,"114,060","115,907","115,907","113,952","15.49M","-1.60%"</t>
  </si>
  <si>
    <t>10/17/2023,"115,908","116,526","116,917","115,564","10.37M","-0.54%"</t>
  </si>
  <si>
    <t>10/16/2023,"116,534","115,760","116,905","115,760","8.99M","0.67%"</t>
  </si>
  <si>
    <t>10/13/2023,"115,754","117,050","117,070","115,658","10.61M","-1.11%"</t>
  </si>
  <si>
    <t>10/11/2023,"117,051","116,737","117,099","116,231","9.95M","0.27%"</t>
  </si>
  <si>
    <t>10/10/2023,"116,737","115,158","116,900","115,158","11.62M","1.37%"</t>
  </si>
  <si>
    <t>10/09/2023,"115,156","114,169","115,219","113,448","9.47M","0.86%"</t>
  </si>
  <si>
    <t>10/06/2023,"114,170","113,283","114,491","111,599","13.14M","0.78%"</t>
  </si>
  <si>
    <t>10/05/2023,"113,284","113,609","114,359","112,705","9.51M","-0.28%"</t>
  </si>
  <si>
    <t>10/04/2023,"113,607","113,430","114,075","113,036","10.81M","0.17%"</t>
  </si>
  <si>
    <t>10/03/2023,"113,419","115,055","115,056","113,151","11.10M","-1.42%"</t>
  </si>
  <si>
    <t>10/02/2023,"115,057","116,565","116,672","114,761","8.52M","-1.29%"</t>
  </si>
  <si>
    <t>09/29/2023,"116,565","115,742","116,899","115,742","11.14M","0.72%"</t>
  </si>
  <si>
    <t>09/28/2023,"115,731","114,327","115,954","114,180","10.39M","1.23%"</t>
  </si>
  <si>
    <t>09/27/2023,"114,327","114,193","115,340","113,366","13.36M","0.12%"</t>
  </si>
  <si>
    <t>09/26/2023,"114,193","115,922","115,922","114,162","11.24M","-1.49%"</t>
  </si>
  <si>
    <t>09/25/2023,"115,925","116,009","116,031","115,573","9.58M","-0.07%"</t>
  </si>
  <si>
    <t>09/22/2023,"116,009","116,147","116,968","115,855","9.44M","-0.12%"</t>
  </si>
  <si>
    <t>09/21/2023,"116,145","118,695","118,695","116,013","12.69M","-2.15%"</t>
  </si>
  <si>
    <t>09/20/2023,"118,695","117,864","119,616","117,847","9.24M","0.72%"</t>
  </si>
  <si>
    <t>09/19/2023,"117,846","118,288","118,458","117,628","11.45M","-0.37%"</t>
  </si>
  <si>
    <t>09/18/2023,"118,288","118,759","119,486","118,123","11.27M","-0.40%"</t>
  </si>
  <si>
    <t>09/15/2023,"118,758","119,393","119,780","118,666","16.11M","-0.53%"</t>
  </si>
  <si>
    <t>09/14/2023,"119,392","118,181","119,748","118,181","13.28M","1.03%"</t>
  </si>
  <si>
    <t>09/13/2023,"118,176","117,968","119,318","117,722","12.08M","0.18%"</t>
  </si>
  <si>
    <t>09/12/2023,"117,968","116,885","118,154","116,885","9.19M","0.93%"</t>
  </si>
  <si>
    <t>09/11/2023,"116,883","115,316","117,131","115,316","8.79M","1.36%"</t>
  </si>
  <si>
    <t>09/08/2023,"115,313","115,979","115,979","114,839","8.36M","-0.58%"</t>
  </si>
  <si>
    <t>09/06/2023,"115,985","117,331","117,971","115,984","9.92M","-1.15%"</t>
  </si>
  <si>
    <t>09/05/2023,"117,331","117,776","117,957","116,637","10.87M","-0.38%"</t>
  </si>
  <si>
    <t>09/04/2023,"117,777","117,893","118,576","117,590","5.53M","-0.10%"</t>
  </si>
  <si>
    <t>09/01/2023,"117,893","115,744","117,991","115,744","11.89M","1.86%"</t>
  </si>
  <si>
    <t>08/31/2023,"115,742","117,537","117,637","115,742","12.95M","-1.53%"</t>
  </si>
  <si>
    <t>08/30/2023,"117,535","118,404","118,841","117,471","8.92M","-0.73%"</t>
  </si>
  <si>
    <t>08/29/2023,"118,404","117,124","118,493","117,124","9.63M","1.10%"</t>
  </si>
  <si>
    <t>08/28/2023,"117,121","115,838","117,253","115,836","9.60M","1.11%"</t>
  </si>
  <si>
    <t>08/25/2023,"115,837","117,025","117,252","115,397","9.21M","-1.02%"</t>
  </si>
  <si>
    <t>08/24/2023,"117,026","118,135","118,136","116,848","9.20M","-0.94%"</t>
  </si>
  <si>
    <t>08/23/2023,"118,135","116,160","118,135","116,159","11.54M","1.70%"</t>
  </si>
  <si>
    <t>08/22/2023,"116,156","114,433","116,286","114,433","9.83M","1.51%"</t>
  </si>
  <si>
    <t>08/21/2023,"114,429","115,404","115,425","114,067","9.79M","-0.85%"</t>
  </si>
  <si>
    <t>08/18/2023,"115,409","114,973","115,729","114,423","10.60M","0.37%"</t>
  </si>
  <si>
    <t>08/17/2023,"114,982","115,592","116,610","114,859","12.75M","-0.53%"</t>
  </si>
  <si>
    <t>08/16/2023,"115,592","116,171","117,338","115,534","18.86M","-0.50%"</t>
  </si>
  <si>
    <t>08/15/2023,"116,171","116,809","117,697","116,033","14.64M","-0.55%"</t>
  </si>
  <si>
    <t>08/14/2023,"116,810","118,067","118,082","116,530","11.20M","-1.06%"</t>
  </si>
  <si>
    <t>08/11/2023,"118,065","118,350","119,054","117,415","11.87M","-0.24%"</t>
  </si>
  <si>
    <t>08/10/2023,"118,350","118,412","119,438","118,113","12.69M","-0.05%"</t>
  </si>
  <si>
    <t>08/09/2023,"118,409","119,090","119,090","117,901","11.25M","-0.57%"</t>
  </si>
  <si>
    <t>08/08/2023,"119,090","119,378","119,553","117,492","10.25M","-0.24%"</t>
  </si>
  <si>
    <t>08/07/2023,"119,380","119,509","120,104","118,894","8.73M","-0.11%"</t>
  </si>
  <si>
    <t>08/04/2023,"119,508","120,586","121,442","119,215","15.07M","-0.89%"</t>
  </si>
  <si>
    <t>08/03/2023,"120,586","120,859","122,619","120,365","13.03M","-0.23%"</t>
  </si>
  <si>
    <t>08/02/2023,"120,859","121,249","121,252","119,798","10.57M","-0.32%"</t>
  </si>
  <si>
    <t>08/01/2023,"121,248","121,945","121,945","120,154","10.30M","-0.57%"</t>
  </si>
  <si>
    <t>07/31/2023,"121,943","120,188","122,149","120,188","10.12M","1.46%"</t>
  </si>
  <si>
    <t>07/28/2023,"120,187","120,002","120,660","119,706","8.46M","0.16%"</t>
  </si>
  <si>
    <t>07/27/2023,"119,990","122,560","122,599","119,825","10.68M","-2.10%"</t>
  </si>
  <si>
    <t>07/26/2023,"122,560","122,003","122,747","121,370","9.99M","0.45%"</t>
  </si>
  <si>
    <t>07/25/2023,"122,008","121,344","123,010","121,344","11.43M","0.55%"</t>
  </si>
  <si>
    <t>07/24/2023,"121,342","120,220","121,772","120,099","10.49M","0.94%"</t>
  </si>
  <si>
    <t>07/21/2023,"120,217","118,090","120,373","118,086","11.18M","1.81%"</t>
  </si>
  <si>
    <t>07/20/2023,"118,083","117,558","118,290","117,484","8.99M","0.45%"</t>
  </si>
  <si>
    <t>07/19/2023,"117,552","117,842","118,011","116,660","9.73M","-0.25%"</t>
  </si>
  <si>
    <t>07/18/2023,"117,841","118,218","118,732","117,324","8.58M","-0.32%"</t>
  </si>
  <si>
    <t>07/17/2023,"118,219","117,711","118,302","116,591","8.20M","0.43%"</t>
  </si>
  <si>
    <t>07/14/2023,"117,711","119,268","119,329","117,526","8.98M","-1.30%"</t>
  </si>
  <si>
    <t>07/13/2023,"119,264","117,671","119,739","117,668","9.26M","1.36%"</t>
  </si>
  <si>
    <t>07/12/2023,"117,666","117,557","119,156","117,557","8.94M","0.09%"</t>
  </si>
  <si>
    <t>07/11/2023,"117,556","117,942","117,942","115,704","10.59M","-0.33%"</t>
  </si>
  <si>
    <t>07/10/2023,"117,942","118,897","118,897","117,814","8.10M","-0.80%"</t>
  </si>
  <si>
    <t>07/07/2023,"118,898","117,427","119,549","117,427","10.52M","1.25%"</t>
  </si>
  <si>
    <t>07/06/2023,"117,426","119,548","119,548","117,096","11.03M","-1.78%"</t>
  </si>
  <si>
    <t>07/05/2023,"119,549","119,072","120,200","118,688","10.96M","0.40%"</t>
  </si>
  <si>
    <t>07/04/2023,"119,076","119,673","119,678","118,830","6.56M","-0.50%"</t>
  </si>
  <si>
    <t>07/03/2023,"119,673","118,092","119,877","118,092","8.91M","1.34%"</t>
  </si>
  <si>
    <t>06/30/2023,"118,087","118,388","119,447","118,087","13.82M","-0.25%"</t>
  </si>
  <si>
    <t>06/29/2023,"118,383","116,683","118,623","116,683","11.06M","1.46%"</t>
  </si>
  <si>
    <t>06/28/2023,"116,681","117,524","117,937","116,560","10.65M","-0.72%"</t>
  </si>
  <si>
    <t>06/27/2023,"117,523","118,246","119,212","116,561","13.08M","-0.61%"</t>
  </si>
  <si>
    <t>06/26/2023,"118,243","118,977","119,148","117,491","10.46M","-0.62%"</t>
  </si>
  <si>
    <t>06/23/2023,"118,977","118,959","119,386","118,178","12.85M","0.04%"</t>
  </si>
  <si>
    <t>06/22/2023,"118,934","120,420","120,420","118,018","11.83M","-1.23%"</t>
  </si>
  <si>
    <t>06/21/2023,"120,420","119,623","120,519","119,332","11.74M","0.67%"</t>
  </si>
  <si>
    <t>06/20/2023,"119,622","119,858","119,858","118,416","10.92M","-0.20%"</t>
  </si>
  <si>
    <t>06/19/2023,"119,858","118,757","119,939","118,558","6.78M","0.93%"</t>
  </si>
  <si>
    <t>06/16/2023,"118,758","119,208","119,555","118,487","15.25M","-0.39%"</t>
  </si>
  <si>
    <t>06/15/2023,"119,221","119,068","119,686","118,693","12.30M","0.13%"</t>
  </si>
  <si>
    <t>06/14/2023,"119,069","116,753","119,085","116,745","16.94M","1.99%"</t>
  </si>
  <si>
    <t>06/13/2023,"116,743","117,337","117,924","116,363","12.39M","-0.51%"</t>
  </si>
  <si>
    <t>06/12/2023,"117,336","117,022","117,735","116,704","12.02M","0.27%"</t>
  </si>
  <si>
    <t>06/09/2023,"117,019","115,489","117,603","115,489","13.53M","1.33%"</t>
  </si>
  <si>
    <t>06/07/2023,"115,488","114,610","115,978","114,610","14.02M","0.77%"</t>
  </si>
  <si>
    <t>06/06/2023,"114,610","112,697","114,783","112,696","15.03M","1.70%"</t>
  </si>
  <si>
    <t>06/05/2023,"112,696","112,558","113,071","111,736","9.08M","0.12%"</t>
  </si>
  <si>
    <t>06/02/2023,"112,558","110,568","113,070","110,567","14.55M","1.80%"</t>
  </si>
  <si>
    <t>06/01/2023,"110,565","108,339","110,745","108,335","14.67M","2.06%"</t>
  </si>
  <si>
    <t>05/31/2023,"108,335","108,967","109,137","108,193","15.86M","-0.58%"</t>
  </si>
  <si>
    <t>05/30/2023,"108,967","110,333","111,291","108,552","11.59M","-1.24%"</t>
  </si>
  <si>
    <t>05/29/2023,"110,333","110,906","111,168","110,195","5.91M","-0.52%"</t>
  </si>
  <si>
    <t>05/26/2023,"110,906","110,058","111,706","109,900","11.02M","0.77%"</t>
  </si>
  <si>
    <t>05/25/2023,"110,054","108,800","111,115","108,800","14.75M","1.15%"</t>
  </si>
  <si>
    <t>05/24/2023,"108,800","109,920","109,920","108,546","12.98M","-1.03%"</t>
  </si>
  <si>
    <t>05/23/2023,"109,929","110,213","111,325","109,713","12.33M","-0.26%"</t>
  </si>
  <si>
    <t>05/22/2023,"110,213","110,745","111,643","110,178","11.77M","-0.48%"</t>
  </si>
  <si>
    <t>05/19/2023,"110,745","110,113","111,211","109,787","16.14M","0.58%"</t>
  </si>
  <si>
    <t>05/18/2023,"110,108","109,459","110,206","108,864","13.61M","0.59%"</t>
  </si>
  <si>
    <t>05/17/2023,"109,460","108,194","109,774","108,188","13.99M","1.17%"</t>
  </si>
  <si>
    <t>05/16/2023,"108,194","109,029","110,151","108,085","16.90M","-0.77%"</t>
  </si>
  <si>
    <t>05/15/2023,"109,029","108,469","109,271","108,356","11.60M","0.52%"</t>
  </si>
  <si>
    <t>05/12/2023,"108,464","108,256","108,817","107,497","11.92M","0.19%"</t>
  </si>
  <si>
    <t>05/11/2023,"108,256","107,446","108,667","106,419","12.77M","0.75%"</t>
  </si>
  <si>
    <t>05/10/2023,"107,448","107,114","107,744","106,538","13.58M","0.31%"</t>
  </si>
  <si>
    <t>05/09/2023,"107,114","106,028","107,731","105,549","13.53M","1.01%"</t>
  </si>
  <si>
    <t>05/08/2023,"106,042","105,161","106,716","105,161","13.26M","0.85%"</t>
  </si>
  <si>
    <t>05/05/2023,"105,148","102,175","105,306","102,175","16.70M","2.91%"</t>
  </si>
  <si>
    <t>05/04/2023,"102,174","101,798","103,321","101,063","14.84M","0.37%"</t>
  </si>
  <si>
    <t>05/03/2023,"101,797","101,927","102,331","101,433","11.69M","-0.13%"</t>
  </si>
  <si>
    <t>05/02/2023,"101,927","104,431","104,447","101,569","12.02M","-2.40%"</t>
  </si>
  <si>
    <t>04/28/2023,"104,432","102,923","104,432","102,449","13.09M","1.47%"</t>
  </si>
  <si>
    <t>04/27/2023,"102,923","102,310","103,177","101,975","11.30M","0.60%"</t>
  </si>
  <si>
    <t>04/26/2023,"102,312","103,220","103,668","102,233","10.12M","-0.88%"</t>
  </si>
  <si>
    <t>04/25/2023,"103,220","103,947","103,947","102,633","10.87M","-0.70%"</t>
  </si>
  <si>
    <t>04/24/2023,"103,947","104,367","104,822","103,247","10.94M","-0.40%"</t>
  </si>
  <si>
    <t>04/20/2023,"104,367","103,913","104,615","103,087","12.38M","0.44%"</t>
  </si>
  <si>
    <t>04/19/2023,"103,913","106,149","106,149","103,604","12.71M","-2.12%"</t>
  </si>
  <si>
    <t>04/18/2023,"106,163","106,023","106,475","105,122","11.21M","0.14%"</t>
  </si>
  <si>
    <t>04/17/2023,"106,016","106,279","106,830","105,623","10.25M","-0.25%"</t>
  </si>
  <si>
    <t>04/14/2023,"106,279","106,458","106,701","104,934","11.50M","-0.17%"</t>
  </si>
  <si>
    <t>04/13/2023,"106,458","106,890","107,037","106,220","12.18M","-0.40%"</t>
  </si>
  <si>
    <t>04/12/2023,"106,890","106,218","108,277","106,217","17.35M","0.64%"</t>
  </si>
  <si>
    <t>04/11/2023,"106,214","101,849","106,455","101,848","18.73M","4.29%"</t>
  </si>
  <si>
    <t>04/10/2023,"101,847","100,822","102,196","100,819","8.15M","1.02%"</t>
  </si>
  <si>
    <t>04/06/2023,"100,822","100,978","101,628","100,443","9.82M","-0.15%"</t>
  </si>
  <si>
    <t>04/05/2023,"100,978","101,869","101,960","99,898","13.26M","-0.88%"</t>
  </si>
  <si>
    <t>04/04/2023,"101,869","101,505","103,056","101,505","11.70M","0.36%"</t>
  </si>
  <si>
    <t>04/03/2023,"101,506","101,883","101,916","100,651","12.79M","-0.37%"</t>
  </si>
  <si>
    <t>03/31/2023,"101,882","103,714","104,041","101,476","15.12M","-1.77%"</t>
  </si>
  <si>
    <t>03/30/2023,"103,713","101,796","104,085","101,796","14.90M","1.89%"</t>
  </si>
  <si>
    <t>03/29/2023,"101,793","101,185","102,213","100,248","12.46M","0.60%"</t>
  </si>
  <si>
    <t>03/28/2023,"101,185","99,672","101,559","99,488","13.50M","1.52%"</t>
  </si>
  <si>
    <t>03/27/2023,"99,670","98,833","99,997","98,833","9.99M","0.85%"</t>
  </si>
  <si>
    <t>03/24/2023,"98,829","97,926","99,258","97,688","12.41M","0.92%"</t>
  </si>
  <si>
    <t>03/23/2023,"97,926","100,221","101,126","96,997","15.66M","-2.29%"</t>
  </si>
  <si>
    <t>03/22/2023,"100,221","100,998","101,888","100,129","11.50M","-0.77%"</t>
  </si>
  <si>
    <t>03/21/2023,"100,998","100,923","101,670","100,923","9.67M","0.07%"</t>
  </si>
  <si>
    <t>03/20/2023,"100,923","101,982","102,328","100,679","10.90M","-1.04%"</t>
  </si>
  <si>
    <t>03/17/2023,"101,982","103,434","103,434","101,664","17.56M","-1.40%"</t>
  </si>
  <si>
    <t>03/16/2023,"103,435","102,683","103,911","102,455","14.39M","0.74%"</t>
  </si>
  <si>
    <t>03/15/2023,"102,675","102,930","103,048","100,692","15.25M","-0.25%"</t>
  </si>
  <si>
    <t>03/14/2023,"102,932","103,121","104,153","102,482","13.13M","-0.18%"</t>
  </si>
  <si>
    <t>03/13/2023,"103,121","103,608","103,907","102,255","12.99M","-0.48%"</t>
  </si>
  <si>
    <t>03/10/2023,"103,618","105,071","105,071","103,201","17.95M","-1.38%"</t>
  </si>
  <si>
    <t>03/09/2023,"105,071","106,540","106,724","105,053","19.17M","-1.38%"</t>
  </si>
  <si>
    <t>03/08/2023,"106,540","104,228","106,721","104,228","15.90M","2.22%"</t>
  </si>
  <si>
    <t>03/07/2023,"104,228","104,700","105,179","103,480","12.58M","-0.45%"</t>
  </si>
  <si>
    <t>03/06/2023,"104,700","103,865","105,171","103,170","14.28M","0.80%"</t>
  </si>
  <si>
    <t>03/03/2023,"103,866","103,326","104,440","103,323","13.10M","0.52%"</t>
  </si>
  <si>
    <t>03/02/2023,"103,326","104,375","104,912","103,321","14.74M","-1.01%"</t>
  </si>
  <si>
    <t>03/01/2023,"104,385","104,933","105,497","103,105","19.85M","-0.52%"</t>
  </si>
  <si>
    <t>02/28/2023,"104,932","105,706","106,794","104,932","15.67M","-0.74%"</t>
  </si>
  <si>
    <t>02/27/2023,"105,711","105,807","106,402","105,227","9.57M","-0.08%"</t>
  </si>
  <si>
    <t>02/24/2023,"105,798","107,582","107,611","105,360","10.22M","-1.67%"</t>
  </si>
  <si>
    <t>02/23/2023,"107,593","107,152","108,663","106,731","11.46M","0.41%"</t>
  </si>
  <si>
    <t>02/22/2023,"107,152","109,174","109,174","106,720","9.36M","-1.85%"</t>
  </si>
  <si>
    <t>02/17/2023,"109,177","109,941","109,941","108,968","10.06M","-0.70%"</t>
  </si>
  <si>
    <t>02/16/2023,"109,941","109,599","110,437","108,378","13.00M","0.31%"</t>
  </si>
  <si>
    <t>02/15/2023,"109,600","107,849","110,210","107,267","15.50M","1.62%"</t>
  </si>
  <si>
    <t>02/14/2023,"107,849","108,839","109,564","107,557","11.89M","-0.91%"</t>
  </si>
  <si>
    <t>02/13/2023,"108,836","108,074","109,193","107,420","9.97M","0.70%"</t>
  </si>
  <si>
    <t>02/10/2023,"108,078","108,002","108,647","107,620","14.46M","0.07%"</t>
  </si>
  <si>
    <t>02/09/2023,"108,008","109,952","110,046","107,767","12.96M","-1.77%"</t>
  </si>
  <si>
    <t>02/08/2023,"109,951","107,832","110,175","107,830","13.84M","1.97%"</t>
  </si>
  <si>
    <t>02/07/2023,"107,830","108,727","109,037","107,234","12.96M","-0.82%"</t>
  </si>
  <si>
    <t>02/06/2023,"108,722","108,518","108,744","107,416","11.51M","0.18%"</t>
  </si>
  <si>
    <t>02/03/2023,"108,523","110,141","110,570","108,185","13.24M","-1.47%"</t>
  </si>
  <si>
    <t>02/02/2023,"110,141","112,072","112,943","109,747","15.24M","-1.72%"</t>
  </si>
  <si>
    <t>02/01/2023,"112,074","113,430","113,598","110,729","17.82M","-1.20%"</t>
  </si>
  <si>
    <t>01/31/2023,"113,431","112,273","113,691","112,145","12.90M","1.03%"</t>
  </si>
  <si>
    <t>01/30/2023,"112,273","112,319","112,920","111,824","11.27M","-0.04%"</t>
  </si>
  <si>
    <t>01/27/2023,"112,316","114,178","114,191","112,044","10.61M","-1.63%"</t>
  </si>
  <si>
    <t>01/26/2023,"114,178","114,271","114,835","113,591","10.92M","-0.08%"</t>
  </si>
  <si>
    <t>01/25/2023,"114,270","113,028","114,426","111,927","11.41M","1.10%"</t>
  </si>
  <si>
    <t>01/24/2023,"113,028","111,746","113,040","111,669","11.55M","1.16%"</t>
  </si>
  <si>
    <t>01/23/2023,"111,737","112,041","113,061","111,542","13.70M","-0.27%"</t>
  </si>
  <si>
    <t>01/20/2023,"112,041","112,922","113,025","111,735","15.44M","-0.78%"</t>
  </si>
  <si>
    <t>01/19/2023,"112,922","112,219","113,172","111,307","15.59M","0.62%"</t>
  </si>
  <si>
    <t>01/18/2023,"112,228","111,442","113,306","111,441","14.13M","0.71%"</t>
  </si>
  <si>
    <t>01/17/2023,"111,439","109,214","111,577","109,214","14.36M","2.04%"</t>
  </si>
  <si>
    <t>01/16/2023,"109,213","110,908","110,908","108,753","12.51M","-1.54%"</t>
  </si>
  <si>
    <t>01/13/2023,"110,916","111,843","111,847","110,428","15.94M","-0.84%"</t>
  </si>
  <si>
    <t>01/12/2023,"111,850","112,516","113,129","110,982","19.84M","-0.59%"</t>
  </si>
  <si>
    <t>01/11/2023,"112,517","110,816","112,552","110,752","14.46M","1.53%"</t>
  </si>
  <si>
    <t>01/10/2023,"110,817","109,129","111,193","108,478","13.70M","1.55%"</t>
  </si>
  <si>
    <t>01/09/2023,"109,130","108,964","109,938","108,134","12.05M","0.15%"</t>
  </si>
  <si>
    <t>01/06/2023,"108,964","107,642","109,433","107,642","12.63M","1.23%"</t>
  </si>
  <si>
    <t>01/05/2023,"107,641","105,336","107,743","105,333","15.51M","2.19%"</t>
  </si>
  <si>
    <t>01/04/2023,"105,334","104,167","105,627","103,915","14.45M","1.12%"</t>
  </si>
  <si>
    <t>01/03/2023,"104,166","106,377","106,684","103,852","14.47M","-2.08%"</t>
  </si>
  <si>
    <t>01/02/2023,"106,376","109,734","109,734","105,981","8.13M","-3.06%"</t>
  </si>
  <si>
    <t>12/29/2022,"109,735","110,237","111,178","109,560","13.39M","-0.46%"</t>
  </si>
  <si>
    <t>12/28/2022,"110,237","108,578","110,536","108,578","11.19M","1.53%"</t>
  </si>
  <si>
    <t>12/27/2022,"108,578","108,739","109,353","107,418","11.16M","-0.15%"</t>
  </si>
  <si>
    <t>12/26/2022,"108,738","109,699","109,755","108,309","5.22M","-0.87%"</t>
  </si>
  <si>
    <t>12/23/2022,"109,698","107,552","109,994","107,552","12.85M","2.00%"</t>
  </si>
  <si>
    <t>12/22/2022,"107,552","107,436","108,383","106,510","11.49M","0.11%"</t>
  </si>
  <si>
    <t>12/21/2022,"107,433","106,866","107,991","106,066","17.63M","0.53%"</t>
  </si>
  <si>
    <t>12/20/2022,"106,864","104,740","107,792","104,607","19.13M","2.03%"</t>
  </si>
  <si>
    <t>12/19/2022,"104,740","102,859","105,107","102,770","16.77M","1.83%"</t>
  </si>
  <si>
    <t>12/16/2022,"102,856","103,737","104,018","102,248","18.26M","-0.85%"</t>
  </si>
  <si>
    <t>12/15/2022,"103,738","103,739","105,483","103,014","15.57M","-0.01%"</t>
  </si>
  <si>
    <t>12/14/2022,"103,746","103,536","104,516","101,632","24.92M","0.20%"</t>
  </si>
  <si>
    <t>12/13/2022,"103,540","105,345","106,689","103,409","17.70M","-1.71%"</t>
  </si>
  <si>
    <t>12/12/2022,"105,343","107,518","107,561","103,877","15.48M","-2.02%"</t>
  </si>
  <si>
    <t>12/09/2022,"107,520","107,250","108,566","107,089","10.68M","0.25%"</t>
  </si>
  <si>
    <t>12/08/2022,"107,249","109,068","109,286","106,906","14.92M","-1.67%"</t>
  </si>
  <si>
    <t>12/07/2022,"109,069","110,188","110,247","108,612","13.83M","-1.02%"</t>
  </si>
  <si>
    <t>12/06/2022,"110,189","109,403","110,663","109,217","13.44M","0.72%"</t>
  </si>
  <si>
    <t>12/05/2022,"109,401","111,922","112,150","109,270","12.31M","-2.25%"</t>
  </si>
  <si>
    <t>12/02/2022,"111,924","110,926","113,761","109,963","15.98M","0.90%"</t>
  </si>
  <si>
    <t>12/01/2022,"110,926","112,479","112,479","110,548","15.19M","-1.39%"</t>
  </si>
  <si>
    <t>11/30/2022,"112,486","110,910","112,486","110,202","19.70M","1.42%"</t>
  </si>
  <si>
    <t>11/29/2022,"110,910","108,784","112,187","108,784","14.72M","1.96%"</t>
  </si>
  <si>
    <t>11/28/2022,"108,782","108,977","109,476","108,378","11.49M","-0.18%"</t>
  </si>
  <si>
    <t>11/25/2022,"108,977","111,831","112,025","108,552","12.31M","-2.55%"</t>
  </si>
  <si>
    <t>11/24/2022,"111,831","108,846","112,612","108,846","10.30M","2.75%"</t>
  </si>
  <si>
    <t>11/23/2022,"108,841","109,036","109,285","107,902","13.20M","-0.18%"</t>
  </si>
  <si>
    <t>11/22/2022,"109,037","109,750","110,224","107,867","15.06M","-0.65%"</t>
  </si>
  <si>
    <t>11/21/2022,"109,748","108,868","110,235","107,957","16.65M","0.81%"</t>
  </si>
  <si>
    <t>11/18/2022,"108,870","109,706","111,585","108,512","18.77M","-0.76%"</t>
  </si>
  <si>
    <t>11/17/2022,"109,703","110,241","110,242","107,245","23.12M","-0.49%"</t>
  </si>
  <si>
    <t>11/16/2022,"110,243","113,166","113,473","109,512","18.35M","-2.58%"</t>
  </si>
  <si>
    <t>11/14/2022,"113,161","112,256","114,322","111,930","15.08M","0.81%"</t>
  </si>
  <si>
    <t>11/11/2022,"112,253","109,775","113,010","109,408","25.04M","2.26%"</t>
  </si>
  <si>
    <t>11/10/2022,"109,775","113,579","113,579","108,516","26.03M","-3.35%"</t>
  </si>
  <si>
    <t>11/09/2022,"113,580","116,153","116,183","113,110","20.53M","-2.22%"</t>
  </si>
  <si>
    <t>11/08/2022,"116,160","115,340","117,072","114,688","14.24M","0.71%"</t>
  </si>
  <si>
    <t>11/07/2022,"115,342","118,148","118,240","115,221","15.22M","-2.38%"</t>
  </si>
  <si>
    <t>11/04/2022,"118,155","116,907","120,039","116,904","16.21M","1.08%"</t>
  </si>
  <si>
    <t>11/03/2022,"116,896","116,927","117,373","114,485","15.63M","-0.03%"</t>
  </si>
  <si>
    <t>11/01/2022,"116,929","116,037","118,261","115,547","17.97M","0.77%"</t>
  </si>
  <si>
    <t>10/31/2022,"116,037","114,533","116,763","112,113","21.64M","1.31%"</t>
  </si>
  <si>
    <t>10/28/2022,"114,539","114,636","114,712","113,336","14.39M","-0.09%"</t>
  </si>
  <si>
    <t>10/27/2022,"114,641","112,766","116,236","112,765","15.53M","1.66%"</t>
  </si>
  <si>
    <t>10/26/2022,"112,764","114,626","114,626","112,577","16.09M","-1.62%"</t>
  </si>
  <si>
    <t>10/25/2022,"114,626","116,016","116,203","114,626","14.73M","-1.20%"</t>
  </si>
  <si>
    <t>10/24/2022,"116,013","119,922","119,924","115,793","13.28M","-3.27%"</t>
  </si>
  <si>
    <t>10/21/2022,"119,929","117,170","120,752","116,736","18.58M","2.35%"</t>
  </si>
  <si>
    <t>10/20/2022,"117,171","116,276","117,367","116,276","16.92M","0.77%"</t>
  </si>
  <si>
    <t>10/19/2022,"116,274","115,744","116,459","115,264","12.73M","0.46%"</t>
  </si>
  <si>
    <t>10/18/2022,"115,743","113,627","115,795","113,627","14.74M","1.87%"</t>
  </si>
  <si>
    <t>10/17/2022,"113,624","112,107","114,406","112,090","11.63M","1.38%"</t>
  </si>
  <si>
    <t>10/14/2022,"112,072","114,301","114,712","111,631","13.10M","-1.95%"</t>
  </si>
  <si>
    <t>10/13/2022,"114,300","114,819","115,367","112,690","14.58M","-0.46%"</t>
  </si>
  <si>
    <t>10/11/2022,"114,827","115,928","115,928","114,297","13.14M","-0.96%"</t>
  </si>
  <si>
    <t>10/10/2022,"115,941","116,377","116,841","115,261","11.43M","-0.37%"</t>
  </si>
  <si>
    <t>10/07/2022,"116,375","117,560","117,960","115,924","13.62M","-1.01%"</t>
  </si>
  <si>
    <t>10/06/2022,"117,561","117,200","118,382","117,144","14.52M","0.31%"</t>
  </si>
  <si>
    <t>10/05/2022,"117,198","116,231","117,514","115,906","13.56M","0.83%"</t>
  </si>
  <si>
    <t>10/04/2022,"116,230","116,147","118,280","115,837","16.08M","0.08%"</t>
  </si>
  <si>
    <t>10/03/2022,"116,134","110,048","116,134","110,048","20.98M","5.54%"</t>
  </si>
  <si>
    <t>09/30/2022,"110,037","107,664","110,502","107,315","16.54M","2.20%"</t>
  </si>
  <si>
    <t>09/29/2022,"107,664","108,449","108,449","106,244","14.59M","-0.73%"</t>
  </si>
  <si>
    <t>09/28/2022,"108,451","108,377","108,970","107,914","13.54M","0.07%"</t>
  </si>
  <si>
    <t>09/27/2022,"108,376","109,122","110,161","108,120","14.52M","-0.68%"</t>
  </si>
  <si>
    <t>09/26/2022,"109,114","111,713","111,713","109,022","13.13M","-2.33%"</t>
  </si>
  <si>
    <t>09/23/2022,"111,716","114,070","114,070","110,732","13.54M","-2.06%"</t>
  </si>
  <si>
    <t>09/22/2022,"114,070","111,942","114,392","111,819","15.68M","1.91%"</t>
  </si>
  <si>
    <t>09/21/2022,"111,936","112,517","113,294","111,380","14.73M","-0.52%"</t>
  </si>
  <si>
    <t>09/20/2022,"112,517","111,824","112,544","111,393","12.57M","0.62%"</t>
  </si>
  <si>
    <t>09/19/2022,"111,824","109,283","111,976","108,508","12.59M","2.33%"</t>
  </si>
  <si>
    <t>09/16/2022,"109,280","109,951","109,952","108,489","18.84M","-0.61%"</t>
  </si>
  <si>
    <t>09/15/2022,"109,954","110,547","111,100","109,524","11.62M","-0.54%"</t>
  </si>
  <si>
    <t>09/14/2022,"110,547","110,794","111,504","110,118","11.63M","-0.22%"</t>
  </si>
  <si>
    <t>09/13/2022,"110,794","113,398","113,400","110,522","12.61M","-2.30%"</t>
  </si>
  <si>
    <t>09/12/2022,"113,407","112,307","114,160","112,305","11.71M","0.98%"</t>
  </si>
  <si>
    <t>09/09/2022,"112,300","109,922","112,540","109,922","12.16M","2.17%"</t>
  </si>
  <si>
    <t>09/08/2022,"109,916","109,771","110,768","108,619","13.76M","0.14%"</t>
  </si>
  <si>
    <t>09/06/2022,"109,764","112,203","112,203","109,348","14.30M","-2.17%"</t>
  </si>
  <si>
    <t>09/05/2022,"112,203","110,868","112,671","110,865","9.52M","1.21%"</t>
  </si>
  <si>
    <t>09/02/2022,"110,864","110,409","112,264","110,409","16.69M","0.42%"</t>
  </si>
  <si>
    <t>09/01/2022,"110,405","109,524","110,405","108,217","14.48M","0.81%"</t>
  </si>
  <si>
    <t>08/31/2022,"109,523","110,431","111,364","109,523","14.79M","-0.82%"</t>
  </si>
  <si>
    <t>08/30/2022,"110,431","112,323","112,869","110,103","11.94M","-1.68%"</t>
  </si>
  <si>
    <t>08/29/2022,"112,323","112,296","113,222","111,689","9.80M","0.02%"</t>
  </si>
  <si>
    <t>08/26/2022,"112,299","113,533","114,091","111,978","11.16M","-1.09%"</t>
  </si>
  <si>
    <t>08/25/2022,"113,532","112,898","114,156","112,768","11.84M","0.56%"</t>
  </si>
  <si>
    <t>08/24/2022,"112,898","112,856","113,888","112,632","13.76M","0.04%"</t>
  </si>
  <si>
    <t>08/23/2022,"112,857","110,504","112,965","110,503","11.89M","2.13%"</t>
  </si>
  <si>
    <t>08/22/2022,"110,501","111,487","111,487","109,858","11.01M","-0.89%"</t>
  </si>
  <si>
    <t>08/19/2022,"111,496","113,807","113,807","111,146","12.68M","-2.04%"</t>
  </si>
  <si>
    <t>08/18/2022,"113,813","113,708","114,375","113,304","10.64M","0.09%"</t>
  </si>
  <si>
    <t>08/17/2022,"113,708","113,508","114,146","112,483","14.65M","0.17%"</t>
  </si>
  <si>
    <t>08/16/2022,"113,512","113,034","113,626","112,690","12.99M","0.43%"</t>
  </si>
  <si>
    <t>08/15/2022,"113,032","112,767","113,214","111,067","15.55M","0.24%"</t>
  </si>
  <si>
    <t>08/12/2022,"112,764","109,718","112,764","109,718","18.70M","2.78%"</t>
  </si>
  <si>
    <t>08/11/2022,"109,718","110,236","111,310","109,604","14.94M","-0.47%"</t>
  </si>
  <si>
    <t>08/10/2022,"110,236","108,658","110,362","108,657","13.38M","1.46%"</t>
  </si>
  <si>
    <t>08/09/2022,"108,651","108,403","109,331","107,842","12.15M","0.23%"</t>
  </si>
  <si>
    <t>08/08/2022,"108,402","106,473","108,489","106,473","12.67M","1.81%"</t>
  </si>
  <si>
    <t>08/05/2022,"106,472","105,893","107,176","105,518","12.95M","0.55%"</t>
  </si>
  <si>
    <t>08/04/2022,"105,892","103,777","106,162","103,777","15.50M","2.04%"</t>
  </si>
  <si>
    <t>08/03/2022,"103,775","103,362","103,878","102,822","12.38M","0.40%"</t>
  </si>
  <si>
    <t>08/02/2022,"103,362","102,225","103,660","101,694","10.12M","1.11%"</t>
  </si>
  <si>
    <t>08/01/2022,"102,225","103,165","103,317","101,764","11.63M","-0.91%"</t>
  </si>
  <si>
    <t>07/29/2022,"103,165","102,597","103,989","102,514","12.93M","0.55%"</t>
  </si>
  <si>
    <t>07/28/2022,"102,597","101,437","102,686","101,045","11.13M","1.14%"</t>
  </si>
  <si>
    <t>07/27/2022,"101,438","99,773","101,471","99,772","10.26M","1.67%"</t>
  </si>
  <si>
    <t>07/26/2022,"99,772","100,270","100,753","99,365","9.14M","-0.50%"</t>
  </si>
  <si>
    <t>07/25/2022,"100,270","98,926","100,508","98,925","8.62M","1.36%"</t>
  </si>
  <si>
    <t>07/22/2022,"98,925","99,034","99,724","98,321","10.03M","-0.11%"</t>
  </si>
  <si>
    <t>07/21/2022,"99,033","98,286","99,057","97,088","10.06M","0.76%"</t>
  </si>
  <si>
    <t>07/20/2022,"98,287","98,244","98,366","97,277","12.94M","0.04%"</t>
  </si>
  <si>
    <t>07/19/2022,"98,245","96,920","98,346","96,917","10.30M","1.37%"</t>
  </si>
  <si>
    <t>07/18/2022,"96,916","96,553","98,291","96,553","10.74M","0.38%"</t>
  </si>
  <si>
    <t>07/15/2022,"96,551","96,119","96,971","95,267","11.35M","0.45%"</t>
  </si>
  <si>
    <t>07/14/2022,"96,121","97,879","97,879","95,431","12.58M","-1.80%"</t>
  </si>
  <si>
    <t>07/13/2022,"97,881","98,258","98,928","97,403","12.21M","-0.40%"</t>
  </si>
  <si>
    <t>07/12/2022,"98,271","98,212","98,737","97,253","12.57M","0.06%"</t>
  </si>
  <si>
    <t>07/11/2022,"98,212","100,282","100,282","97,854","8.89M","-2.07%"</t>
  </si>
  <si>
    <t>07/08/2022,"100,289","100,732","101,577","99,958","9.73M","-0.44%"</t>
  </si>
  <si>
    <t>07/07/2022,"100,730","98,722","101,420","98,722","12.70M","2.04%"</t>
  </si>
  <si>
    <t>07/06/2022,"98,719","98,294","99,141","97,423","13.35M","0.43%"</t>
  </si>
  <si>
    <t>07/05/2022,"98,295","98,608","98,608","96,499","13.36M","-0.32%"</t>
  </si>
  <si>
    <t>07/04/2022,"98,609","98,952","99,353","98,264","6.28M","-0.35%"</t>
  </si>
  <si>
    <t>07/01/2022,"98,954","98,542","99,340","97,231","11.61M","0.42%"</t>
  </si>
  <si>
    <t>06/30/2022,"98,542","99,619","99,619","97,758","14.59M","-1.08%"</t>
  </si>
  <si>
    <t>06/29/2022,"99,622","100,592","101,313","99,218","10.45M","-0.96%"</t>
  </si>
  <si>
    <t>06/28/2022,"100,591","100,766","102,237","99,956","10.49M","-0.17%"</t>
  </si>
  <si>
    <t>06/27/2022,"100,764","98,673","101,106","98,672","9.90M","2.12%"</t>
  </si>
  <si>
    <t>06/24/2022,"98,672","98,081","99,313","98,031","10.35M","0.60%"</t>
  </si>
  <si>
    <t>06/23/2022,"98,080","99,523","100,232","97,775","12.41M","-1.45%"</t>
  </si>
  <si>
    <t>06/22/2022,"99,522","99,678","100,374","98,050","11.68M","-0.16%"</t>
  </si>
  <si>
    <t>06/21/2022,"99,685","99,854","101,069","99,167","11.07M","-0.17%"</t>
  </si>
  <si>
    <t>06/20/2022,"99,853","99,824","100,481","98,409","10.90M","0.03%"</t>
  </si>
  <si>
    <t>06/17/2022,"99,825","102,800","102,801","98,402","18.93M","-2.90%"</t>
  </si>
  <si>
    <t>06/15/2022,"102,807","102,068","103,952","102,046","16.02M","0.73%"</t>
  </si>
  <si>
    <t>06/14/2022,"102,063","102,598","103,328","101,325","11.56M","-0.52%"</t>
  </si>
  <si>
    <t>06/13/2022,"102,598","105,476","105,478","101,700","13.84M","-2.73%"</t>
  </si>
  <si>
    <t>06/10/2022,"105,481","107,091","107,092","104,648","12.84M","-1.51%"</t>
  </si>
  <si>
    <t>06/09/2022,"107,094","108,367","108,510","107,068","11.96M","-1.18%"</t>
  </si>
  <si>
    <t>06/08/2022,"108,368","110,067","110,142","108,045","10.38M","-1.55%"</t>
  </si>
  <si>
    <t>06/07/2022,"110,070","110,185","110,435","109,394","9.47M","-0.11%"</t>
  </si>
  <si>
    <t>06/06/2022,"110,186","111,102","111,935","110,015","8.21M","-0.82%"</t>
  </si>
  <si>
    <t>06/03/2022,"111,102","112,392","112,392","110,935","8.76M","-1.15%"</t>
  </si>
  <si>
    <t>06/02/2022,"112,393","111,363","112,709","111,218","10.05M","0.93%"</t>
  </si>
  <si>
    <t>06/01/2022,"111,360","111,351","111,931","110,822","9.79M","0.01%"</t>
  </si>
  <si>
    <t>05/31/2022,"111,351","111,036","111,903","110,685","15.81M","0.29%"</t>
  </si>
  <si>
    <t>05/30/2022,"111,032","111,944","112,690","110,655","7.28M","-0.81%"</t>
  </si>
  <si>
    <t>05/27/2022,"111,942","111,890","112,441","111,558","9.98M","0.05%"</t>
  </si>
  <si>
    <t>05/26/2022,"111,890","110,577","112,102","110,388","13.08M","1.18%"</t>
  </si>
  <si>
    <t>05/25/2022,"110,580","110,580","111,006","109,699","10.74M","0.00%"</t>
  </si>
  <si>
    <t>05/24/2022,"110,581","110,340","110,635","108,399","11.72M","0.21%"</t>
  </si>
  <si>
    <t>05/23/2022,"110,346","108,500","110,680","108,500","10.69M","1.71%"</t>
  </si>
  <si>
    <t>05/20/2022,"108,488","107,056","108,795","107,056","12.87M","1.39%"</t>
  </si>
  <si>
    <t>05/19/2022,"107,005","106,249","107,420","105,760","11.43M","0.71%"</t>
  </si>
  <si>
    <t>05/18/2022,"106,247","108,788","108,923","106,038","14.75M","-2.34%"</t>
  </si>
  <si>
    <t>05/17/2022,"108,789","108,246","109,774","108,245","16.50M","0.51%"</t>
  </si>
  <si>
    <t>05/16/2022,"108,233","106,925","108,795","106,852","10.60M","1.22%"</t>
  </si>
  <si>
    <t>05/13/2022,"106,924","105,691","107,773","105,691","12.37M","1.17%"</t>
  </si>
  <si>
    <t>05/12/2022,"105,688","104,395","105,708","103,579","14.00M","1.24%"</t>
  </si>
  <si>
    <t>05/11/2022,"104,397","103,110","105,374","103,008","13.43M","1.25%"</t>
  </si>
  <si>
    <t>05/10/2022,"103,110","103,251","104,286","102,386","13.51M","-0.14%"</t>
  </si>
  <si>
    <t>05/09/2022,"103,250","105,109","105,109","102,768","13.20M","-1.79%"</t>
  </si>
  <si>
    <t>05/06/2022,"105,135","105,303","106,268","103,984","14.14M","-0.16%"</t>
  </si>
  <si>
    <t>05/05/2022,"105,304","108,337","108,337","103,923","13.83M","-2.81%"</t>
  </si>
  <si>
    <t>05/04/2022,"108,344","106,529","108,382","104,933","14.56M","1.70%"</t>
  </si>
  <si>
    <t>05/03/2022,"106,528","106,640","107,127","106,033","9.94M","-0.10%"</t>
  </si>
  <si>
    <t>05/02/2022,"106,639","107,876","107,884","105,218","11.94M","-1.15%"</t>
  </si>
  <si>
    <t>04/29/2022,"107,876","109,922","111,819","107,876","13.66M","-1.86%"</t>
  </si>
  <si>
    <t>04/28/2022,"109,919","109,349","110,702","108,905","11.13M","0.52%"</t>
  </si>
  <si>
    <t>04/27/2022,"109,349","108,214","110,107","108,214","11.52M","1.05%"</t>
  </si>
  <si>
    <t>04/26/2022,"108,213","110,684","110,685","107,978","11.75M","-2.23%"</t>
  </si>
  <si>
    <t>04/25/2022,"110,685","111,077","111,155","109,222","11.10M","-0.35%"</t>
  </si>
  <si>
    <t>04/22/2022,"111,078","114,343","114,343","110,591","10.88M","-2.86%"</t>
  </si>
  <si>
    <t>04/20/2022,"114,344","115,057","115,057","113,945","10.75M","-0.62%"</t>
  </si>
  <si>
    <t>04/19/2022,"115,057","115,687","115,687","114,277","10.54M","-0.54%"</t>
  </si>
  <si>
    <t>04/18/2022,"115,687","116,182","116,191","115,177","8.40M","-0.43%"</t>
  </si>
  <si>
    <t>04/14/2022,"116,182","116,781","116,781","115,624","10.37M","-0.51%"</t>
  </si>
  <si>
    <t>04/13/2022,"116,782","116,150","117,329","116,150","12.07M","0.55%"</t>
  </si>
  <si>
    <t>04/12/2022,"116,147","116,963","118,615","116,054","11.41M","-0.69%"</t>
  </si>
  <si>
    <t>04/11/2022,"116,953","118,320","118,320","116,953","9.56M","-1.16%"</t>
  </si>
  <si>
    <t>04/08/2022,"118,322","118,861","118,868","117,487","11.23M","-0.45%"</t>
  </si>
  <si>
    <t>04/07/2022,"118,862","118,226","119,247","117,509","11.52M","0.54%"</t>
  </si>
  <si>
    <t>04/06/2022,"118,228","118,885","118,885","116,791","13.41M","-0.55%"</t>
  </si>
  <si>
    <t>04/05/2022,"118,885","121,279","121,628","118,794","11.79M","-1.97%"</t>
  </si>
  <si>
    <t>04/04/2022,"121,280","121,569","121,570","120,754","8.81M","-0.24%"</t>
  </si>
  <si>
    <t>04/01/2022,"121,570","120,001","121,579","120,001","13.78M","1.31%"</t>
  </si>
  <si>
    <t>03/31/2022,"119,999","120,261","120,880","119,999","11.20M","-0.22%"</t>
  </si>
  <si>
    <t>03/30/2022,"120,260","120,013","120,531","119,775","10.89M","0.20%"</t>
  </si>
  <si>
    <t>03/29/2022,"120,014","118,740","120,900","118,740","12.93M","1.07%"</t>
  </si>
  <si>
    <t>03/28/2022,"118,738","119,082","119,444","118,061","9.17M","-0.29%"</t>
  </si>
  <si>
    <t>03/25/2022,"119,081","119,062","119,729","118,548","13.81M","0.02%"</t>
  </si>
  <si>
    <t>03/24/2022,"119,053","117,460","119,256","117,151","13.47M","1.36%"</t>
  </si>
  <si>
    <t>03/23/2022,"117,457","117,270","118,270","117,036","11.08M","0.16%"</t>
  </si>
  <si>
    <t>03/22/2022,"117,272","116,157","117,541","116,157","11.38M","0.96%"</t>
  </si>
  <si>
    <t>03/21/2022,"116,155","115,307","116,360","115,208","10.38M","0.73%"</t>
  </si>
  <si>
    <t>03/18/2022,"115,311","113,076","115,311","112,475","19.55M","1.98%"</t>
  </si>
  <si>
    <t>03/17/2022,"113,076","111,113","113,088","111,070","14.41M","1.77%"</t>
  </si>
  <si>
    <t>03/16/2022,"111,112","108,958","111,183","108,958","13.21M","1.98%"</t>
  </si>
  <si>
    <t>03/15/2022,"108,959","109,925","109,925","107,781","13.65M","-0.88%"</t>
  </si>
  <si>
    <t>03/14/2022,"109,928","111,716","112,299","109,717","10.48M","-1.60%"</t>
  </si>
  <si>
    <t>03/11/2022,"111,713","113,664","114,627","111,332","12.48M","-1.72%"</t>
  </si>
  <si>
    <t>03/10/2022,"113,663","113,900","113,939","111,889","12.98M","-0.21%"</t>
  </si>
  <si>
    <t>03/09/2022,"113,900","111,210","114,051","111,207","14.71M","2.43%"</t>
  </si>
  <si>
    <t>03/08/2022,"111,203","111,594","112,390","110,969","15.70M","-0.35%"</t>
  </si>
  <si>
    <t>03/07/2022,"111,593","114,469","114,529","111,140","14.06M","-2.52%"</t>
  </si>
  <si>
    <t>03/04/2022,"114,474","115,166","115,166","113,389","10.72M","-0.60%"</t>
  </si>
  <si>
    <t>03/03/2022,"115,166","115,173","115,948","115,010","12.12M","-0.01%"</t>
  </si>
  <si>
    <t>03/02/2022,"115,174","113,143","115,429","113,143","10.70M","1.80%"</t>
  </si>
  <si>
    <t>02/25/2022,"113,142","111,591","113,142","110,673","17.56M","1.39%"</t>
  </si>
  <si>
    <t>02/24/2022,"111,592","112,001","112,001","109,125","16.79M","-0.37%"</t>
  </si>
  <si>
    <t>02/23/2022,"112,008","112,892","113,721","111,748","12.12M","-0.78%"</t>
  </si>
  <si>
    <t>02/22/2022,"112,892","111,727","113,315","111,727","12.71M","1.04%"</t>
  </si>
  <si>
    <t>02/21/2022,"111,725","112,880","113,405","111,608","7.86M","-1.02%"</t>
  </si>
  <si>
    <t>02/18/2022,"112,880","113,534","114,213","112,701","11.30M","-0.57%"</t>
  </si>
  <si>
    <t>02/17/2022,"113,528","115,181","115,214","113,389","10.81M","-1.44%"</t>
  </si>
  <si>
    <t>02/16/2022,"115,181","114,830","115,734","114,816","12.05M","0.31%"</t>
  </si>
  <si>
    <t>02/15/2022,"114,828","113,905","114,828","113,882","11.65M","0.82%"</t>
  </si>
  <si>
    <t>02/14/2022,"113,899","113,643","114,167","113,358","10.76M","0.29%"</t>
  </si>
  <si>
    <t>02/11/2022,"113,572","113,368","114,899","113,128","18.60M","0.18%"</t>
  </si>
  <si>
    <t>02/10/2022,"113,368","112,462","113,812","112,163","13.27M","0.81%"</t>
  </si>
  <si>
    <t>02/09/2022,"112,461","112,233","113,163","111,710","13.79M","0.20%"</t>
  </si>
  <si>
    <t>02/08/2022,"112,234","111,995","112,251","110,943","10.16M","0.21%"</t>
  </si>
  <si>
    <t>02/07/2022,"111,996","112,247","112,517","111,490","10.67M","-0.22%"</t>
  </si>
  <si>
    <t>02/04/2022,"112,245","111,696","112,415","110,321","11.46M","0.49%"</t>
  </si>
  <si>
    <t>02/03/2022,"111,696","111,897","112,502","111,225","11.04M","-0.18%"</t>
  </si>
  <si>
    <t>02/02/2022,"111,894","113,228","113,666","111,645","11.75M","-1.18%"</t>
  </si>
  <si>
    <t>02/01/2022,"113,228","112,143","113,302","112,135","11.13M","0.97%"</t>
  </si>
  <si>
    <t>01/31/2022,"112,144","111,910","112,678","111,195","12.19M","0.21%"</t>
  </si>
  <si>
    <t>01/28/2022,"111,910","112,611","112,969","111,407","13.52M","-0.62%"</t>
  </si>
  <si>
    <t>01/27/2022,"112,612","111,303","113,057","111,303","14.81M","1.19%"</t>
  </si>
  <si>
    <t>01/26/2022,"111,289","110,206","112,695","110,204","15.51M","0.98%"</t>
  </si>
  <si>
    <t>01/25/2022,"110,204","107,935","110,711","107,185","13.71M","2.10%"</t>
  </si>
  <si>
    <t>01/24/2022,"107,937","108,941","108,948","106,624","12.70M","-0.92%"</t>
  </si>
  <si>
    <t>01/21/2022,"108,942","109,097","109,786","108,368","13.41M","-0.15%"</t>
  </si>
  <si>
    <t>01/20/2022,"109,102","108,015","109,873","108,014","13.63M","1.01%"</t>
  </si>
  <si>
    <t>01/19/2022,"108,013","106,670","108,602","106,669","12.60M","1.26%"</t>
  </si>
  <si>
    <t>01/18/2022,"106,668","106,369","107,013","105,786","11.22M","0.28%"</t>
  </si>
  <si>
    <t>01/17/2022,"106,374","106,927","106,928","106,097","6.92M","-0.52%"</t>
  </si>
  <si>
    <t>01/14/2022,"106,928","105,530","107,062","105,028","11.46M","1.32%"</t>
  </si>
  <si>
    <t>01/13/2022,"105,530","105,686","106,251","104,974","11.71M","-0.15%"</t>
  </si>
  <si>
    <t>01/12/2022,"105,686","103,779","105,869","103,771","13.03M","1.84%"</t>
  </si>
  <si>
    <t>01/11/2022,"103,779","101,946","103,780","101,918","12.42M","1.80%"</t>
  </si>
  <si>
    <t>01/10/2022,"101,945","102,719","102,719","101,038","10.26M","-0.75%"</t>
  </si>
  <si>
    <t>01/07/2022,"102,719","101,561","102,719","101,104","11.73M","1.14%"</t>
  </si>
  <si>
    <t>01/06/2022,"101,561","101,006","102,235","101,000","11.75M","0.55%"</t>
  </si>
  <si>
    <t>01/05/2022,"101,006","103,514","103,514","100,850","12.88M","-2.42%"</t>
  </si>
  <si>
    <t>01/04/2022,"103,514","103,922","104,276","103,096","11.49M","-0.39%"</t>
  </si>
  <si>
    <t>01/03/2022,"103,922","104,823","106,125","103,413","11.13M","-0.86%"</t>
  </si>
  <si>
    <t>12/30/2021,"104,822","104,106","105,269","104,106","11.14M","0.69%"</t>
  </si>
  <si>
    <t>12/29/2021,"104,107","104,863","105,190","103,851","6.59M","-0.72%"</t>
  </si>
  <si>
    <t>12/28/2021,"104,864","105,555","105,652","104,503","7.51M","-0.65%"</t>
  </si>
  <si>
    <t>12/27/2021,"105,554","104,892","105,694","104,798","7.59M","0.63%"</t>
  </si>
  <si>
    <t>12/23/2021,"104,891","105,251","105,453","104,637","7.28M","-0.34%"</t>
  </si>
  <si>
    <t>12/22/2021,"105,244","105,499","105,711","104,386","8.05M","-0.24%"</t>
  </si>
  <si>
    <t>12/21/2021,"105,500","105,020","105,906","105,020","9.04M","0.46%"</t>
  </si>
  <si>
    <t>12/20/2021,"105,020","107,171","107,171","104,358","10.57M","-2.03%"</t>
  </si>
  <si>
    <t>12/17/2021,"107,201","108,324","108,324","106,518","14.93M","-1.04%"</t>
  </si>
  <si>
    <t>12/16/2021,"108,326","107,433","109,034","107,433","13.75M","0.83%"</t>
  </si>
  <si>
    <t>12/15/2021,"107,431","106,763","107,603","105,697","12.66M","0.63%"</t>
  </si>
  <si>
    <t>12/14/2021,"106,760","107,387","109,148","106,445","11.60M","-0.58%"</t>
  </si>
  <si>
    <t>12/13/2021,"107,383","107,758","109,493","107,383","12.51M","-0.35%"</t>
  </si>
  <si>
    <t>12/10/2021,"107,758","106,296","108,275","106,296","10.47M","1.38%"</t>
  </si>
  <si>
    <t>12/09/2021,"106,291","108,095","108,095","105,890","11.08M","-1.67%"</t>
  </si>
  <si>
    <t>12/08/2021,"108,096","107,558","108,521","107,309","13.17M","0.50%"</t>
  </si>
  <si>
    <t>12/07/2021,"107,558","106,868","108,655","106,868","11.77M","0.65%"</t>
  </si>
  <si>
    <t>12/06/2021,"106,859","105,070","107,498","105,070","11.13M","1.70%"</t>
  </si>
  <si>
    <t>12/03/2021,"105,070","104,467","106,814","104,090","14.58M","0.58%"</t>
  </si>
  <si>
    <t>12/02/2021,"104,466","100,785","104,466","100,785","14.85M","3.66%"</t>
  </si>
  <si>
    <t>12/01/2021,"100,775","101,916","104,087","100,727","13.76M","-1.12%"</t>
  </si>
  <si>
    <t>11/30/2021,"101,915","102,814","103,066","100,075","18.20M","-0.87%"</t>
  </si>
  <si>
    <t>11/29/2021,"102,814","102,227","104,149","102,226","10.28M","0.58%"</t>
  </si>
  <si>
    <t>11/26/2021,"102,224","105,810","105,810","101,495","10.97M","-3.39%"</t>
  </si>
  <si>
    <t>11/25/2021,"105,811","104,514","106,400","104,514","7.89M","1.24%"</t>
  </si>
  <si>
    <t>11/24/2021,"104,514","103,652","105,041","102,464","10.47M","0.83%"</t>
  </si>
  <si>
    <t>11/23/2021,"103,654","102,124","103,841","101,736","13.03M","1.50%"</t>
  </si>
  <si>
    <t>11/22/2021,"102,122","103,036","104,613","102,122","10.41M","-0.89%"</t>
  </si>
  <si>
    <t>11/19/2021,"103,035","102,426","103,975","102,143","11.10M","0.59%"</t>
  </si>
  <si>
    <t>11/18/2021,"102,426","102,948","103,757","102,014","10.91M","-0.51%"</t>
  </si>
  <si>
    <t>11/17/2021,"102,948","104,405","105,535","102,551","12.83M","-1.39%"</t>
  </si>
  <si>
    <t>11/16/2021,"104,404","106,336","106,971","104,113","11.58M","-1.82%"</t>
  </si>
  <si>
    <t>11/12/2021,"106,335","107,576","107,915","105,842","13.25M","-1.17%"</t>
  </si>
  <si>
    <t>11/11/2021,"107,595","105,988","108,669","105,988","12.66M","1.54%"</t>
  </si>
  <si>
    <t>11/10/2021,"105,968","105,535","107,407","105,140","12.28M","0.41%"</t>
  </si>
  <si>
    <t>11/09/2021,"105,535","104,783","106,674","104,783","11.02M","0.72%"</t>
  </si>
  <si>
    <t>11/08/2021,"104,781","104,824","105,679","104,182","9.36M","-0.04%"</t>
  </si>
  <si>
    <t>11/05/2021,"104,824","103,412","105,555","103,412","12.59M","1.37%"</t>
  </si>
  <si>
    <t>11/04/2021,"103,412","105,617","105,627","102,835","12.08M","-2.09%"</t>
  </si>
  <si>
    <t>11/03/2021,"105,617","105,547","106,754","104,205","14.70M","0.06%"</t>
  </si>
  <si>
    <t>11/01/2021,"105,551","103,514","106,136","103,514","10.73M","1.98%"</t>
  </si>
  <si>
    <t>10/29/2021,"103,501","105,707","105,954","103,430","12.60M","-2.09%"</t>
  </si>
  <si>
    <t>10/28/2021,"105,705","106,369","107,210","105,282","11.50M","-0.62%"</t>
  </si>
  <si>
    <t>10/27/2021,"106,363","106,433","108,224","106,045","10.83M","-0.05%"</t>
  </si>
  <si>
    <t>10/26/2021,"106,420","108,713","108,713","106,321","10.76M","-2.11%"</t>
  </si>
  <si>
    <t>10/25/2021,"108,715","106,298","109,372","106,296","11.51M","2.28%"</t>
  </si>
  <si>
    <t>10/22/2021,"106,296","107,714","107,749","102,854","21.17M","-1.34%"</t>
  </si>
  <si>
    <t>10/21/2021,"107,735","110,767","110,767","105,714","16.51M","-2.75%"</t>
  </si>
  <si>
    <t>10/20/2021,"110,786","110,677","112,023","110,176","11.74M","0.10%"</t>
  </si>
  <si>
    <t>10/19/2021,"110,673","114,422","114,422","109,947","14.13M","-3.28%"</t>
  </si>
  <si>
    <t>10/18/2021,"114,428","114,647","114,927","112,841","11.20M","-0.19%"</t>
  </si>
  <si>
    <t>10/15/2021,"114,648","113,189","114,776","113,049","11.17M","1.29%"</t>
  </si>
  <si>
    <t>10/14/2021,"113,185","113,457","113,881","112,708","8.96M","-0.24%"</t>
  </si>
  <si>
    <t>10/13/2021,"113,456","112,180","114,159","111,807","11.73M","1.14%"</t>
  </si>
  <si>
    <t>10/11/2021,"112,180","112,834","113,982","112,052","10.28M","-0.58%"</t>
  </si>
  <si>
    <t>10/08/2021,"112,833","110,586","114,172","110,586","12.87M","2.03%"</t>
  </si>
  <si>
    <t>10/07/2021,"110,585","110,563","111,522","110,563","10.65M","0.02%"</t>
  </si>
  <si>
    <t>10/06/2021,"110,560","110,454","110,614","108,180","13.28M","0.09%"</t>
  </si>
  <si>
    <t>10/05/2021,"110,458","110,397","111,691","110,087","10.38M","0.06%"</t>
  </si>
  <si>
    <t>10/04/2021,"110,393","112,900","112,900","109,979","11.81M","-2.22%"</t>
  </si>
  <si>
    <t>10/01/2021,"112,900","110,980","113,020","110,980","10.78M","1.73%"</t>
  </si>
  <si>
    <t>09/30/2021,"110,979","111,117","112,371","110,743","13.16M","-0.12%"</t>
  </si>
  <si>
    <t>09/29/2021,"111,107","110,125","112,028","110,125","11.37M","0.89%"</t>
  </si>
  <si>
    <t>09/28/2021,"110,124","113,584","113,584","109,981","13.19M","-3.05%"</t>
  </si>
  <si>
    <t>09/27/2021,"113,583","113,283","114,432","112,360","10.74M","0.26%"</t>
  </si>
  <si>
    <t>09/24/2021,"113,283","114,062","114,062","112,505","9.12M","-0.68%"</t>
  </si>
  <si>
    <t>09/23/2021,"114,064","112,282","114,330","112,281","11.48M","1.59%"</t>
  </si>
  <si>
    <t>09/22/2021,"112,282","110,252","113,321","110,251","12.16M","1.84%"</t>
  </si>
  <si>
    <t>09/21/2021,"110,250","108,859","110,923","108,859","11.25M","1.29%"</t>
  </si>
  <si>
    <t>09/20/2021,"108,844","111,435","111,435","107,520","11.50M","-2.33%"</t>
  </si>
  <si>
    <t>09/17/2021,"111,439","113,794","113,794","111,157","14.83M","-2.07%"</t>
  </si>
  <si>
    <t>09/16/2021,"113,794","115,062","115,062","113,395","10.69M","-1.10%"</t>
  </si>
  <si>
    <t>09/15/2021,"115,063","116,191","116,312","114,741","9.46M","-0.96%"</t>
  </si>
  <si>
    <t>09/14/2021,"116,181","116,405","117,270","115,809","9.03M","-0.19%"</t>
  </si>
  <si>
    <t>09/13/2021,"116,404","114,300","117,046","114,300","9.25M","1.85%"</t>
  </si>
  <si>
    <t>09/10/2021,"114,286","115,370","116,896","114,286","11.16M","-0.93%"</t>
  </si>
  <si>
    <t>09/09/2021,"115,361","113,413","116,354","112,435","13.89M","1.72%"</t>
  </si>
  <si>
    <t>09/08/2021,"113,413","117,866","117,866","113,172","12.32M","-3.78%"</t>
  </si>
  <si>
    <t>09/06/2021,"117,869","116,926","117,981","116,156","5.11M","0.80%"</t>
  </si>
  <si>
    <t>09/03/2021,"116,933","116,679","117,396","115,583","12.52M","0.22%"</t>
  </si>
  <si>
    <t>09/02/2021,"116,677","119,394","119,397","116,534","9.86M","-2.28%"</t>
  </si>
  <si>
    <t>09/01/2021,"119,396","118,793","119,942","118,067","9.52M","0.52%"</t>
  </si>
  <si>
    <t>08/31/2021,"118,781","119,738","120,157","117,911","11.54M","-0.80%"</t>
  </si>
  <si>
    <t>08/30/2021,"119,740","120,677","120,684","119,354","6.39M","-0.78%"</t>
  </si>
  <si>
    <t>08/27/2021,"120,678","118,725","120,678","118,721","7.32M","1.65%"</t>
  </si>
  <si>
    <t>08/26/2021,"118,724","120,817","120,833","118,719","8.43M","-1.73%"</t>
  </si>
  <si>
    <t>08/25/2021,"120,818","120,210","120,818","119,226","7.52M","0.50%"</t>
  </si>
  <si>
    <t>08/24/2021,"120,211","117,474","120,463","117,474","9.18M","2.33%"</t>
  </si>
  <si>
    <t>08/23/2021,"117,472","118,053","118,445","117,062","7.85M","-0.49%"</t>
  </si>
  <si>
    <t>08/20/2021,"118,053","117,163","118,308","116,040","8.93M","0.76%"</t>
  </si>
  <si>
    <t>08/19/2021,"117,165","116,641","117,453","114,801","10.52M","0.45%"</t>
  </si>
  <si>
    <t>08/18/2021,"116,643","117,904","118,739","116,489","11.75M","-1.07%"</t>
  </si>
  <si>
    <t>08/17/2021,"117,904","119,179","119,179","116,248","11.22M","-1.07%"</t>
  </si>
  <si>
    <t>08/16/2021,"119,180","121,191","121,191","118,684","9.74M","-1.66%"</t>
  </si>
  <si>
    <t>08/13/2021,"121,194","120,701","121,275","120,045","10.64M","0.41%"</t>
  </si>
  <si>
    <t>08/12/2021,"120,701","122,056","122,095","120,534","11.07M","-1.11%"</t>
  </si>
  <si>
    <t>08/11/2021,"122,056","122,203","122,756","120,827","8.69M","-0.12%"</t>
  </si>
  <si>
    <t>08/10/2021,"122,202","123,021","123,513","122,061","8.30M","-0.66%"</t>
  </si>
  <si>
    <t>08/09/2021,"123,019","122,809","123,597","122,258","7.17M","0.17%"</t>
  </si>
  <si>
    <t>08/06/2021,"122,810","121,633","123,287","121,568","7.50M","0.97%"</t>
  </si>
  <si>
    <t>08/05/2021,"121,633","121,801","123,541","121,128","10.91M","-0.14%"</t>
  </si>
  <si>
    <t>08/04/2021,"121,801","123,577","123,587","121,072","9.16M","-1.44%"</t>
  </si>
  <si>
    <t>08/03/2021,"123,577","122,516","123,765","120,807","9.39M","0.87%"</t>
  </si>
  <si>
    <t>08/02/2021,"122,516","121,803","124,536","121,797","8.57M","0.59%"</t>
  </si>
  <si>
    <t>07/30/2021,"121,801","125,672","125,673","121,748","9.40M","-3.08%"</t>
  </si>
  <si>
    <t>07/29/2021,"125,675","126,285","126,476","124,917","7.49M","-0.48%"</t>
  </si>
  <si>
    <t>07/28/2021,"126,286","124,615","126,712","124,542","9.04M","1.34%"</t>
  </si>
  <si>
    <t>07/27/2021,"124,612","126,004","126,026","123,670","7.31M","-1.10%"</t>
  </si>
  <si>
    <t>07/26/2021,"126,004","125,058","126,214","125,006","6.33M","0.76%"</t>
  </si>
  <si>
    <t>07/23/2021,"125,053","126,140","126,204","124,422","6.05M","-0.87%"</t>
  </si>
  <si>
    <t>07/22/2021,"126,147","125,930","126,428","125,416","6.48M","0.17%"</t>
  </si>
  <si>
    <t>07/21/2021,"125,929","125,404","126,112","125,247","7.15M","0.42%"</t>
  </si>
  <si>
    <t>07/20/2021,"125,401","124,395","125,631","123,631","7.63M","0.81%"</t>
  </si>
  <si>
    <t>07/19/2021,"124,395","125,958","125,958","123,317","9.21M","-1.24%"</t>
  </si>
  <si>
    <t>07/16/2021,"125,960","127,468","128,010","125,808","7.36M","-1.18%"</t>
  </si>
  <si>
    <t>07/15/2021,"127,468","128,407","128,976","126,922","7.42M","-0.73%"</t>
  </si>
  <si>
    <t>07/14/2021,"128,407","128,169","129,620","128,085","9.21M","0.19%"</t>
  </si>
  <si>
    <t>07/13/2021,"128,168","127,594","128,420","126,441","7.15M","0.45%"</t>
  </si>
  <si>
    <t>07/12/2021,"127,594","125,428","127,782","125,428","7.42M","1.73%"</t>
  </si>
  <si>
    <t>07/08/2021,"125,428","127,013","127,013","124,310","8.88M","-1.25%"</t>
  </si>
  <si>
    <t>07/07/2021,"127,019","125,096","127,249","125,094","8.15M","1.54%"</t>
  </si>
  <si>
    <t>07/06/2021,"125,095","126,919","126,919","124,866","7.65M","-1.44%"</t>
  </si>
  <si>
    <t>07/05/2021,"126,920","127,622","127,633","126,531","5.26M","-0.55%"</t>
  </si>
  <si>
    <t>07/02/2021,"127,622","125,667","127,672","125,667","7.43M","1.56%"</t>
  </si>
  <si>
    <t>07/01/2021,"125,666","126,802","127,204","124,994","9.29M","-0.90%"</t>
  </si>
  <si>
    <t>06/30/2021,"126,802","127,323","127,323","126,199","9.10M","-0.41%"</t>
  </si>
  <si>
    <t>06/29/2021,"127,327","127,429","127,507","126,184","7.78M","-0.08%"</t>
  </si>
  <si>
    <t>06/28/2021,"127,429","127,255","128,067","126,629","8.16M","0.14%"</t>
  </si>
  <si>
    <t>06/25/2021,"127,256","129,513","129,748","126,697","9.36M","-1.74%"</t>
  </si>
  <si>
    <t>06/24/2021,"129,514","128,433","129,541","128,428","7.24M","0.85%"</t>
  </si>
  <si>
    <t>06/23/2021,"128,428","128,769","129,901","128,182","7.99M","-0.26%"</t>
  </si>
  <si>
    <t>06/22/2021,"128,767","129,242","129,259","127,803","9.33M","-0.39%"</t>
  </si>
  <si>
    <t>06/21/2021,"129,265","128,405","129,412","128,048","7.33M","0.67%"</t>
  </si>
  <si>
    <t>06/18/2021,"128,405","128,050","128,796","127,595","12.43M","0.27%"</t>
  </si>
  <si>
    <t>06/17/2021,"128,057","129,259","129,919","127,576","9.66M","-0.93%"</t>
  </si>
  <si>
    <t>06/16/2021,"129,259","130,091","130,283","128,345","12.88M","-0.64%"</t>
  </si>
  <si>
    <t>06/15/2021,"130,091","130,208","130,436","129,304","7.21M","-0.09%"</t>
  </si>
  <si>
    <t>06/14/2021,"130,208","129,441","131,084","129,441","8.16M","0.59%"</t>
  </si>
  <si>
    <t>06/11/2021,"129,441","130,076","130,294","128,678","7.75M","-0.49%"</t>
  </si>
  <si>
    <t>06/10/2021,"130,076","129,911","130,527","129,526","8.53M","0.13%"</t>
  </si>
  <si>
    <t>06/09/2021,"129,907","129,800","130,882","129,281","9.84M","0.09%"</t>
  </si>
  <si>
    <t>06/08/2021,"129,787","130,776","130,776","129,230","10.35M","-0.76%"</t>
  </si>
  <si>
    <t>06/07/2021,"130,776","130,125","131,190","129,498","9.66M","0.50%"</t>
  </si>
  <si>
    <t>06/04/2021,"130,126","129,600","130,137","129,148","9.81M","0.41%"</t>
  </si>
  <si>
    <t>06/02/2021,"129,601","128,268","129,601","128,167","12.78M","1.04%"</t>
  </si>
  <si>
    <t>06/01/2021,"128,267","126,218","128,363","126,218","12.50M","1.62%"</t>
  </si>
  <si>
    <t>05/31/2021,"126,216","125,561","126,216","125,540","5.95M","0.52%"</t>
  </si>
  <si>
    <t>05/28/2021,"125,561","124,367","125,698","124,284","8.85M","0.96%"</t>
  </si>
  <si>
    <t>05/27/2021,"124,367","123,989","124,537","123,470","13.14M","0.30%"</t>
  </si>
  <si>
    <t>05/26/2021,"123,989","122,988","124,256","122,988","8.26M","0.81%"</t>
  </si>
  <si>
    <t>05/25/2021,"122,988","124,032","124,696","122,701","8.91M","-0.84%"</t>
  </si>
  <si>
    <t>05/24/2021,"124,032","122,592","124,167","122,526","8.19M","1.17%"</t>
  </si>
  <si>
    <t>05/21/2021,"122,592","122,701","122,799","121,760","9.49M","-0.09%"</t>
  </si>
  <si>
    <t>05/20/2021,"122,701","122,636","122,734","122,136","7.91M","0.05%"</t>
  </si>
  <si>
    <t>05/19/2021,"122,636","122,976","123,013","121,595","8.83M","-0.28%"</t>
  </si>
  <si>
    <t>05/18/2021,"122,980","122,937","123,544","122,550","7.84M","0.03%"</t>
  </si>
  <si>
    <t>05/17/2021,"122,938","121,880","123,074","121,680","7.41M","0.87%"</t>
  </si>
  <si>
    <t>05/14/2021,"121,881","120,719","122,195","120,719","10.14M","0.97%"</t>
  </si>
  <si>
    <t>05/13/2021,"120,706","119,711","121,426","119,711","9.36M","0.83%"</t>
  </si>
  <si>
    <t>05/12/2021,"119,710","122,964","122,964","119,458","9.41M","-2.65%"</t>
  </si>
  <si>
    <t>05/11/2021,"122,964","121,904","122,964","120,145","7.99M","0.87%"</t>
  </si>
  <si>
    <t>05/10/2021,"121,909","122,038","122,772","121,794","8.22M","-0.11%"</t>
  </si>
  <si>
    <t>05/07/2021,"122,038","119,922","122,038","119,922","8.87M","1.77%"</t>
  </si>
  <si>
    <t>05/06/2021,"119,921","119,577","119,966","119,071","8.78M","0.30%"</t>
  </si>
  <si>
    <t>05/05/2021,"119,564","117,725","119,734","117,725","9.06M","1.57%"</t>
  </si>
  <si>
    <t>05/04/2021,"117,712","119,209","119,293","117,631","8.77M","-1.26%"</t>
  </si>
  <si>
    <t>05/03/2021,"119,209","118,951","119,904","118,528","8.89M","0.26%"</t>
  </si>
  <si>
    <t>04/30/2021,"118,894","120,064","120,125","118,894","11.09M","-0.98%"</t>
  </si>
  <si>
    <t>04/29/2021,"120,066","121,053","121,498","119,703","8.50M","-0.82%"</t>
  </si>
  <si>
    <t>04/28/2021,"121,053","119,392","121,276","119,392","9.08M","1.39%"</t>
  </si>
  <si>
    <t>04/27/2021,"119,388","120,595","121,012","119,003","8.36M","-1.00%"</t>
  </si>
  <si>
    <t>04/26/2021,"120,595","120,534","121,393","119,860","7.10M","0.05%"</t>
  </si>
  <si>
    <t>04/23/2021,"120,530","119,372","120,815","119,372","7.62M","0.97%"</t>
  </si>
  <si>
    <t>04/22/2021,"119,371","120,064","120,995","119,203","8.60M","-0.58%"</t>
  </si>
  <si>
    <t>04/20/2021,"120,062","120,925","121,354","119,841","7.81M","-0.72%"</t>
  </si>
  <si>
    <t>04/19/2021,"120,934","121,116","121,974","120,682","10.03M","-0.15%"</t>
  </si>
  <si>
    <t>04/16/2021,"121,114","120,701","121,333","120,199","7.95M","0.34%"</t>
  </si>
  <si>
    <t>04/15/2021,"120,701","120,290","121,409","120,084","7.95M","0.34%"</t>
  </si>
  <si>
    <t>04/14/2021,"120,295","119,298","120,871","119,298","10.08M","0.84%"</t>
  </si>
  <si>
    <t>04/13/2021,"119,297","118,809","119,529","118,041","8.98M","0.41%"</t>
  </si>
  <si>
    <t>04/12/2021,"118,812","117,661","118,812","117,661","7.00M","0.97%"</t>
  </si>
  <si>
    <t>04/09/2021,"117,670","118,313","118,643","117,336","7.74M","-0.54%"</t>
  </si>
  <si>
    <t>04/08/2021,"118,313","117,624","118,850","117,486","8.78M","0.59%"</t>
  </si>
  <si>
    <t>04/07/2021,"117,624","117,499","118,303","116,748","8.54M","0.11%"</t>
  </si>
  <si>
    <t>04/06/2021,"117,499","117,519","118,213","117,176","6.80M","-0.02%"</t>
  </si>
  <si>
    <t>04/05/2021,"117,518","115,262","117,668","115,262","7.25M","1.97%"</t>
  </si>
  <si>
    <t>04/01/2021,"115,253","116,644","117,088","114,991","8.02M","-1.18%"</t>
  </si>
  <si>
    <t>03/31/2021,"116,634","116,850","117,249","115,932","10.66M","-0.18%"</t>
  </si>
  <si>
    <t>03/30/2021,"116,850","115,414","117,090","114,999","8.14M","1.24%"</t>
  </si>
  <si>
    <t>03/29/2021,"115,419","114,776","115,553","114,096","7.46M","0.56%"</t>
  </si>
  <si>
    <t>03/26/2021,"114,781","113,750","115,416","113,305","8.66M","0.91%"</t>
  </si>
  <si>
    <t>03/25/2021,"113,750","112,065","114,024","110,927","10.31M","1.50%"</t>
  </si>
  <si>
    <t>03/24/2021,"112,064","113,272","114,823","112,064","9.83M","-1.06%"</t>
  </si>
  <si>
    <t>03/23/2021,"113,262","114,977","115,599","113,062","8.30M","-1.49%"</t>
  </si>
  <si>
    <t>03/22/2021,"114,979","116,222","116,225","113,620","8.16M","-1.07%"</t>
  </si>
  <si>
    <t>03/19/2021,"116,222","114,837","116,446","114,610","12.34M","1.21%"</t>
  </si>
  <si>
    <t>03/18/2021,"114,835","116,549","116,751","114,302","9.92M","-1.47%"</t>
  </si>
  <si>
    <t>03/17/2021,"116,549","114,018","116,736","113,428","9.43M","2.22%"</t>
  </si>
  <si>
    <t>03/16/2021,"114,019","114,845","114,974","113,370","7.80M","-0.72%"</t>
  </si>
  <si>
    <t>03/15/2021,"114,851","114,093","114,903","113,635","8.22M","0.61%"</t>
  </si>
  <si>
    <t>03/12/2021,"114,160","114,984","114,984","113,253","8.11M","-0.72%"</t>
  </si>
  <si>
    <t>03/11/2021,"114,984","112,782","115,127","112,776","12.09M","1.96%"</t>
  </si>
  <si>
    <t>03/10/2021,"112,776","111,331","112,928","109,999","12.51M","1.30%"</t>
  </si>
  <si>
    <t>03/09/2021,"111,331","110,611","112,524","109,343","12.14M","0.65%"</t>
  </si>
  <si>
    <t>03/08/2021,"110,612","115,202","115,202","110,268","13.70M","-3.98%"</t>
  </si>
  <si>
    <t>03/05/2021,"115,202","112,690","115,504","112,504","13.25M","2.23%"</t>
  </si>
  <si>
    <t>03/04/2021,"112,690","111,191","114,433","111,163","14.22M","1.35%"</t>
  </si>
  <si>
    <t>03/03/2021,"111,184","111,529","112,398","107,466","15.14M","-0.32%"</t>
  </si>
  <si>
    <t>03/02/2021,"111,540","110,328","112,428","107,319","14.82M","1.09%"</t>
  </si>
  <si>
    <t>03/01/2021,"110,335","110,036","112,445","110,036","11.24M","0.27%"</t>
  </si>
  <si>
    <t>02/26/2021,"110,035","112,260","113,466","109,827","14.62M","-1.98%"</t>
  </si>
  <si>
    <t>02/25/2021,"112,256","115,668","116,506","111,764","12.47M","-2.95%"</t>
  </si>
  <si>
    <t>02/24/2021,"115,668","115,229","116,208","114,668","11.40M","0.38%"</t>
  </si>
  <si>
    <t>02/23/2021,"115,227","112,676","115,380","112,667","15.17M","2.27%"</t>
  </si>
  <si>
    <t>02/22/2021,"112,668","118,388","118,388","111,650","21.77M","-4.87%"</t>
  </si>
  <si>
    <t>02/19/2021,"118,431","119,199","119,250","117,867","10.40M","-0.64%"</t>
  </si>
  <si>
    <t>02/18/2021,"119,199","120,361","120,845","118,515","10.72M","-0.96%"</t>
  </si>
  <si>
    <t>02/17/2021,"120,356","119,421","120,597","118,880","8.33M","0.78%"</t>
  </si>
  <si>
    <t>02/12/2021,"119,429","119,300","119,763","118,163","7.66M","0.11%"</t>
  </si>
  <si>
    <t>02/11/2021,"119,300","118,440","120,283","118,440","7.57M","0.73%"</t>
  </si>
  <si>
    <t>02/10/2021,"118,435","119,472","119,738","117,970","8.64M","-0.87%"</t>
  </si>
  <si>
    <t>02/09/2021,"119,472","119,696","119,975","118,246","7.91M","-0.19%"</t>
  </si>
  <si>
    <t>02/08/2021,"119,696","120,239","120,844","119,140","8.62M","-0.45%"</t>
  </si>
  <si>
    <t>02/05/2021,"120,240","119,261","121,117","119,261","8.21M","0.82%"</t>
  </si>
  <si>
    <t>02/04/2021,"119,261","119,728","120,560","118,918","8.10M","-0.39%"</t>
  </si>
  <si>
    <t>02/03/2021,"119,725","118,235","120,210","118,234","8.70M","1.26%"</t>
  </si>
  <si>
    <t>02/02/2021,"118,234","117,520","119,805","117,519","11.63M","0.61%"</t>
  </si>
  <si>
    <t>02/01/2021,"117,518","115,093","117,862","115,093","8.72M","2.13%"</t>
  </si>
  <si>
    <t>01/29/2021,"115,068","118,880","118,880","114,973","10.97M","-3.21%"</t>
  </si>
  <si>
    <t>01/28/2021,"118,883","115,882","119,355","115,734","12.07M","2.59%"</t>
  </si>
  <si>
    <t>01/27/2021,"115,882","116,463","117,840","114,887","12.38M","-0.50%"</t>
  </si>
  <si>
    <t>01/26/2021,"116,464","117,381","119,167","116,109","10.68M","-0.78%"</t>
  </si>
  <si>
    <t>01/22/2021,"117,380","118,318","118,318","116,109","9.37M","-0.80%"</t>
  </si>
  <si>
    <t>01/21/2021,"118,329","119,628","120,243","117,785","8.57M","-1.10%"</t>
  </si>
  <si>
    <t>01/20/2021,"119,646","120,644","121,449","118,740","7.95M","-0.82%"</t>
  </si>
  <si>
    <t>01/19/2021,"120,636","121,250","122,120","119,257","7.89M","-0.50%"</t>
  </si>
  <si>
    <t>01/18/2021,"121,242","120,351","122,586","120,351","7.22M","0.74%"</t>
  </si>
  <si>
    <t>01/15/2021,"120,349","123,472","123,472","120,185","9.39M","-2.54%"</t>
  </si>
  <si>
    <t>01/14/2021,"123,481","121,947","123,896","121,947","8.97M","1.27%"</t>
  </si>
  <si>
    <t>01/13/2021,"121,933","123,996","124,032","121,016","10.29M","-1.67%"</t>
  </si>
  <si>
    <t>01/12/2021,"123,998","123,255","124,584","123,227","8.95M","0.60%"</t>
  </si>
  <si>
    <t>01/11/2021,"123,255","125,075","125,075","122,506","9.54M","-1.46%"</t>
  </si>
  <si>
    <t>01/08/2021,"125,077","122,387","125,324","122,386","11.09M","2.20%"</t>
  </si>
  <si>
    <t>01/07/2021,"122,386","119,103","122,697","119,101","11.77M","2.76%"</t>
  </si>
  <si>
    <t>01/06/2021,"119,100","119,377","120,924","118,917","11.64M","-0.23%"</t>
  </si>
  <si>
    <t>01/05/2021,"119,376","118,835","119,790","116,756","9.26M","0.44%"</t>
  </si>
  <si>
    <t>01/04/2021,"118,855","119,024","120,354","118,062","8.74M","-0.14%"</t>
  </si>
  <si>
    <t>12/30/2020,"119,017","119,410","120,150","118,919","8.24M","-0.33%"</t>
  </si>
  <si>
    <t>12/29/2020,"119,409","119,130","119,861","118,750","6.77M","0.24%"</t>
  </si>
  <si>
    <t>12/28/2020,"119,124","117,806","119,213","117,805","7.17M","1.12%"</t>
  </si>
  <si>
    <t>12/23/2020,"117,807","116,636","118,311","116,636","6.48M","1.00%"</t>
  </si>
  <si>
    <t>12/22/2020,"116,636","115,825","116,903","115,648","6.95M","0.70%"</t>
  </si>
  <si>
    <t>12/21/2020,"115,823","118,021","118,021","114,730","10.35M","-1.86%"</t>
  </si>
  <si>
    <t>12/18/2020,"118,024","118,395","119,370","117,638","8.64M","-0.32%"</t>
  </si>
  <si>
    <t>12/17/2020,"118,401","117,864","119,027","117,856","7.70M","0.46%"</t>
  </si>
  <si>
    <t>12/16/2020,"117,857","116,149","118,178","115,496","9.81M","1.47%"</t>
  </si>
  <si>
    <t>12/15/2020,"116,149","114,613","116,390","114,613","8.20M","1.34%"</t>
  </si>
  <si>
    <t>12/14/2020,"114,611","115,137","115,740","114,431","8.19M","-0.45%"</t>
  </si>
  <si>
    <t>12/11/2020,"115,128","115,128","115,527","113,949","8.37M","0.00%"</t>
  </si>
  <si>
    <t>12/10/2020,"115,129","113,002","115,262","112,732","11.80M","1.88%"</t>
  </si>
  <si>
    <t>12/09/2020,"113,001","113,799","114,020","112,567","8.43M","-0.70%"</t>
  </si>
  <si>
    <t>12/08/2020,"113,793","113,590","114,381","112,820","8.81M","0.18%"</t>
  </si>
  <si>
    <t>12/07/2020,"113,590","113,750","114,531","112,629","9.63M","-0.14%"</t>
  </si>
  <si>
    <t>12/04/2020,"113,750","112,294","113,864","112,294","8.89M","1.30%"</t>
  </si>
  <si>
    <t>12/03/2020,"112,292","111,874","113,377","111,874","11.47M","0.37%"</t>
  </si>
  <si>
    <t>12/02/2020,"111,879","111,402","112,315","110,579","9.81M","0.43%"</t>
  </si>
  <si>
    <t>12/01/2020,"111,400","108,897","111,840","108,897","11.32M","2.30%"</t>
  </si>
  <si>
    <t>11/30/2020,"108,893","110,598","110,934","108,829","19.30M","-1.52%"</t>
  </si>
  <si>
    <t>11/27/2020,"110,575","110,229","111,603","110,161","8.79M","0.32%"</t>
  </si>
  <si>
    <t>11/26/2020,"110,227","110,133","110,244","109,418","6.17M","0.09%"</t>
  </si>
  <si>
    <t>11/25/2020,"110,133","109,786","110,596","109,315","8.56M","0.32%"</t>
  </si>
  <si>
    <t>11/24/2020,"109,786","107,378","109,956","107,361","11.93M","2.24%"</t>
  </si>
  <si>
    <t>11/23/2020,"107,379","106,050","107,495","106,050","9.69M","1.26%"</t>
  </si>
  <si>
    <t>11/20/2020,"106,042","106,670","106,764","105,680","7.10M","-0.59%"</t>
  </si>
  <si>
    <t>11/19/2020,"106,670","106,117","106,973","105,545","8.56M","0.52%"</t>
  </si>
  <si>
    <t>11/18/2020,"106,119","107,246","107,467","106,043","10.34M","-1.05%"</t>
  </si>
  <si>
    <t>11/17/2020,"107,249","106,430","107,810","105,847","10.31M","0.77%"</t>
  </si>
  <si>
    <t>11/16/2020,"106,430","104,729","106,518","104,729","11.72M","1.63%"</t>
  </si>
  <si>
    <t>11/13/2020,"104,723","102,509","104,726","102,509","9.77M","2.16%"</t>
  </si>
  <si>
    <t>11/12/2020,"102,507","104,810","105,019","102,034","10.86M","-2.20%"</t>
  </si>
  <si>
    <t>11/11/2020,"104,809","105,067","105,462","104,143","10.84M","-0.25%"</t>
  </si>
  <si>
    <t>11/10/2020,"105,067","103,516","105,758","103,453","16.67M","1.50%"</t>
  </si>
  <si>
    <t>11/09/2020,"103,515","100,954","105,147","100,954","17.41M","2.57%"</t>
  </si>
  <si>
    <t>11/06/2020,"100,925","100,751","101,104","99,837","8.38M","0.17%"</t>
  </si>
  <si>
    <t>11/05/2020,"100,751","97,873","100,922","97,872","10.46M","2.95%"</t>
  </si>
  <si>
    <t>11/04/2020,"97,867","95,992","98,296","95,987","10.70M","1.97%"</t>
  </si>
  <si>
    <t>11/03/2020,"95,980","93,968","96,350","93,968","10.19M","2.16%"</t>
  </si>
  <si>
    <t>10/30/2020,"93,952","96,579","96,579","93,559","10.64M","-2.72%"</t>
  </si>
  <si>
    <t>10/29/2020,"96,582","95,368","96,688","93,387","12.70M","1.27%"</t>
  </si>
  <si>
    <t>10/28/2020,"95,369","99,598","99,598","95,369","11.05M","-4.25%"</t>
  </si>
  <si>
    <t>10/27/2020,"99,606","101,017","101,660","99,414","8.67M","-1.40%"</t>
  </si>
  <si>
    <t>10/26/2020,"101,017","101,260","101,784","99,762","8.07M","-0.24%"</t>
  </si>
  <si>
    <t>10/23/2020,"101,260","101,918","102,218","101,188","7.56M","-0.65%"</t>
  </si>
  <si>
    <t>10/22/2020,"101,918","100,553","102,020","100,457","9.56M","1.36%"</t>
  </si>
  <si>
    <t>10/21/2020,"100,552","100,541","101,586","100,149","8.66M","0.01%"</t>
  </si>
  <si>
    <t>10/20/2020,"100,540","98,664","100,722","98,664","8.80M","1.91%"</t>
  </si>
  <si>
    <t>10/19/2020,"98,658","98,310","99,917","98,310","9.93M","0.36%"</t>
  </si>
  <si>
    <t>10/16/2020,"98,309","99,054","99,172","98,309","7.84M","-0.75%"</t>
  </si>
  <si>
    <t>10/15/2020,"99,054","99,328","99,486","97,778","8.34M","-0.28%"</t>
  </si>
  <si>
    <t>10/14/2020,"99,334","98,502","99,571","98,501","8.90M","0.84%"</t>
  </si>
  <si>
    <t>10/13/2020,"98,503","97,483","98,998","97,336","7.87M","1.05%"</t>
  </si>
  <si>
    <t>10/09/2020,"97,483","97,924","98,642","97,161","10.81M","-0.45%"</t>
  </si>
  <si>
    <t>10/08/2020,"97,920","95,530","97,938","95,530","11.16M","2.51%"</t>
  </si>
  <si>
    <t>10/07/2020,"95,526","95,616","96,380","94,881","9.83M","-0.09%"</t>
  </si>
  <si>
    <t>10/06/2020,"95,615","96,091","97,405","95,211","11.30M","-0.49%"</t>
  </si>
  <si>
    <t>10/05/2020,"96,089","94,019","96,414","93,984","8.62M","2.20%"</t>
  </si>
  <si>
    <t>10/02/2020,"94,016","95,475","95,996","93,897","8.58M","-1.53%"</t>
  </si>
  <si>
    <t>10/01/2020,"95,479","94,604","95,486","93,599","9.24M","0.93%"</t>
  </si>
  <si>
    <t>09/30/2020,"94,603","93,586","95,340","93,584","9.49M","1.09%"</t>
  </si>
  <si>
    <t>09/29/2020,"93,580","94,665","95,505","93,408","8.74M","-1.15%"</t>
  </si>
  <si>
    <t>09/28/2020,"94,666","97,005","98,314","94,371","10.51M","-2.41%"</t>
  </si>
  <si>
    <t>09/25/2020,"96,999","97,011","97,012","95,632","7.35M","-0.01%"</t>
  </si>
  <si>
    <t>09/24/2020,"97,012","95,735","97,955","95,653","9.33M","1.33%"</t>
  </si>
  <si>
    <t>09/23/2020,"95,735","97,294","97,389","95,728","8.83M","-1.60%"</t>
  </si>
  <si>
    <t>09/22/2020,"97,294","96,995","97,684","96,390","7.28M","0.31%"</t>
  </si>
  <si>
    <t>09/21/2020,"96,991","98,283","98,283","95,820","9.74M","-1.32%"</t>
  </si>
  <si>
    <t>09/18/2020,"98,290","100,098","100,102","98,045","11.37M","-1.81%"</t>
  </si>
  <si>
    <t>09/17/2020,"100,098","99,674","100,251","98,562","7.86M","0.42%"</t>
  </si>
  <si>
    <t>09/16/2020,"99,676","100,299","100,663","99,663","7.14M","-0.62%"</t>
  </si>
  <si>
    <t>09/15/2020,"100,298","100,277","100,949","99,647","9.22M","0.02%"</t>
  </si>
  <si>
    <t>09/14/2020,"100,275","98,367","100,520","98,367","8.18M","1.94%"</t>
  </si>
  <si>
    <t>09/11/2020,"98,363","98,839","99,435","97,758","9.11M","-0.48%"</t>
  </si>
  <si>
    <t>09/10/2020,"98,835","101,291","101,536","98,687","8.89M","-2.43%"</t>
  </si>
  <si>
    <t>09/09/2020,"101,292","100,050","101,578","100,050","7.96M","1.24%"</t>
  </si>
  <si>
    <t>09/08/2020,"100,050","101,239","101,239","99,373","8.48M","-1.18%"</t>
  </si>
  <si>
    <t>09/04/2020,"101,242","100,733","101,582","98,960","11.33M","0.52%"</t>
  </si>
  <si>
    <t>09/03/2020,"100,721","101,911","103,226","99,751","12.61M","-1.17%"</t>
  </si>
  <si>
    <t>09/02/2020,"101,911","102,168","102,824","100,872","7.56M","-0.25%"</t>
  </si>
  <si>
    <t>09/01/2020,"102,168","99,382","102,238","99,382","9.38M","2.82%"</t>
  </si>
  <si>
    <t>08/31/2020,"99,369","102,142","102,142","99,369","12.23M","-2.72%"</t>
  </si>
  <si>
    <t>08/28/2020,"102,143","100,631","102,347","100,631","7.67M","1.51%"</t>
  </si>
  <si>
    <t>08/27/2020,"100,624","100,625","101,548","99,857","7.36M","0.00%"</t>
  </si>
  <si>
    <t>08/26/2020,"100,627","102,119","102,521","99,359","9.86M","-1.46%"</t>
  </si>
  <si>
    <t>08/25/2020,"102,118","102,293","102,708","101,623","8.19M","-0.18%"</t>
  </si>
  <si>
    <t>08/24/2020,"102,298","101,525","102,515","101,525","7.72M","0.77%"</t>
  </si>
  <si>
    <t>08/21/2020,"101,521","101,460","101,566","100,412","9.10M","0.05%"</t>
  </si>
  <si>
    <t>08/20/2020,"101,468","100,853","101,749","99,131","9.40M","0.61%"</t>
  </si>
  <si>
    <t>08/19/2020,"100,854","102,072","102,334","100,800","10.03M","-1.19%"</t>
  </si>
  <si>
    <t>08/18/2020,"102,065","99,597","102,247","99,597","9.42M","2.48%"</t>
  </si>
  <si>
    <t>08/17/2020,"99,595","101,348","101,689","98,513","10.82M","-1.73%"</t>
  </si>
  <si>
    <t>08/14/2020,"101,353","100,469","101,717","100,445","8.58M","0.89%"</t>
  </si>
  <si>
    <t>08/13/2020,"100,461","102,118","103,237","100,187","10.72M","-1.62%"</t>
  </si>
  <si>
    <t>08/12/2020,"102,118","102,176","103,116","100,698","10.11M","-0.05%"</t>
  </si>
  <si>
    <t>08/11/2020,"102,174","103,449","104,409","102,174","9.36M","-1.23%"</t>
  </si>
  <si>
    <t>08/10/2020,"103,444","102,776","103,722","101,282","8.26M","0.65%"</t>
  </si>
  <si>
    <t>08/07/2020,"102,776","104,116","104,126","101,956","10.34M","-1.30%"</t>
  </si>
  <si>
    <t>08/06/2020,"104,126","102,795","104,523","102,795","9.69M","1.29%"</t>
  </si>
  <si>
    <t>08/05/2020,"102,802","101,220","103,763","101,220","10.92M","1.57%"</t>
  </si>
  <si>
    <t>08/04/2020,"101,216","102,826","103,012","100,004","12.03M","-1.57%"</t>
  </si>
  <si>
    <t>08/03/2020,"102,830","102,913","103,863","102,304","10.90M","-0.08%"</t>
  </si>
  <si>
    <t>07/31/2020,"102,912","105,010","105,462","102,642","12.93M","-2.00%"</t>
  </si>
  <si>
    <t>07/30/2020,"105,009","105,605","105,607","103,920","9.59M","-0.56%"</t>
  </si>
  <si>
    <t>07/29/2020,"105,605","104,112","105,704","104,112","9.24M","1.44%"</t>
  </si>
  <si>
    <t>07/28/2020,"104,109","104,477","104,663","103,592","9.09M","-0.35%"</t>
  </si>
  <si>
    <t>07/27/2020,"104,477","102,381","104,585","102,381","9.62M","2.05%"</t>
  </si>
  <si>
    <t>07/24/2020,"102,382","102,292","102,694","100,859","9.80M","0.09%"</t>
  </si>
  <si>
    <t>07/23/2020,"102,293","104,291","104,949","102,119","10.37M","-1.91%"</t>
  </si>
  <si>
    <t>07/22/2020,"104,290","104,312","104,980","103,277","10.83M","-0.02%"</t>
  </si>
  <si>
    <t>07/21/2020,"104,310","104,426","105,449","103,732","11.11M","-0.11%"</t>
  </si>
  <si>
    <t>07/20/2020,"104,426","102,888","104,439","102,744","8.93M","1.49%"</t>
  </si>
  <si>
    <t>07/17/2020,"102,888","100,554","103,017","100,554","10.43M","2.32%"</t>
  </si>
  <si>
    <t>07/16/2020,"100,553","101,791","101,792","100,160","8.13M","-1.22%"</t>
  </si>
  <si>
    <t>07/15/2020,"101,791","100,444","102,114","100,444","9.29M","1.35%"</t>
  </si>
  <si>
    <t>07/14/2020,"100,440","98,699","100,632","98,289","10.02M","1.77%"</t>
  </si>
  <si>
    <t>07/13/2020,"98,697","100,027","100,858","98,697","10.38M","-1.33%"</t>
  </si>
  <si>
    <t>07/10/2020,"100,032","99,160","100,101","98,739","9.15M","0.88%"</t>
  </si>
  <si>
    <t>07/09/2020,"99,160","99,770","100,191","98,861","9.47M","-0.61%"</t>
  </si>
  <si>
    <t>07/08/2020,"99,770","97,765","99,973","97,765","9.14M","2.06%"</t>
  </si>
  <si>
    <t>07/07/2020,"97,761","98,937","98,938","97,272","8.95M","-1.19%"</t>
  </si>
  <si>
    <t>07/06/2020,"98,937","96,776","99,257","96,768","9.49M","2.24%"</t>
  </si>
  <si>
    <t>07/03/2020,"96,765","96,237","96,765","95,803","5.35M","0.55%"</t>
  </si>
  <si>
    <t>07/02/2020,"96,235","96,206","97,864","96,052","10.06M","0.03%"</t>
  </si>
  <si>
    <t>07/01/2020,"96,203","95,062","96,852","95,062","10.16M","1.21%"</t>
  </si>
  <si>
    <t>06/30/2020,"95,056","95,728","96,257","94,806","10.14M","-0.71%"</t>
  </si>
  <si>
    <t>06/29/2020,"95,735","93,837","95,735","93,825","8.91M","2.03%"</t>
  </si>
  <si>
    <t>06/26/2020,"93,834","95,979","95,979","93,514","8.44M","-2.24%"</t>
  </si>
  <si>
    <t>06/25/2020,"95,983","94,382","96,260","94,152","8.70M","1.70%"</t>
  </si>
  <si>
    <t>06/24/2020,"94,377","95,974","95,974","93,259","9.96M","-1.67%"</t>
  </si>
  <si>
    <t>06/23/2020,"95,975","95,344","97,486","95,344","9.75M","0.67%"</t>
  </si>
  <si>
    <t>06/22/2020,"95,336","96,572","96,870","94,869","8.26M","-1.28%"</t>
  </si>
  <si>
    <t>06/19/2020,"96,572","96,138","97,540","95,874","13.13M","0.47%"</t>
  </si>
  <si>
    <t>06/18/2020,"96,125","95,547","97,110","94,698","10.01M","0.60%"</t>
  </si>
  <si>
    <t>06/17/2020,"95,547","93,531","96,611","93,531","11.13M","2.16%"</t>
  </si>
  <si>
    <t>06/16/2020,"93,531","92,387","95,216","92,387","12.03M","1.25%"</t>
  </si>
  <si>
    <t>06/15/2020,"92,376","92,780","93,112","90,148","13.32M","-0.45%"</t>
  </si>
  <si>
    <t>06/12/2020,"92,795","94,677","94,703","90,811","12.79M","-2.00%"</t>
  </si>
  <si>
    <t>06/10/2020,"94,686","96,747","97,646","94,665","11.74M","-2.13%"</t>
  </si>
  <si>
    <t>06/09/2020,"96,747","97,644","97,644","95,386","11.29M","-0.92%"</t>
  </si>
  <si>
    <t>06/08/2020,"97,645","94,640","97,693","94,635","11.10M","3.18%"</t>
  </si>
  <si>
    <t>06/05/2020,"94,637","93,839","97,356","93,839","13.32M","0.86%"</t>
  </si>
  <si>
    <t>06/04/2020,"93,829","92,993","94,132","92,221","11.49M","0.89%"</t>
  </si>
  <si>
    <t>06/03/2020,"93,002","91,048","93,710","91,048","15.14M","2.15%"</t>
  </si>
  <si>
    <t>06/02/2020,"91,046","88,622","91,046","88,622","11.83M","2.74%"</t>
  </si>
  <si>
    <t>06/01/2020,"88,620","87,395","89,019","86,837","9.85M","1.39%"</t>
  </si>
  <si>
    <t>05/29/2020,"87,403","86,951","87,410","85,384","16.55M","0.52%"</t>
  </si>
  <si>
    <t>05/28/2020,"86,949","87,946","88,091","86,767","10.12M","-1.13%"</t>
  </si>
  <si>
    <t>05/27/2020,"87,946","85,468","87,946","85,468","11.21M","2.90%"</t>
  </si>
  <si>
    <t>05/26/2020,"85,469","85,668","87,333","85,396","12.03M","-0.23%"</t>
  </si>
  <si>
    <t>05/25/2020,"85,663","82,198","85,876","82,193","8.76M","4.25%"</t>
  </si>
  <si>
    <t>05/22/2020,"82,173","83,027","83,027","81,669","9.28M","-1.03%"</t>
  </si>
  <si>
    <t>05/21/2020,"83,027","81,320","83,309","81,317","11.40M","2.10%"</t>
  </si>
  <si>
    <t>05/20/2020,"81,319","80,747","82,290","80,740","9.52M","0.71%"</t>
  </si>
  <si>
    <t>05/19/2020,"80,742","81,197","82,175","80,647","10.74M","-0.56%"</t>
  </si>
  <si>
    <t>05/18/2020,"81,194","77,576","81,420","77,571","11.53M","4.69%"</t>
  </si>
  <si>
    <t>05/15/2020,"77,557","79,011","79,538","77,426","11.72M","-1.84%"</t>
  </si>
  <si>
    <t>05/14/2020,"79,011","77,770","79,011","75,697","13.82M","1.59%"</t>
  </si>
  <si>
    <t>05/13/2020,"77,772","77,877","78,911","77,152","11.58M","-0.13%"</t>
  </si>
  <si>
    <t>05/12/2020,"77,872","79,065","80,344","77,872","10.25M","-1.51%"</t>
  </si>
  <si>
    <t>05/11/2020,"79,065","80,263","80,723","78,994","9.78M","-1.49%"</t>
  </si>
  <si>
    <t>05/08/2020,"80,263","78,152","80,557","78,152","10.73M","2.74%"</t>
  </si>
  <si>
    <t>05/07/2020,"78,119","79,072","80,061","78,061","13.81M","-1.20%"</t>
  </si>
  <si>
    <t>05/06/2020,"79,064","79,473","79,996","78,056","9.78M","-0.51%"</t>
  </si>
  <si>
    <t>05/05/2020,"79,471","78,887","81,066","78,886","9.15M","0.75%"</t>
  </si>
  <si>
    <t>05/04/2020,"78,876","80,501","80,502","77,640","8.59M","-2.02%"</t>
  </si>
  <si>
    <t>04/30/2020,"80,506","83,169","83,169","80,168","11.80M","-3.20%"</t>
  </si>
  <si>
    <t>04/29/2020,"83,171","81,313","83,598","81,313","11.72M","2.29%"</t>
  </si>
  <si>
    <t>04/28/2020,"81,312","78,243","81,427","78,243","12.94M","3.93%"</t>
  </si>
  <si>
    <t>04/27/2020,"78,239","75,334","78,563","75,327","10.66M","3.86%"</t>
  </si>
  <si>
    <t>04/24/2020,"75,331","79,667","79,667","72,041","16.53M","-5.45%"</t>
  </si>
  <si>
    <t>04/23/2020,"79,673","80,690","81,934","78,622","10.82M","-1.26%"</t>
  </si>
  <si>
    <t>04/22/2020,"80,687","78,973","81,184","78,973","9.85M","2.17%"</t>
  </si>
  <si>
    <t>04/20/2020,"78,973","78,989","80,106","76,943","8.87M","-0.02%"</t>
  </si>
  <si>
    <t>04/17/2020,"78,990","77,817","79,846","77,754","8.32M","1.51%"</t>
  </si>
  <si>
    <t>04/16/2020,"77,812","78,837","80,167","77,452","9.03M","-1.29%"</t>
  </si>
  <si>
    <t>04/15/2020,"78,831","79,911","80,035","77,546","9.76M","-1.36%"</t>
  </si>
  <si>
    <t>04/14/2020,"79,918","78,848","81,668","78,848","8.59M","1.37%"</t>
  </si>
  <si>
    <t>04/13/2020,"78,836","77,682","78,836","76,405","7.65M","1.49%"</t>
  </si>
  <si>
    <t>04/09/2020,"77,682","78,640","80,428","77,457","10.75M","-1.20%"</t>
  </si>
  <si>
    <t>04/08/2020,"78,625","76,335","79,058","76,115","10.21M","2.97%"</t>
  </si>
  <si>
    <t>04/07/2020,"76,358","74,078","79,855","74,078","11.29M","3.08%"</t>
  </si>
  <si>
    <t>04/06/2020,"74,073","69,556","75,260","69,556","9.69M","6.52%"</t>
  </si>
  <si>
    <t>04/03/2020,"69,538","72,241","72,241","67,802","10.41M","-3.76%"</t>
  </si>
  <si>
    <t>04/02/2020,"72,253","70,969","73,861","70,957","10.54M","1.81%"</t>
  </si>
  <si>
    <t>04/01/2020,"70,967","73,011","73,011","69,569","10.09M","-2.81%"</t>
  </si>
  <si>
    <t>03/31/2020,"73,020","74,629","75,511","72,385","11.14M","-2.17%"</t>
  </si>
  <si>
    <t>03/30/2020,"74,639","73,431","75,430","73,184","9.03M","1.65%"</t>
  </si>
  <si>
    <t>03/27/2020,"73,429","77,708","77,708","73,057","10.30M","-5.51%"</t>
  </si>
  <si>
    <t>03/26/2020,"77,710","74,956","78,846","74,923","12.76M","3.67%"</t>
  </si>
  <si>
    <t>03/25/2020,"74,956","69,727","76,714","69,360","12.95M","7.50%"</t>
  </si>
  <si>
    <t>03/24/2020,"69,729","63,604","71,535","63,604","11.68M","9.69%"</t>
  </si>
  <si>
    <t>03/23/2020,"63,570","67,067","67,604","62,161","11.96M","-5.22%"</t>
  </si>
  <si>
    <t>03/20/2020,"67,069","68,344","72,247","66,120","15.15M","-1.85%"</t>
  </si>
  <si>
    <t>03/19/2020,"68,332","66,883","70,071","61,691","16.14M","2.15%"</t>
  </si>
  <si>
    <t>03/18/2020,"66,895","74,576","74,576","63,547","16.75M","-10.35%"</t>
  </si>
  <si>
    <t>03/17/2020,"74,617","71,178","77,255","70,782","14.95M","4.85%"</t>
  </si>
  <si>
    <t>03/16/2020,"71,168","82,565","82,565","70,855","12.85M","-13.92%"</t>
  </si>
  <si>
    <t>03/13/2020,"82,678","72,621","83,758","72,621","15.77M","13.91%"</t>
  </si>
  <si>
    <t>03/12/2020,"72,583","85,103","85,103","68,488","12.01M","-14.78%"</t>
  </si>
  <si>
    <t>03/11/2020,"85,171","92,202","92,202","80,796","11.79M","-7.64%"</t>
  </si>
  <si>
    <t>03/10/2020,"92,214","86,071","92,230","86,071","13.53M","7.14%"</t>
  </si>
  <si>
    <t>03/09/2020,"86,067","97,982","97,982","85,880","14.65M","-12.17%"</t>
  </si>
  <si>
    <t>03/06/2020,"97,997","102,230","102,230","96,886","11.86M","-4.14%"</t>
  </si>
  <si>
    <t>03/05/2020,"102,233","107,217","107,217","100,536","8.60M","-4.65%"</t>
  </si>
  <si>
    <t>03/04/2020,"107,224","105,540","107,809","105,042","8.41M","1.60%"</t>
  </si>
  <si>
    <t>03/03/2020,"105,537","106,630","108,804","104,405","9.39M","-1.02%"</t>
  </si>
  <si>
    <t>03/02/2020,"106,625","104,260","107,220","103,779","8.86M","2.35%"</t>
  </si>
  <si>
    <t>02/28/2020,"104,172","102,984","104,172","99,951","11.23M","1.15%"</t>
  </si>
  <si>
    <t>02/27/2020,"102,984","105,711","106,656","102,984","11.24M","-2.59%"</t>
  </si>
  <si>
    <t>02/26/2020,"105,718","113,647","113,647","105,053","9.37M","-7.00%"</t>
  </si>
  <si>
    <t>02/21/2020,"113,681","114,585","114,585","112,661","5.90M","-0.79%"</t>
  </si>
  <si>
    <t>02/20/2020,"114,586","116,518","116,552","114,379","6.79M","-1.66%"</t>
  </si>
  <si>
    <t>02/19/2020,"116,518","114,982","116,545","114,774","6.33M","1.34%"</t>
  </si>
  <si>
    <t>02/18/2020,"114,977","115,309","115,309","113,532","5.55M","-0.29%"</t>
  </si>
  <si>
    <t>02/17/2020,"115,309","114,381","115,696","114,381","4.36M","0.81%"</t>
  </si>
  <si>
    <t>02/14/2020,"114,381","115,663","115,663","114,132","5.34M","-1.11%"</t>
  </si>
  <si>
    <t>02/13/2020,"115,662","116,660","116,660","114,801","5.64M","-0.87%"</t>
  </si>
  <si>
    <t>02/12/2020,"116,674","115,371","117,581","115,371","8.16M","1.13%"</t>
  </si>
  <si>
    <t>02/11/2020,"115,371","112,574","115,576","112,574","6.77M","2.49%"</t>
  </si>
  <si>
    <t>02/10/2020,"112,570","113,771","114,176","112,134","7.49M","-1.05%"</t>
  </si>
  <si>
    <t>02/07/2020,"113,770","115,190","115,190","113,769","6.59M","-1.23%"</t>
  </si>
  <si>
    <t>02/06/2020,"115,190","116,033","117,382","114,723","7.38M","-0.72%"</t>
  </si>
  <si>
    <t>02/05/2020,"116,028","115,563","117,701","115,562","7.17M","0.41%"</t>
  </si>
  <si>
    <t>02/04/2020,"115,557","114,631","116,556","114,631","5.83M","0.81%"</t>
  </si>
  <si>
    <t>02/03/2020,"114,629","113,761","115,299","113,467","5.51M","0.76%"</t>
  </si>
  <si>
    <t>01/31/2020,"113,761","115,518","115,518","113,148","6.22M","-1.53%"</t>
  </si>
  <si>
    <t>01/30/2020,"115,528","115,375","115,528","112,825","6.32M","0.12%"</t>
  </si>
  <si>
    <t>01/29/2020,"115,385","116,494","117,171","115,164","5.10M","-0.94%"</t>
  </si>
  <si>
    <t>01/28/2020,"116,479","114,482","116,797","114,475","5.23M","1.74%"</t>
  </si>
  <si>
    <t>01/27/2020,"114,482","118,347","118,347","114,376","6.10M","-3.29%"</t>
  </si>
  <si>
    <t>01/24/2020,"118,376","119,528","119,593","118,108","4.78M","-0.96%"</t>
  </si>
  <si>
    <t>01/23/2020,"119,528","118,391","119,535","116,906","6.57M","0.96%"</t>
  </si>
  <si>
    <t>01/22/2020,"118,391","117,035","118,401","117,035","5.77M","1.17%"</t>
  </si>
  <si>
    <t>01/21/2020,"117,026","118,861","118,861","117,026","5.09M","-1.54%"</t>
  </si>
  <si>
    <t>01/20/2020,"118,862","118,478","118,862","117,928","3.84M","0.32%"</t>
  </si>
  <si>
    <t>01/17/2020,"118,478","116,710","118,479","116,710","4.95M","1.52%"</t>
  </si>
  <si>
    <t>01/16/2020,"116,704","116,415","117,106","115,961","5.42M","0.25%"</t>
  </si>
  <si>
    <t>01/15/2020,"116,414","117,632","117,632","116,188","5.57M","-1.04%"</t>
  </si>
  <si>
    <t>01/14/2020,"117,632","117,325","117,705","116,610","5.36M","0.26%"</t>
  </si>
  <si>
    <t>01/13/2020,"117,325","115,503","117,333","115,503","5.69M","1.58%"</t>
  </si>
  <si>
    <t>01/10/2020,"115,503","115,948","116,745","114,952","4.78M","-0.38%"</t>
  </si>
  <si>
    <t>01/09/2020,"115,947","116,248","116,820","115,411","5.95M","-0.26%"</t>
  </si>
  <si>
    <t>01/08/2020,"116,247","116,667","117,335","115,693","5.91M","-0.36%"</t>
  </si>
  <si>
    <t>01/07/2020,"116,662","116,872","117,076","115,965","4.85M","-0.18%"</t>
  </si>
  <si>
    <t>01/06/2020,"116,878","117,707","117,707","116,269","6.57M","-0.70%"</t>
  </si>
  <si>
    <t>01/03/2020,"117,707","118,564","118,792","117,341","6.83M","-0.73%"</t>
  </si>
  <si>
    <t>01/02/2020,"118,573","115,652","118,573","115,649","5.16M","2.53%"</t>
  </si>
  <si>
    <t>12/30/2019,"115,645","116,530","117,086","115,599","3.67M","-0.76%"</t>
  </si>
  <si>
    <t>12/27/2019,"116,534","117,205","117,803","115,995","3.91M","-0.57%"</t>
  </si>
  <si>
    <t>12/26/2019,"117,203","115,864","117,220","115,673","3.79M","1.16%"</t>
  </si>
  <si>
    <t>12/23/2019,"115,863","115,119","115,863","114,964","4.00M","0.64%"</t>
  </si>
  <si>
    <t>12/20/2019,"115,121","115,133","115,171","114,526","6.89M","-0.01%"</t>
  </si>
  <si>
    <t>12/19/2019,"115,131","114,313","115,132","113,712","5.78M","0.71%"</t>
  </si>
  <si>
    <t>12/18/2019,"114,315","112,618","114,339","112,300","7.94M","1.51%"</t>
  </si>
  <si>
    <t>12/17/2019,"112,616","111,897","112,695","111,897","5.35M","0.64%"</t>
  </si>
  <si>
    <t>12/16/2019,"111,896","112,565","113,197","111,896","6.08M","-0.59%"</t>
  </si>
  <si>
    <t>12/13/2019,"112,565","112,205","112,829","111,780","7.71M","0.33%"</t>
  </si>
  <si>
    <t>12/12/2019,"112,200","110,963","112,445","110,963","5.68M","1.11%"</t>
  </si>
  <si>
    <t>12/11/2019,"110,964","110,672","111,227","110,530","5.15M","0.26%"</t>
  </si>
  <si>
    <t>12/10/2019,"110,672","110,973","111,184","110,133","4.76M","-0.27%"</t>
  </si>
  <si>
    <t>12/09/2019,"110,977","111,125","111,453","110,870","4.99M","-0.13%"</t>
  </si>
  <si>
    <t>12/06/2019,"111,126","110,623","111,430","110,623","4.97M","0.46%"</t>
  </si>
  <si>
    <t>12/05/2019,"110,622","110,297","111,073","110,008","4.40M","0.29%"</t>
  </si>
  <si>
    <t>12/04/2019,"110,301","108,962","110,301","108,962","4.89M","1.23%"</t>
  </si>
  <si>
    <t>12/03/2019,"108,956","108,931","109,198","108,190","5.22M","0.03%"</t>
  </si>
  <si>
    <t>12/02/2019,"108,928","108,233","109,279","108,233","4.71M","0.64%"</t>
  </si>
  <si>
    <t>11/29/2019,"108,233","108,290","108,708","107,759","4.19M","-0.05%"</t>
  </si>
  <si>
    <t>11/28/2019,"108,290","107,708","108,333","107,148","3.67M","0.54%"</t>
  </si>
  <si>
    <t>11/27/2019,"107,708","107,059","107,991","106,312","4.42M","0.61%"</t>
  </si>
  <si>
    <t>11/26/2019,"107,059","108,424","108,424","106,414","6.90M","-1.26%"</t>
  </si>
  <si>
    <t>11/25/2019,"108,424","108,692","108,915","108,080","4.51M","-0.25%"</t>
  </si>
  <si>
    <t>11/22/2019,"108,692","107,497","108,692","107,157","4.80M","1.11%"</t>
  </si>
  <si>
    <t>11/21/2019,"107,497","105,866","107,497","105,864","5.82M","1.54%"</t>
  </si>
  <si>
    <t>11/19/2019,"105,864","106,269","106,950","105,367","3.61M","-0.38%"</t>
  </si>
  <si>
    <t>11/18/2019,"106,269","106,566","107,519","106,246","4.92M","-0.27%"</t>
  </si>
  <si>
    <t>11/14/2019,"106,557","106,052","106,758","105,820","5.36M","0.47%"</t>
  </si>
  <si>
    <t>11/13/2019,"106,060","106,751","106,786","105,261","5.34M","-0.65%"</t>
  </si>
  <si>
    <t>11/12/2019,"106,751","108,368","108,368","106,232","5.22M","-1.49%"</t>
  </si>
  <si>
    <t>11/11/2019,"108,367","107,622","108,367","106,814","3.93M","0.69%"</t>
  </si>
  <si>
    <t>11/08/2019,"107,629","109,572","109,572","107,127","5.42M","-1.78%"</t>
  </si>
  <si>
    <t>11/07/2019,"109,581","108,360","109,672","108,360","6.08M","1.13%"</t>
  </si>
  <si>
    <t>11/06/2019,"108,360","108,719","109,633","107,446","5.51M","-0.33%"</t>
  </si>
  <si>
    <t>11/05/2019,"108,719","108,779","109,343","108,253","5.66M","-0.06%"</t>
  </si>
  <si>
    <t>11/04/2019,"108,779","108,196","109,352","108,196","5.18M","0.54%"</t>
  </si>
  <si>
    <t>11/01/2019,"108,196","107,221","108,496","107,220","5.47M","0.91%"</t>
  </si>
  <si>
    <t>10/31/2019,"107,220","108,403","108,403","106,356","5.38M","-1.10%"</t>
  </si>
  <si>
    <t>10/30/2019,"108,408","107,557","108,408","106,622","5.45M","0.79%"</t>
  </si>
  <si>
    <t>10/29/2019,"107,556","108,189","108,195","107,313","4.31M","-0.58%"</t>
  </si>
  <si>
    <t>10/28/2019,"108,187","107,366","108,393","107,362","3.97M","0.77%"</t>
  </si>
  <si>
    <t>10/25/2019,"107,364","106,990","108,083","106,990","5.40M","0.35%"</t>
  </si>
  <si>
    <t>10/24/2019,"106,986","107,553","107,744","106,593","5.62M","-0.52%"</t>
  </si>
  <si>
    <t>10/23/2019,"107,544","107,381","107,959","107,041","4.66M","0.15%"</t>
  </si>
  <si>
    <t>10/22/2019,"107,381","106,023","107,421","105,927","5.22M","1.28%"</t>
  </si>
  <si>
    <t>10/21/2019,"106,022","104,729","106,027","104,696","3.50M","1.23%"</t>
  </si>
  <si>
    <t>10/18/2019,"104,729","105,012","105,464","104,525","4.48M","-0.27%"</t>
  </si>
  <si>
    <t>10/17/2019,"105,016","105,389","105,891","104,827","4.19M","-0.39%"</t>
  </si>
  <si>
    <t>10/16/2019,"105,423","104,486","105,462","103,521","4.51M","0.89%"</t>
  </si>
  <si>
    <t>10/15/2019,"104,490","104,299","105,048","104,052","4.09M","0.18%"</t>
  </si>
  <si>
    <t>10/14/2019,"104,302","103,834","104,305","103,438","2.99M","0.45%"</t>
  </si>
  <si>
    <t>10/11/2019,"103,832","101,819","104,381","101,819","4.35M","1.98%"</t>
  </si>
  <si>
    <t>10/10/2019,"101,817","101,244","102,483","101,152","4.37M","0.56%"</t>
  </si>
  <si>
    <t>10/09/2019,"101,249","100,005","101,567","100,005","3.94M","1.27%"</t>
  </si>
  <si>
    <t>10/08/2019,"99,981","100,565","101,296","99,868","4.34M","-0.59%"</t>
  </si>
  <si>
    <t>10/07/2019,"100,573","102,546","102,546","100,542","3.94M","-1.93%"</t>
  </si>
  <si>
    <t>10/04/2019,"102,551","101,516","102,580","101,057","4.65M","1.02%"</t>
  </si>
  <si>
    <t>10/03/2019,"101,516","101,031","101,560","99,826","4.67M","0.48%"</t>
  </si>
  <si>
    <t>10/02/2019,"101,031","104,049","104,049","100,944","5.07M","-2.90%"</t>
  </si>
  <si>
    <t>10/01/2019,"104,053","104,745","105,121","103,837","4.10M","-0.66%"</t>
  </si>
  <si>
    <t>09/30/2019,"104,745","105,077","105,178","104,638","3.90M","-0.32%"</t>
  </si>
  <si>
    <t>09/27/2019,"105,078","105,319","105,633","104,506","3.47M","-0.23%"</t>
  </si>
  <si>
    <t>09/26/2019,"105,319","104,485","105,342","104,337","4.14M","0.80%"</t>
  </si>
  <si>
    <t>09/25/2019,"104,481","103,857","104,481","103,034","4.12M","0.58%"</t>
  </si>
  <si>
    <t>09/24/2019,"103,876","104,638","104,893","103,504","3.97M","-0.73%"</t>
  </si>
  <si>
    <t>09/23/2019,"104,638","104,817","104,817","104,020","6.77M","-0.17%"</t>
  </si>
  <si>
    <t>09/20/2019,"104,817","104,339","105,044","103,914","6.77M","0.46%"</t>
  </si>
  <si>
    <t>09/19/2019,"104,339","104,555","106,001","104,286","4.92M","-0.18%"</t>
  </si>
  <si>
    <t>09/18/2019,"104,532","104,616","104,762","103,684","3.88M","-0.08%"</t>
  </si>
  <si>
    <t>09/17/2019,"104,617","103,680","104,619","103,079","4.57M","0.90%"</t>
  </si>
  <si>
    <t>09/16/2019,"103,680","103,496","104,005","102,782","6.04M","0.17%"</t>
  </si>
  <si>
    <t>09/13/2019,"103,501","104,371","104,699","103,275","4.04M","-0.83%"</t>
  </si>
  <si>
    <t>09/12/2019,"104,371","103,453","104,618","103,453","4.96M","0.89%"</t>
  </si>
  <si>
    <t>09/11/2019,"103,446","103,036","104,156","103,036","4.88M","0.40%"</t>
  </si>
  <si>
    <t>09/10/2019,"103,032","103,180","103,503","102,231","5.48M","-0.14%"</t>
  </si>
  <si>
    <t>09/09/2019,"103,181","102,937","104,260","102,793","5.52M","0.24%"</t>
  </si>
  <si>
    <t>09/06/2019,"102,935","102,247","103,182","102,246","3.98M","0.68%"</t>
  </si>
  <si>
    <t>09/05/2019,"102,243","101,204","103,258","101,204","4.81M","1.03%"</t>
  </si>
  <si>
    <t>09/04/2019,"101,201","99,706","101,201","99,706","4.31M","1.52%"</t>
  </si>
  <si>
    <t>09/03/2019,"99,681","100,626","101,417","99,406","4.33M","-0.94%"</t>
  </si>
  <si>
    <t>09/02/2019,"100,626","101,133","101,611","100,626","2.69M","-0.50%"</t>
  </si>
  <si>
    <t>08/30/2019,"101,135","100,526","101,551","100,526","6.11M","0.61%"</t>
  </si>
  <si>
    <t>08/29/2019,"100,524","98,194","100,684","98,194","5.16M","2.37%"</t>
  </si>
  <si>
    <t>08/28/2019,"98,194","97,273","98,346","96,557","4.35M","0.94%"</t>
  </si>
  <si>
    <t>08/27/2019,"97,276","96,434","97,951","95,855","6.58M","0.88%"</t>
  </si>
  <si>
    <t>08/26/2019,"96,430","97,687","98,436","95,961","4.14M","-1.27%"</t>
  </si>
  <si>
    <t>08/23/2019,"97,667","100,007","100,025","97,085","5.67M","-2.34%"</t>
  </si>
  <si>
    <t>08/22/2019,"100,011","101,209","101,469","100,011","4.50M","-1.18%"</t>
  </si>
  <si>
    <t>08/21/2019,"101,202","99,227","101,240","99,221","5.97M","2.00%"</t>
  </si>
  <si>
    <t>08/20/2019,"99,222","99,472","99,665","98,002","5.24M","-0.25%"</t>
  </si>
  <si>
    <t>08/19/2019,"99,469","99,810","100,948","98,908","4.92M","-0.34%"</t>
  </si>
  <si>
    <t>08/16/2019,"99,806","99,059","100,567","99,059","5.48M","0.76%"</t>
  </si>
  <si>
    <t>08/15/2019,"99,057","100,262","101,014","98,200","6.59M","-1.20%"</t>
  </si>
  <si>
    <t>08/14/2019,"100,258","103,270","103,270","99,955","6.49M","-2.94%"</t>
  </si>
  <si>
    <t>08/13/2019,"103,299","101,912","103,778","101,414","5.20M","1.36%"</t>
  </si>
  <si>
    <t>08/12/2019,"101,915","103,946","103,946","101,621","4.51M","-2.00%"</t>
  </si>
  <si>
    <t>08/09/2019,"103,996","104,102","104,848","103,547","4.69M","-0.11%"</t>
  </si>
  <si>
    <t>08/08/2019,"104,115","102,782","104,282","102,782","5.71M","1.30%"</t>
  </si>
  <si>
    <t>08/07/2019,"102,782","102,163","102,784","100,476","5.74M","0.60%"</t>
  </si>
  <si>
    <t>08/06/2019,"102,164","100,098","102,178","100,098","5.23M","2.06%"</t>
  </si>
  <si>
    <t>08/05/2019,"100,098","102,658","102,658","99,630","5.16M","-2.51%"</t>
  </si>
  <si>
    <t>08/02/2019,"102,674","102,122","103,180","101,667","5.08M","0.54%"</t>
  </si>
  <si>
    <t>08/01/2019,"102,126","101,819","104,056","101,819","7.35M","0.31%"</t>
  </si>
  <si>
    <t>07/31/2019,"101,812","102,946","103,129","100,950","5.23M","-1.09%"</t>
  </si>
  <si>
    <t>07/30/2019,"102,933","103,483","103,555","102,596","4.19M","-0.53%"</t>
  </si>
  <si>
    <t>07/29/2019,"103,483","102,817","103,483","102,461","3.67M","0.65%"</t>
  </si>
  <si>
    <t>07/26/2019,"102,819","102,654","103,209","102,196","5.30M","0.16%"</t>
  </si>
  <si>
    <t>07/25/2019,"102,655","104,119","104,440","102,390","5.98M","-1.41%"</t>
  </si>
  <si>
    <t>07/24/2019,"104,120","103,707","104,570","103,707","5.02M","0.40%"</t>
  </si>
  <si>
    <t>07/23/2019,"103,704","103,949","104,430","103,518","4.18M","-0.24%"</t>
  </si>
  <si>
    <t>07/22/2019,"103,949","103,452","104,278","103,452","3.57M","0.48%"</t>
  </si>
  <si>
    <t>07/19/2019,"103,452","104,716","104,723","103,388","3.59M","-1.21%"</t>
  </si>
  <si>
    <t>07/18/2019,"104,717","103,859","104,773","103,859","4.55M","0.83%"</t>
  </si>
  <si>
    <t>07/17/2019,"103,856","103,775","104,453","103,712","3.94M","0.08%"</t>
  </si>
  <si>
    <t>07/16/2019,"103,775","103,805","104,440","103,361","4.61M","-0.03%"</t>
  </si>
  <si>
    <t>07/15/2019,"103,803","103,909","104,578","103,495","4.12M","-0.10%"</t>
  </si>
  <si>
    <t>07/12/2019,"103,906","105,158","105,731","103,903","4.89M","-1.18%"</t>
  </si>
  <si>
    <t>07/11/2019,"105,146","105,818","105,886","104,814","5.00M","-0.63%"</t>
  </si>
  <si>
    <t>07/10/2019,"105,817","104,537","106,650","104,537","7.03M","1.23%"</t>
  </si>
  <si>
    <t>07/08/2019,"104,530","104,090","104,679","103,988","3.61M","0.42%"</t>
  </si>
  <si>
    <t>07/05/2019,"104,089","103,628","104,176","102,622","4.34M","0.44%"</t>
  </si>
  <si>
    <t>07/04/2019,"103,636","102,047","104,022","102,047","4.10M","1.56%"</t>
  </si>
  <si>
    <t>07/03/2019,"102,043","100,576","102,177","100,451","4.95M","1.43%"</t>
  </si>
  <si>
    <t>07/02/2019,"100,605","101,342","101,565","100,073","5.10M","-0.73%"</t>
  </si>
  <si>
    <t>07/01/2019,"101,340","100,973","102,432","100,973","424.32K","0.37%"</t>
  </si>
  <si>
    <t>06/28/2019,"100,967","100,726","101,563","100,726","4.21M","0.24%"</t>
  </si>
  <si>
    <t>06/27/2019,"100,724","100,689","101,025","99,421","4.28M","0.03%"</t>
  </si>
  <si>
    <t>06/26/2019,"100,689","100,095","101,126","100,095","5.17M","0.60%"</t>
  </si>
  <si>
    <t>06/25/2019,"100,093","102,061","102,061","99,890","4.61M","-1.93%"</t>
  </si>
  <si>
    <t>06/24/2019,"102,062","102,018","102,617","101,589","3.67M","0.05%"</t>
  </si>
  <si>
    <t>06/21/2019,"102,013","100,305","102,100","100,305","5.66M","1.70%"</t>
  </si>
  <si>
    <t>06/19/2019,"100,303","99,403","100,327","98,978","4.55M","0.90%"</t>
  </si>
  <si>
    <t>06/18/2019,"99,404","97,633","99,412","97,633","4.66M","1.82%"</t>
  </si>
  <si>
    <t>06/17/2019,"97,623","98,038","98,439","97,623","4.05M","-0.43%"</t>
  </si>
  <si>
    <t>06/14/2019,"98,040","98,776","98,981","97,601","9.47M","-0.74%"</t>
  </si>
  <si>
    <t>06/13/2019,"98,774","98,321","99,364","98,321","5.77M","0.46%"</t>
  </si>
  <si>
    <t>06/12/2019,"98,321","98,960","99,240","97,831","5.10M","-0.65%"</t>
  </si>
  <si>
    <t>06/11/2019,"98,960","97,467","98,985","97,467","5.08M","1.53%"</t>
  </si>
  <si>
    <t>06/10/2019,"97,467","97,828","97,856","96,782","3.69M","-0.36%"</t>
  </si>
  <si>
    <t>06/07/2019,"97,821","97,205","98,326","97,205","3.83M","0.63%"</t>
  </si>
  <si>
    <t>06/06/2019,"97,205","96,002","97,462","96,002","4.18M","1.26%"</t>
  </si>
  <si>
    <t>06/05/2019,"95,999","97,381","97,686","95,686","3.89M","-1.42%"</t>
  </si>
  <si>
    <t>06/04/2019,"97,380","97,020","97,723","96,593","4.43M","0.37%"</t>
  </si>
  <si>
    <t>06/03/2019,"97,020","97,036","97,757","96,430","4.69M","-0.01%"</t>
  </si>
  <si>
    <t>05/31/2019,"97,030","97,420","97,992","96,792","5.25M","-0.44%"</t>
  </si>
  <si>
    <t>05/30/2019,"97,457","96,566","97,939","96,511","4.53M","0.92%"</t>
  </si>
  <si>
    <t>05/29/2019,"96,567","96,389","96,986","95,690","4.70M","0.18%"</t>
  </si>
  <si>
    <t>05/28/2019,"96,393","94,863","96,552","94,707","6.58M","1.61%"</t>
  </si>
  <si>
    <t>05/27/2019,"94,864","93,626","95,444","93,626","2.62M","1.32%"</t>
  </si>
  <si>
    <t>05/24/2019,"93,628","93,912","94,900","93,545","3.59M","-0.30%"</t>
  </si>
  <si>
    <t>05/23/2019,"93,910","94,360","94,547","93,300","3.90M","-0.48%"</t>
  </si>
  <si>
    <t>05/22/2019,"94,361","94,485","95,212","93,883","4.36M","-0.13%"</t>
  </si>
  <si>
    <t>05/21/2019,"94,485","91,946","94,573","91,946","5.56M","2.76%"</t>
  </si>
  <si>
    <t>05/20/2019,"91,946","90,006","92,117","89,822","4.76M","2.17%"</t>
  </si>
  <si>
    <t>05/17/2019,"89,993","90,023","91,321","89,409","5.51M","-0.03%"</t>
  </si>
  <si>
    <t>05/16/2019,"90,024","91,622","91,622","89,778","5.74M","-1.75%"</t>
  </si>
  <si>
    <t>05/15/2019,"91,623","92,088","92,088","90,295","4.94M","-0.51%"</t>
  </si>
  <si>
    <t>05/14/2019,"92,092","91,736","92,529","91,562","4.17M","0.40%"</t>
  </si>
  <si>
    <t>05/13/2019,"91,727","94,252","94,252","91,600","4.81M","-2.69%"</t>
  </si>
  <si>
    <t>05/10/2019,"94,258","94,809","94,848","93,234","4.22M","-0.58%"</t>
  </si>
  <si>
    <t>05/09/2019,"94,808","95,597","95,597","93,883","4.28M","-0.83%"</t>
  </si>
  <si>
    <t>05/08/2019,"95,597","94,389","96,312","94,389","5.07M","1.28%"</t>
  </si>
  <si>
    <t>05/07/2019,"94,389","95,009","95,009","92,750","5.06M","-0.65%"</t>
  </si>
  <si>
    <t>05/06/2019,"95,009","95,992","95,992","94,540","3.32M","-1.04%"</t>
  </si>
  <si>
    <t>05/03/2019,"96,008","95,521","96,315","95,521","4.14M","0.50%"</t>
  </si>
  <si>
    <t>05/02/2019,"95,528","96,339","96,339","95,312","3.98M","-0.86%"</t>
  </si>
  <si>
    <t>04/30/2019,"96,353","96,191","96,707","95,613","4.36M","0.17%"</t>
  </si>
  <si>
    <t>04/29/2019,"96,188","96,254","97,123","96,004","3.33M","-0.05%"</t>
  </si>
  <si>
    <t>04/26/2019,"96,236","96,552","96,563","95,620","3.88M","-0.33%"</t>
  </si>
  <si>
    <t>04/25/2019,"96,552","95,027","96,552","94,213","5.03M","1.59%"</t>
  </si>
  <si>
    <t>04/24/2019,"95,045","95,923","95,923","94,163","4.80M","-0.92%"</t>
  </si>
  <si>
    <t>04/23/2019,"95,923","94,590","96,315","94,590","4.44M","1.41%"</t>
  </si>
  <si>
    <t>04/22/2019,"94,588","94,578","95,038","93,720","3.27M","0.01%"</t>
  </si>
  <si>
    <t>04/18/2019,"94,578","93,285","95,140","93,285","5.09M","1.39%"</t>
  </si>
  <si>
    <t>04/17/2019,"93,285","94,337","95,042","92,338","6.66M","-1.11%"</t>
  </si>
  <si>
    <t>04/16/2019,"94,333","93,082","95,062","92,879","4.72M","1.34%"</t>
  </si>
  <si>
    <t>04/15/2019,"93,083","92,875","93,723","92,697","4.77M","0.22%"</t>
  </si>
  <si>
    <t>04/12/2019,"92,875","94,747","94,768","92,516","6.93M","-1.98%"</t>
  </si>
  <si>
    <t>04/11/2019,"94,755","95,954","95,954","94,173","3.64M","-1.25%"</t>
  </si>
  <si>
    <t>04/10/2019,"95,953","96,292","96,902","95,670","4.72M","-0.35%"</t>
  </si>
  <si>
    <t>04/09/2019,"96,292","97,366","97,366","95,488","3.85M","-1.11%"</t>
  </si>
  <si>
    <t>04/08/2019,"97,369","97,110","97,610","96,743","3.54M","0.27%"</t>
  </si>
  <si>
    <t>04/05/2019,"97,108","96,319","97,493","96,152","3.80M","0.83%"</t>
  </si>
  <si>
    <t>04/04/2019,"96,313","94,503","96,394","94,334","4.21M","1.93%"</t>
  </si>
  <si>
    <t>04/03/2019,"94,491","95,392","96,442","94,124","4.44M","-0.94%"</t>
  </si>
  <si>
    <t>04/02/2019,"95,387","96,062","96,690","94,825","3.83M","-0.69%"</t>
  </si>
  <si>
    <t>04/01/2019,"96,054","95,423","96,752","95,423","3.87M","0.67%"</t>
  </si>
  <si>
    <t>03/29/2019,"95,415","94,402","95,863","94,402","4.82M","1.09%"</t>
  </si>
  <si>
    <t>03/28/2019,"94,389","91,901","94,854","91,584","5.35M","2.71%"</t>
  </si>
  <si>
    <t>03/27/2019,"91,903","95,297","95,297","91,903","5.90M","-3.57%"</t>
  </si>
  <si>
    <t>03/26/2019,"95,307","93,668","95,525","93,668","4.80M","1.76%"</t>
  </si>
  <si>
    <t>03/25/2019,"93,662","93,735","94,384","93,103","4.65M","-0.08%"</t>
  </si>
  <si>
    <t>03/22/2019,"93,735","96,725","96,725","93,380","6.19M","-3.10%"</t>
  </si>
  <si>
    <t>03/21/2019,"96,729","98,041","98,046","95,456","5.49M","-1.34%"</t>
  </si>
  <si>
    <t>03/20/2019,"98,041","99,588","99,708","97,981","4.78M","-1.55%"</t>
  </si>
  <si>
    <t>03/19/2019,"99,588","99,991","100,439","99,373","5.39M","-0.41%"</t>
  </si>
  <si>
    <t>03/18/2019,"99,994","99,141","100,038","99,141","4.33M","0.86%"</t>
  </si>
  <si>
    <t>03/15/2019,"99,137","98,605","99,393","98,597","5.30M","0.54%"</t>
  </si>
  <si>
    <t>03/14/2019,"98,605","98,905","99,036","97,776","3.70M","-0.30%"</t>
  </si>
  <si>
    <t>03/13/2019,"98,904","97,831","99,267","97,464","4.96M","1.10%"</t>
  </si>
  <si>
    <t>03/12/2019,"97,828","98,038","98,150","97,267","3.95M","-0.20%"</t>
  </si>
  <si>
    <t>03/11/2019,"98,027","95,384","98,027","95,384","4.38M","2.79%"</t>
  </si>
  <si>
    <t>03/08/2019,"95,365","94,340","95,476","93,305","4.18M","1.09%"</t>
  </si>
  <si>
    <t>03/07/2019,"94,340","94,216","94,532","93,729","4.23M","0.13%"</t>
  </si>
  <si>
    <t>03/06/2019,"94,217","94,604","94,889","93,945","2.80M","-0.41%"</t>
  </si>
  <si>
    <t>03/01/2019,"94,604","95,584","96,113","94,394","4.18M","-1.03%"</t>
  </si>
  <si>
    <t>02/28/2019,"95,584","97,307","97,528","95,364","5.53M","-1.77%"</t>
  </si>
  <si>
    <t>02/27/2019,"97,307","97,602","97,782","96,886","3.99M","-0.30%"</t>
  </si>
  <si>
    <t>02/26/2019,"97,602","97,242","97,904","97,235","3.66M","0.37%"</t>
  </si>
  <si>
    <t>02/25/2019,"97,240","97,881","98,190","97,087","4.49M","-0.66%"</t>
  </si>
  <si>
    <t>02/22/2019,"97,886","96,929","97,887","96,929","4.56M","0.98%"</t>
  </si>
  <si>
    <t>02/21/2019,"96,932","96,546","97,231","95,793","5.99M","0.40%"</t>
  </si>
  <si>
    <t>02/20/2019,"96,545","97,661","98,544","96,545","6.09M","-1.14%"</t>
  </si>
  <si>
    <t>02/19/2019,"97,659","96,513","98,185","96,513","4.98M","1.19%"</t>
  </si>
  <si>
    <t>02/18/2019,"96,510","97,527","97,527","96,239","2.92M","-1.04%"</t>
  </si>
  <si>
    <t>02/15/2019,"97,526","98,015","98,238","97,083","4.73M","-0.50%"</t>
  </si>
  <si>
    <t>02/14/2019,"98,015","95,843","98,019","94,915","5.38M","2.27%"</t>
  </si>
  <si>
    <t>02/13/2019,"95,842","96,169","96,804","95,389","5.99M","-0.34%"</t>
  </si>
  <si>
    <t>02/12/2019,"96,168","94,420","96,571","94,420","5.07M","1.86%"</t>
  </si>
  <si>
    <t>02/11/2019,"94,413","95,351","95,499","93,737","3.88M","-0.98%"</t>
  </si>
  <si>
    <t>02/08/2019,"95,343","94,401","95,486","93,424","5.47M","0.99%"</t>
  </si>
  <si>
    <t>02/07/2019,"94,406","94,654","95,642","93,507","5.79M","-0.24%"</t>
  </si>
  <si>
    <t>02/06/2019,"94,636","98,308","98,308","94,636","5.63M","-3.74%"</t>
  </si>
  <si>
    <t>02/05/2019,"98,311","98,587","98,587","97,596","4.92M","-0.28%"</t>
  </si>
  <si>
    <t>02/04/2019,"98,589","97,861","98,589","96,901","4.41M","0.74%"</t>
  </si>
  <si>
    <t>02/01/2019,"97,861","97,395","98,044","96,990","4.43M","0.48%"</t>
  </si>
  <si>
    <t>01/31/2019,"97,394","96,996","98,405","96,996","6.16M","0.41%"</t>
  </si>
  <si>
    <t>01/30/2019,"96,996","95,643","97,107","95,643","6.36M","1.42%"</t>
  </si>
  <si>
    <t>01/29/2019,"95,639","95,508","96,751","95,508","5.42M","0.20%"</t>
  </si>
  <si>
    <t>01/28/2019,"95,444","97,674","97,937","94,783","7.41M","-2.29%"</t>
  </si>
  <si>
    <t>01/24/2019,"97,677","96,558","97,677","96,558","5.17M","1.16%"</t>
  </si>
  <si>
    <t>01/23/2019,"96,558","95,116","96,576","95,116","5.20M","1.53%"</t>
  </si>
  <si>
    <t>01/22/2019,"95,103","96,008","96,070","94,662","4.39M","-0.94%"</t>
  </si>
  <si>
    <t>01/21/2019,"96,010","96,093","96,093","94,863","2.80M","-0.09%"</t>
  </si>
  <si>
    <t>01/18/2019,"96,097","95,386","96,396","95,386","5.04M","0.78%"</t>
  </si>
  <si>
    <t>01/17/2019,"95,351","94,393","95,682","93,950","5.10M","1.01%"</t>
  </si>
  <si>
    <t>01/16/2019,"94,393","94,057","94,393","93,687","4.39M","0.36%"</t>
  </si>
  <si>
    <t>01/15/2019,"94,056","94,474","94,695","93,402","5.01M","-0.44%"</t>
  </si>
  <si>
    <t>01/14/2019,"94,474","93,645","94,474","93,335","4.63M","0.87%"</t>
  </si>
  <si>
    <t>01/11/2019,"93,658","93,806","93,961","93,359","5.50M","-0.16%"</t>
  </si>
  <si>
    <t>01/10/2019,"93,806","93,599","93,987","93,050","4.99M","0.21%"</t>
  </si>
  <si>
    <t>01/09/2019,"93,613","92,033","93,626","92,028","5.17M","1.72%"</t>
  </si>
  <si>
    <t>01/08/2019,"92,032","91,699","92,231","91,064","4.64M","0.36%"</t>
  </si>
  <si>
    <t>01/07/2019,"91,699","91,845","92,552","91,288","4.71M","-0.15%"</t>
  </si>
  <si>
    <t>01/04/2019,"91,841","91,577","92,701","90,824","5.49M","0.30%"</t>
  </si>
  <si>
    <t>01/03/2019,"91,564","91,011","91,596","89,922","6.25M","0.61%"</t>
  </si>
  <si>
    <t>01/02/2019,"91,012","87,887","91,479","87,536","5.79M","3.56%"</t>
  </si>
  <si>
    <t>12/28/2018,"87,887","85,469","88,044","85,469","3.76M","2.84%"</t>
  </si>
  <si>
    <t>12/27/2018,"85,460","85,141","85,739","84,876","3.94M","0.38%"</t>
  </si>
  <si>
    <t>12/26/2018,"85,136","85,684","85,684","83,892","3.46M","-0.65%"</t>
  </si>
  <si>
    <t>12/21/2018,"85,697","85,269","86,554","85,134","6.26M","0.50%"</t>
  </si>
  <si>
    <t>12/20/2018,"85,269","85,678","86,584","84,756","6.29M","-0.47%"</t>
  </si>
  <si>
    <t>12/19/2018,"85,674","86,617","88,101","85,674","5.84M","-1.08%"</t>
  </si>
  <si>
    <t>12/18/2018,"86,610","86,400","87,274","86,400","4.22M","0.24%"</t>
  </si>
  <si>
    <t>12/17/2018,"86,400","87,448","87,820","86,328","3.97M","-1.20%"</t>
  </si>
  <si>
    <t>12/14/2018,"87,450","87,838","88,184","87,106","3.66M","-0.44%"</t>
  </si>
  <si>
    <t>12/13/2018,"87,838","86,979","87,842","86,856","3.77M","0.99%"</t>
  </si>
  <si>
    <t>12/12/2018,"86,977","86,420","87,946","86,420","5.16M","0.64%"</t>
  </si>
  <si>
    <t>12/11/2018,"86,420","85,918","87,520","85,583","4.53M","0.59%"</t>
  </si>
  <si>
    <t>12/10/2018,"85,915","88,115","88,384","85,915","4.21M","-2.50%"</t>
  </si>
  <si>
    <t>12/07/2018,"88,115","88,849","89,986","87,907","4.62M","-0.82%"</t>
  </si>
  <si>
    <t>12/06/2018,"88,846","88,933","88,933","87,025","4.51M","-0.22%"</t>
  </si>
  <si>
    <t>12/05/2018,"89,040","88,644","89,111","88,449","2.88M","0.47%"</t>
  </si>
  <si>
    <t>12/04/2018,"88,624","89,820","90,452","88,041","5.03M","-1.33%"</t>
  </si>
  <si>
    <t>12/03/2018,"89,820","89,511","91,242","89,429","6.12M","0.35%"</t>
  </si>
  <si>
    <t>11/30/2018,"89,504","89,709","90,246","89,258","6.95M","-0.23%"</t>
  </si>
  <si>
    <t>11/29/2018,"89,710","89,249","89,910","88,475","4.39M","0.51%"</t>
  </si>
  <si>
    <t>11/28/2018,"89,251","87,891","89,483","87,153","5.46M","1.55%"</t>
  </si>
  <si>
    <t>11/27/2018,"87,891","85,547","88,018","85,377","5.12M","2.74%"</t>
  </si>
  <si>
    <t>11/26/2018,"85,547","86,237","87,147","84,905","4.70M","-0.79%"</t>
  </si>
  <si>
    <t>11/23/2018,"86,230","87,479","87,479","85,763","4.28M","-1.43%"</t>
  </si>
  <si>
    <t>11/22/2018,"87,477","87,269","87,656","87,222","2.31M","0.24%"</t>
  </si>
  <si>
    <t>11/21/2018,"87,269","87,896","87,896","86,254","4.27M","-0.72%"</t>
  </si>
  <si>
    <t>11/19/2018,"87,901","88,472","88,484","87,047","3.75M","-0.69%"</t>
  </si>
  <si>
    <t>11/16/2018,"88,515","85,975","88,516","85,975","5.34M","2.96%"</t>
  </si>
  <si>
    <t>11/14/2018,"85,973","84,898","85,973","84,267","5.76M","1.25%"</t>
  </si>
  <si>
    <t>11/13/2018,"84,914","85,531","85,941","84,071","4.55M","-0.71%"</t>
  </si>
  <si>
    <t>11/12/2018,"85,525","85,644","86,227","85,009","3.64M","-0.14%"</t>
  </si>
  <si>
    <t>11/09/2018,"85,641","85,620","86,233","84,030","4.96M","0.02%"</t>
  </si>
  <si>
    <t>11/08/2018,"85,620","87,719","88,570","85,620","5.46M","-2.39%"</t>
  </si>
  <si>
    <t>11/07/2018,"87,714","88,676","89,565","87,541","4.51M","-1.08%"</t>
  </si>
  <si>
    <t>11/06/2018,"88,669","89,587","89,587","88,066","4.50M","-1.04%"</t>
  </si>
  <si>
    <t>11/05/2018,"89,598","88,418","89,598","88,347","4.76M","1.33%"</t>
  </si>
  <si>
    <t>11/01/2018,"88,419","87,428","89,017","87,094","6.06M","1.14%"</t>
  </si>
  <si>
    <t>10/31/2018,"87,424","86,889","88,028","86,213","6.07M","0.62%"</t>
  </si>
  <si>
    <t>10/30/2018,"86,886","83,802","86,990","83,802","6.76M","3.69%"</t>
  </si>
  <si>
    <t>10/29/2018,"83,797","85,728","88,377","82,783","7.97M","-2.24%"</t>
  </si>
  <si>
    <t>10/26/2018,"85,720","84,084","85,720","83,497","6.67M","1.95%"</t>
  </si>
  <si>
    <t>10/25/2018,"84,084","83,124","84,831","83,124","5.53M","1.23%"</t>
  </si>
  <si>
    <t>10/24/2018,"83,064","85,302","85,786","83,035","4.82M","-2.62%"</t>
  </si>
  <si>
    <t>10/23/2018,"85,300","85,595","85,595","84,032","4.52M","-0.35%"</t>
  </si>
  <si>
    <t>10/22/2018,"85,597","84,222","85,772","84,222","3.99M","1.64%"</t>
  </si>
  <si>
    <t>10/19/2018,"84,220","83,845","84,954","83,667","3.87M","0.44%"</t>
  </si>
  <si>
    <t>10/18/2018,"83,847","85,760","85,760","83,846","4.21M","-2.24%"</t>
  </si>
  <si>
    <t>10/17/2018,"85,764","85,714","86,167","84,944","5.01M","0.05%"</t>
  </si>
  <si>
    <t>10/16/2018,"85,718","83,420","85,718","83,420","4.96M","2.83%"</t>
  </si>
  <si>
    <t>10/15/2018,"83,360","82,922","84,278","82,922","4.93M","0.53%"</t>
  </si>
  <si>
    <t>10/11/2018,"82,921","83,700","84,749","82,607","5.35M","-0.91%"</t>
  </si>
  <si>
    <t>10/10/2018,"83,679","86,084","86,085","83,679","5.38M","-2.80%"</t>
  </si>
  <si>
    <t>10/09/2018,"86,088","86,053","86,573","85,433","6.66M","0.00%"</t>
  </si>
  <si>
    <t>10/08/2018,"86,084","82,324","87,333","82,324","10.31M","4.57%"</t>
  </si>
  <si>
    <t>10/05/2018,"82,322","82,972","83,805","82,030","5.56M","-0.76%"</t>
  </si>
  <si>
    <t>10/04/2018,"82,953","83,275","83,430","81,892","5.09M","-0.38%"</t>
  </si>
  <si>
    <t>10/03/2018,"83,273","81,624","85,442","81,623","7.85M","2.04%"</t>
  </si>
  <si>
    <t>10/02/2018,"81,612","78,625","81,778","78,625","6.13M","3.80%"</t>
  </si>
  <si>
    <t>10/01/2018,"78,624","79,350","79,557","78,091","3.23M","-0.90%"</t>
  </si>
  <si>
    <t>09/28/2018,"79,342","80,000","80,000","78,967","4.19M","-0.82%"</t>
  </si>
  <si>
    <t>09/27/2018,"80,000","78,676","80,107","78,676","4.61M","1.71%"</t>
  </si>
  <si>
    <t>09/26/2018,"78,656","78,634","79,461","78,530","3.85M","0.03%"</t>
  </si>
  <si>
    <t>09/25/2018,"78,630","77,980","78,688","77,005","3.81M","0.83%"</t>
  </si>
  <si>
    <t>09/24/2018,"77,984","79,447","79,447","77,857","2.91M","-1.84%"</t>
  </si>
  <si>
    <t>09/21/2018,"79,444","78,116","80,002","78,116","4.81M","1.70%"</t>
  </si>
  <si>
    <t>09/20/2018,"78,116","78,169","78,944","77,820","3.23M","-0.07%"</t>
  </si>
  <si>
    <t>09/19/2018,"78,169","78,268","79,021","77,624","3.90M","-0.19%"</t>
  </si>
  <si>
    <t>09/18/2018,"78,314","76,781","78,454","76,677","4.30M","1.99%"</t>
  </si>
  <si>
    <t>09/17/2018,"76,789","75,428","76,893","75,227","3.50M","1.80%"</t>
  </si>
  <si>
    <t>09/14/2018,"75,429","74,687","75,705","74,445","3.33M","0.99%"</t>
  </si>
  <si>
    <t>09/13/2018,"74,687","75,126","75,407","74,501","3.16M","-0.58%"</t>
  </si>
  <si>
    <t>09/12/2018,"75,125","74,680","75,680","74,499","3.82M","0.63%"</t>
  </si>
  <si>
    <t>09/11/2018,"74,657","76,437","76,437","74,275","3.51M","-2.33%"</t>
  </si>
  <si>
    <t>09/10/2018,"76,436","76,416","77,293","76,115","3.20M","0.03%"</t>
  </si>
  <si>
    <t>09/06/2018,"76,416","75,098","76,533","74,986","3.40M","1.76%"</t>
  </si>
  <si>
    <t>09/05/2018,"75,092","74,712","75,370","74,276","2.92M","0.51%"</t>
  </si>
  <si>
    <t>09/04/2018,"74,712","76,192","76,192","74,605","3.26M","-1.94%"</t>
  </si>
  <si>
    <t>09/03/2018,"76,193","76,675","76,675","75,729","1.73M","-0.63%"</t>
  </si>
  <si>
    <t>08/31/2018,"76,678","76,386","77,202","76,026","4.27M","0.36%"</t>
  </si>
  <si>
    <t>08/30/2018,"76,404","78,389","78,389","76,372","1.73M","-2.53%"</t>
  </si>
  <si>
    <t>08/29/2018,"78,389","77,472","78,783","77,399","3.22M","1.18%"</t>
  </si>
  <si>
    <t>08/28/2018,"77,473","77,928","78,038","77,149","3.06M","-0.59%"</t>
  </si>
  <si>
    <t>08/27/2018,"77,930","76,264","78,008","76,264","2.84M","2.19%"</t>
  </si>
  <si>
    <t>08/24/2018,"76,262","75,647","76,629","75,647","3.26M","0.83%"</t>
  </si>
  <si>
    <t>08/23/2018,"75,634","76,898","77,232","75,466","3.99M","-1.65%"</t>
  </si>
  <si>
    <t>08/22/2018,"76,902","75,171","76,904","74,876","3.72M","2.29%"</t>
  </si>
  <si>
    <t>08/21/2018,"75,180","76,327","76,340","74,915","4.20M","-1.50%"</t>
  </si>
  <si>
    <t>08/20/2018,"76,328","76,029","76,497","75,608","3.69M","0.39%"</t>
  </si>
  <si>
    <t>08/17/2018,"76,028","76,817","76,817","75,633","3.86M","-1.03%"</t>
  </si>
  <si>
    <t>08/16/2018,"76,819","77,085","77,704","76,381","3.39M","-0.34%"</t>
  </si>
  <si>
    <t>08/15/2018,"77,078","78,614","78,618","76,829","4.52M","-1.94%"</t>
  </si>
  <si>
    <t>08/14/2018,"78,602","77,499","78,742","77,499","3.83M","1.43%"</t>
  </si>
  <si>
    <t>08/13/2018,"77,496","76,513","77,689","75,931","4.08M","1.28%"</t>
  </si>
  <si>
    <t>08/10/2018,"76,514","78,766","78,766","76,043","4.83M","-2.86%"</t>
  </si>
  <si>
    <t>08/09/2018,"78,768","79,171","79,461","78,156","3.83M","-0.49%"</t>
  </si>
  <si>
    <t>08/08/2018,"79,152","80,347","80,912","78,966","3.95M","-1.49%"</t>
  </si>
  <si>
    <t>08/07/2018,"80,347","81,093","81,742","79,923","3.98M","-0.87%"</t>
  </si>
  <si>
    <t>08/06/2018,"81,051","81,445","81,765","80,965","2.59M","-0.47%"</t>
  </si>
  <si>
    <t>08/03/2018,"81,435","79,656","81,792","79,656","3.92M","2.26%"</t>
  </si>
  <si>
    <t>08/02/2018,"79,637","79,237","79,896","78,573","3.10M","0.42%"</t>
  </si>
  <si>
    <t>08/01/2018,"79,302","79,213","79,731","78,769","3.33M","0.10%"</t>
  </si>
  <si>
    <t>07/31/2018,"79,220","80,279","80,279","79,016","3.46M","-1.32%"</t>
  </si>
  <si>
    <t>07/30/2018,"80,276","79,866","80,492","79,699","2.71M","0.51%"</t>
  </si>
  <si>
    <t>07/27/2018,"79,866","79,405","80,251","79,405","3.11M","0.58%"</t>
  </si>
  <si>
    <t>07/26/2018,"79,405","80,242","80,589","79,081","3.71M","-1.01%"</t>
  </si>
  <si>
    <t>07/25/2018,"80,218","79,154","80,437","79,154","3.58M","1.34%"</t>
  </si>
  <si>
    <t>07/24/2018,"79,155","78,005","79,497","78,005","3.38M","1.49%"</t>
  </si>
  <si>
    <t>07/23/2018,"77,996","78,571","78,639","77,871","2.52M","-0.73%"</t>
  </si>
  <si>
    <t>07/20/2018,"78,571","77,500","79,489","77,500","4.89M","1.40%"</t>
  </si>
  <si>
    <t>07/19/2018,"77,487","77,360","77,487","75,890","3.90M","0.16%"</t>
  </si>
  <si>
    <t>07/18/2018,"77,363","78,124","78,496","77,164","3.50M","-0.98%"</t>
  </si>
  <si>
    <t>07/17/2018,"78,130","76,653","78,522","76,482","4.00M","1.93%"</t>
  </si>
  <si>
    <t>07/16/2018,"76,653","76,587","76,924","76,129","3.23M","0.08%"</t>
  </si>
  <si>
    <t>07/13/2018,"76,594","75,856","76,682","75,554","3.42M","0.97%"</t>
  </si>
  <si>
    <t>07/12/2018,"75,856","74,403","75,898","74,403","3.62M","1.96%"</t>
  </si>
  <si>
    <t>07/11/2018,"74,399","74,862","75,025","74,196","3.88M","-0.62%"</t>
  </si>
  <si>
    <t>07/10/2018,"74,862","75,015","75,895","74,431","4.02M","-0.20%"</t>
  </si>
  <si>
    <t>07/06/2018,"75,010","74,558","75,065","74,048","2.73M","0.61%"</t>
  </si>
  <si>
    <t>07/05/2018,"74,553","74,751","75,127","73,756","3.67M","-0.25%"</t>
  </si>
  <si>
    <t>07/04/2018,"74,743","73,667","74,904","73,450","2.21M","1.46%"</t>
  </si>
  <si>
    <t>07/03/2018,"73,668","72,848","74,515","72,848","3.35M","1.14%"</t>
  </si>
  <si>
    <t>07/02/2018,"72,840","72,763","72,840","71,935","2.84M","0.11%"</t>
  </si>
  <si>
    <t>06/29/2018,"72,763","71,779","73,020","71,779","4.00M","1.39%"</t>
  </si>
  <si>
    <t>06/28/2018,"71,767","70,609","72,092","70,439","3.62M","1.64%"</t>
  </si>
  <si>
    <t>06/27/2018,"70,609","71,405","72,032","70,134","3.70M","-1.11%"</t>
  </si>
  <si>
    <t>06/26/2018,"71,405","70,968","71,622","70,203","3.61M","0.64%"</t>
  </si>
  <si>
    <t>06/25/2018,"70,953","70,642","71,323","69,779","3.45M","0.44%"</t>
  </si>
  <si>
    <t>06/22/2018,"70,641","70,077","71,058","69,907","3.15M","0.81%"</t>
  </si>
  <si>
    <t>06/21/2018,"70,075","72,117","72,207","70,019","3.60M","-2.84%"</t>
  </si>
  <si>
    <t>06/20/2018,"72,123","71,397","72,617","71,155","4.55M","1.02%"</t>
  </si>
  <si>
    <t>06/19/2018,"71,394","69,811","72,010","69,069","5.35M","2.26%"</t>
  </si>
  <si>
    <t>06/18/2018,"69,815","70,757","70,757","69,360","3.58M","-1.33%"</t>
  </si>
  <si>
    <t>06/15/2018,"70,758","71,421","71,421","69,583","6.66M","-0.93%"</t>
  </si>
  <si>
    <t>06/14/2018,"71,421","72,151","72,708","71,344","4.41M","-0.97%"</t>
  </si>
  <si>
    <t>06/13/2018,"72,122","72,757","72,977","71,035","4.50M","-0.87%"</t>
  </si>
  <si>
    <t>06/12/2018,"72,754","72,308","73,322","72,124","4.01M","0.62%"</t>
  </si>
  <si>
    <t>06/11/2018,"72,308","72,943","73,716","71,843","3.67M","-0.87%"</t>
  </si>
  <si>
    <t>06/08/2018,"72,942","73,848","74,031","71,679","6.14M","-1.23%"</t>
  </si>
  <si>
    <t>06/07/2018,"73,851","76,117","76,117","71,162","8.17M","-2.98%"</t>
  </si>
  <si>
    <t>06/06/2018,"76,117","76,641","76,967","75,518","5.02M","-0.69%"</t>
  </si>
  <si>
    <t>06/05/2018,"76,642","78,595","78,892","76,412","4.64M","-2.49%"</t>
  </si>
  <si>
    <t>06/04/2018,"78,596","77,244","78,637","77,244","4.15M","1.76%"</t>
  </si>
  <si>
    <t>06/01/2018,"77,240","76,779","78,169","75,524","6.23M","0.63%"</t>
  </si>
  <si>
    <t>05/30/2018,"76,754","76,058","77,097","75,515","7.67M","0.90%"</t>
  </si>
  <si>
    <t>05/29/2018,"76,072","75,361","77,214","75,361","6.16M","0.95%"</t>
  </si>
  <si>
    <t>05/28/2018,"75,356","78,886","78,886","75,337","4.31M","-4.49%"</t>
  </si>
  <si>
    <t>05/25/2018,"78,898","80,123","80,629","78,622","4.81M","-1.53%"</t>
  </si>
  <si>
    <t>05/24/2018,"80,122","80,860","80,860","79,027","6.37M","-0.92%"</t>
  </si>
  <si>
    <t>05/23/2018,"80,867","82,742","82,742","80,867","4.00M","-2.26%"</t>
  </si>
  <si>
    <t>05/22/2018,"82,739","81,817","83,396","81,613","4.93M","1.13%"</t>
  </si>
  <si>
    <t>05/21/2018,"81,815","83,095","83,883","81,576","4.37M","-1.52%"</t>
  </si>
  <si>
    <t>05/18/2018,"83,082","83,614","83,614","81,391","5.91M","-0.65%"</t>
  </si>
  <si>
    <t>05/17/2018,"83,622","86,537","86,537","83,377","5.68M","-3.37%"</t>
  </si>
  <si>
    <t>05/16/2018,"86,537","85,122","86,678","85,044","3.82M","1.65%"</t>
  </si>
  <si>
    <t>05/15/2018,"85,130","85,225","85,231","83,830","4.54M","-0.12%"</t>
  </si>
  <si>
    <t>05/14/2018,"85,232","85,222","86,105","84,688","4.21M","0.01%"</t>
  </si>
  <si>
    <t>05/11/2018,"85,220","85,861","86,406","85,183","4.52M","-0.75%"</t>
  </si>
  <si>
    <t>05/10/2018,"85,861","84,284","86,201","84,284","4.75M","1.89%"</t>
  </si>
  <si>
    <t>05/09/2018,"84,265","82,977","84,447","82,855","4.84M","1.58%"</t>
  </si>
  <si>
    <t>05/08/2018,"82,956","82,715","83,409","82,201","4.07M","0.29%"</t>
  </si>
  <si>
    <t>05/07/2018,"82,714","83,122","83,643","82,602","2.93M","-0.49%"</t>
  </si>
  <si>
    <t>05/04/2018,"83,118","83,286","83,671","82,746","3.58M","-0.20%"</t>
  </si>
  <si>
    <t>05/03/2018,"83,288","84,547","84,562","83,178","4.10M","-1.49%"</t>
  </si>
  <si>
    <t>05/02/2018,"84,547","86,111","86,111","84,383","3.84M","-1.82%"</t>
  </si>
  <si>
    <t>04/30/2018,"86,115","86,443","86,739","85,979","2.25M","-0.38%"</t>
  </si>
  <si>
    <t>04/27/2018,"86,445","86,383","87,179","86,262","3.14M","0.07%"</t>
  </si>
  <si>
    <t>04/26/2018,"86,383","85,051","86,383","85,051","3.23M","1.57%"</t>
  </si>
  <si>
    <t>04/25/2018,"85,044","85,466","85,466","84,349","3.32M","-0.50%"</t>
  </si>
  <si>
    <t>04/24/2018,"85,469","85,603","86,578","85,106","2.93M","-0.16%"</t>
  </si>
  <si>
    <t>04/23/2018,"85,602","85,520","85,746","84,711","2.50M","0.06%"</t>
  </si>
  <si>
    <t>04/20/2018,"85,550","85,823","85,823","85,025","3.08M","-0.32%"</t>
  </si>
  <si>
    <t>04/19/2018,"85,824","85,775","86,059","85,197","3.63M","0.06%"</t>
  </si>
  <si>
    <t>04/18/2018,"85,776","84,090","86,149","84,090","4.33M","2.01%"</t>
  </si>
  <si>
    <t>04/17/2018,"84,086","82,862","84,191","82,810","2.71M","1.48%"</t>
  </si>
  <si>
    <t>04/16/2018,"82,862","84,328","84,591","82,762","3.00M","-1.75%"</t>
  </si>
  <si>
    <t>04/13/2018,"84,334","85,441","85,441","84,144","3.61M","-1.30%"</t>
  </si>
  <si>
    <t>04/12/2018,"85,444","85,246","85,577","85,025","2.92M","0.23%"</t>
  </si>
  <si>
    <t>04/11/2018,"85,246","84,494","85,417","84,340","3.47M","0.87%"</t>
  </si>
  <si>
    <t>04/10/2018,"84,510","83,312","84,538","83,312","3.63M","1.44%"</t>
  </si>
  <si>
    <t>04/09/2018,"83,307","84,832","85,110","83,155","3.27M","-1.78%"</t>
  </si>
  <si>
    <t>04/06/2018,"84,820","85,210","85,210","83,833","3.16M","-0.46%"</t>
  </si>
  <si>
    <t>04/05/2018,"85,210","84,374","86,148","84,374","4.39M","1.01%"</t>
  </si>
  <si>
    <t>04/04/2018,"84,360","84,610","84,610","82,826","3.04M","-0.31%"</t>
  </si>
  <si>
    <t>04/03/2018,"84,623","84,669","85,411","84,210","2.66M","-0.05%"</t>
  </si>
  <si>
    <t>04/02/2018,"84,666","85,365","85,675","84,166","2.68M","-0.82%"</t>
  </si>
  <si>
    <t>03/29/2018,"85,366","83,874","85,708","83,874","3.25M","1.78%"</t>
  </si>
  <si>
    <t>03/28/2018,"83,874","83,806","83,889","82,889","3.00M","0.08%"</t>
  </si>
  <si>
    <t>03/27/2018,"83,808","85,103","85,296","83,542","3.04M","-1.50%"</t>
  </si>
  <si>
    <t>03/26/2018,"85,088","84,377","85,553","84,357","2.43M","0.84%"</t>
  </si>
  <si>
    <t>03/23/2018,"84,377","84,766","85,450","84,042","3.28M","-0.46%"</t>
  </si>
  <si>
    <t>03/22/2018,"84,768","84,984","85,499","84,197","3.34M","-0.25%"</t>
  </si>
  <si>
    <t>03/21/2018,"84,977","84,166","85,145","84,080","3.36M","0.97%"</t>
  </si>
  <si>
    <t>03/20/2018,"84,164","83,919","84,412","83,682","2.76M","0.30%"</t>
  </si>
  <si>
    <t>03/19/2018,"83,913","84,886","84,886","83,678","3.43M","-1.15%"</t>
  </si>
  <si>
    <t>03/16/2018,"84,886","84,928","85,495","84,525","5.61M","-0.05%"</t>
  </si>
  <si>
    <t>03/15/2018,"84,928","86,051","86,051","84,720","3.96M","-1.31%"</t>
  </si>
  <si>
    <t>03/14/2018,"86,051","86,383","86,970","85,691","2.64M","-0.39%"</t>
  </si>
  <si>
    <t>03/13/2018,"86,384","86,902","87,333","86,119","2.82M","-0.59%"</t>
  </si>
  <si>
    <t>03/12/2018,"86,900","86,386","87,046","86,386","2.68M","0.61%"</t>
  </si>
  <si>
    <t>03/09/2018,"86,371","84,987","86,389","84,749","3.59M","1.63%"</t>
  </si>
  <si>
    <t>03/08/2018,"84,985","85,510","85,830","84,491","3.81M","-0.58%"</t>
  </si>
  <si>
    <t>03/07/2018,"85,484","85,653","85,653","84,397","3.56M","-0.20%"</t>
  </si>
  <si>
    <t>03/06/2018,"85,653","86,023","86,931","85,653","3.72M","-0.43%"</t>
  </si>
  <si>
    <t>03/05/2018,"86,023","85,761","86,165","85,053","3.53M","0.31%"</t>
  </si>
  <si>
    <t>03/02/2018,"85,761","85,378","85,761","83,897","4.00M","0.45%"</t>
  </si>
  <si>
    <t>03/01/2018,"85,378","85,337","86,260","84,640","4.48M","0.03%"</t>
  </si>
  <si>
    <t>02/28/2018,"85,354","86,939","87,109","85,199","6.13M","-1.82%"</t>
  </si>
  <si>
    <t>02/27/2018,"86,935","87,649","87,839","86,613","3.64M","-0.82%"</t>
  </si>
  <si>
    <t>02/26/2018,"87,653","87,296","88,318","87,242","4.17M","0.41%"</t>
  </si>
  <si>
    <t>02/23/2018,"87,293","86,690","87,345","86,138","4.31M","0.70%"</t>
  </si>
  <si>
    <t>02/22/2018,"86,686","86,050","87,159","86,050","3.65M","0.74%"</t>
  </si>
  <si>
    <t>02/21/2018,"86,052","85,804","87,358","85,804","4.96M","0.29%"</t>
  </si>
  <si>
    <t>02/20/2018,"85,804","84,792","86,290","84,261","4.20M","1.19%"</t>
  </si>
  <si>
    <t>02/19/2018,"84,793","84,525","84,956","84,525","2.15M","0.32%"</t>
  </si>
  <si>
    <t>02/16/2018,"84,525","84,291","84,575","83,824","3.58M","0.28%"</t>
  </si>
  <si>
    <t>02/15/2018,"84,291","83,551","84,686","83,551","3.60M","0.90%"</t>
  </si>
  <si>
    <t>02/14/2018,"83,543","80,901","83,782","80,901","4.03M","3.27%"</t>
  </si>
  <si>
    <t>02/09/2018,"80,899","81,532","81,897","79,690","4.42M","-0.78%"</t>
  </si>
  <si>
    <t>02/08/2018,"81,533","82,773","83,501","81,109","4.14M","-1.49%"</t>
  </si>
  <si>
    <t>02/07/2018,"82,767","83,894","84,410","82,548","4.01M","-1.34%"</t>
  </si>
  <si>
    <t>02/06/2018,"83,894","81,857","84,162","80,804","5.77M","2.48%"</t>
  </si>
  <si>
    <t>02/05/2018,"81,861","84,040","84,311","81,861","3.35M","-2.59%"</t>
  </si>
  <si>
    <t>02/02/2018,"84,041","85,495","85,495","83,831","3.48M","-1.70%"</t>
  </si>
  <si>
    <t>02/01/2018,"85,495","84,913","86,028","84,833","4.21M","0.69%"</t>
  </si>
  <si>
    <t>01/31/2018,"84,913","84,485","86,213","84,484","4.36M","0.51%"</t>
  </si>
  <si>
    <t>01/30/2018,"84,482","84,697","84,697","83,804","3.68M","-0.26%"</t>
  </si>
  <si>
    <t>01/29/2018,"84,698","85,531","85,531","84,341","4.01M","-0.97%"</t>
  </si>
  <si>
    <t>01/26/2018,"85,531","83,680","85,531","83,680","5.58M","2.21%"</t>
  </si>
  <si>
    <t>01/24/2018,"83,680","80,679","83,680","80,679","5.67M","3.72%"</t>
  </si>
  <si>
    <t>01/23/2018,"80,678","81,676","81,676","80,524","3.83M","-1.22%"</t>
  </si>
  <si>
    <t>01/22/2018,"81,675","81,220","81,675","80,923","2.78M","0.56%"</t>
  </si>
  <si>
    <t>01/19/2018,"81,220","80,965","81,429","80,854","3.22M","0.32%"</t>
  </si>
  <si>
    <t>01/18/2018,"80,963","81,185","81,367","80,498","3.54M","-0.28%"</t>
  </si>
  <si>
    <t>01/17/2018,"81,189","79,832","81,189","79,828","3.44M","1.70%"</t>
  </si>
  <si>
    <t>01/16/2018,"79,832","79,751","80,246","79,668","3.07M","0.10%"</t>
  </si>
  <si>
    <t>01/15/2018,"79,752","79,349","79,847","79,349","2.00M","0.51%"</t>
  </si>
  <si>
    <t>01/12/2018,"79,349","79,365","79,440","78,861","3.69M","-0.02%"</t>
  </si>
  <si>
    <t>01/11/2018,"79,365","78,201","79,365","78,201","3.51M","1.49%"</t>
  </si>
  <si>
    <t>01/10/2018,"78,201","78,864","78,864","78,164","2.85M","-0.84%"</t>
  </si>
  <si>
    <t>01/09/2018,"78,864","79,379","79,415","78,699","3.57M","-0.65%"</t>
  </si>
  <si>
    <t>01/08/2018,"79,379","79,070","79,395","78,631","2.63M","0.39%"</t>
  </si>
  <si>
    <t>01/05/2018,"79,071","78,644","79,071","78,218","2.83M","0.54%"</t>
  </si>
  <si>
    <t>01/04/2018,"78,647","77,998","79,135","77,998","3.59M","0.84%"</t>
  </si>
  <si>
    <t>01/03/2018,"77,995","77,889","78,414","77,602","3.24M","0.13%"</t>
  </si>
  <si>
    <t>01/02/2018,"77,891","76,403","77,909","76,403","2.97M","1.95%"</t>
  </si>
  <si>
    <t>12/28/2017,"76,402","76,077","76,437","76,077","2.15M","0.43%"</t>
  </si>
  <si>
    <t>12/27/2017,"76,073","75,708","76,293","75,708","1.85M","0.48%"</t>
  </si>
  <si>
    <t>12/26/2017,"75,708","75,187","75,837","74,924","1.63M","0.69%"</t>
  </si>
  <si>
    <t>12/22/2017,"75,187","75,128","75,227","74,623","1.97M","0.07%"</t>
  </si>
  <si>
    <t>12/21/2017,"75,133","73,367","75,133","73,265","3.15M","2.41%"</t>
  </si>
  <si>
    <t>12/20/2017,"73,367","72,680","73,492","72,680","2.29M","0.95%"</t>
  </si>
  <si>
    <t>12/19/2017,"72,680","73,122","73,139","72,347","2.42M","-0.59%"</t>
  </si>
  <si>
    <t>12/18/2017,"73,115","72,621","73,519","72,621","3.30M","0.70%"</t>
  </si>
  <si>
    <t>12/15/2017,"72,608","72,428","73,069","72,277","4.80M","0.25%"</t>
  </si>
  <si>
    <t>12/14/2017,"72,429","72,913","72,913","71,969","3.60M","-0.67%"</t>
  </si>
  <si>
    <t>12/13/2017,"72,914","73,827","74,622","72,569","4.63M","-1.22%"</t>
  </si>
  <si>
    <t>12/12/2017,"73,814","72,800","73,814","71,798","3.05M","1.39%"</t>
  </si>
  <si>
    <t>12/11/2017,"72,800","72,775","73,361","72,498","2.53M","0.09%"</t>
  </si>
  <si>
    <t>12/08/2017,"72,732","72,489","73,425","72,489","3.18M","0.34%"</t>
  </si>
  <si>
    <t>12/07/2017,"72,487","73,268","73,268","71,356","3.36M","-1.07%"</t>
  </si>
  <si>
    <t>12/06/2017,"73,268","72,535","73,418","71,906","3.20M","1.00%"</t>
  </si>
  <si>
    <t>12/05/2017,"72,546","73,090","74,166","72,319","3.00M","-0.74%"</t>
  </si>
  <si>
    <t>12/04/2017,"73,090","72,266","73,749","72,266","3.13M","1.14%"</t>
  </si>
  <si>
    <t>12/01/2017,"72,264","71,955","72,472","71,488","3.10M","0.41%"</t>
  </si>
  <si>
    <t>11/30/2017,"71,971","72,700","72,700","71,215","5.51M","-1.00%"</t>
  </si>
  <si>
    <t>11/29/2017,"72,700","74,146","74,515","72,700","3.75M","-1.94%"</t>
  </si>
  <si>
    <t>11/28/2017,"74,140","74,060","74,989","74,056","3.12M","0.11%"</t>
  </si>
  <si>
    <t>11/27/2017,"74,059","74,157","74,157","73,159","2.90M","-0.13%"</t>
  </si>
  <si>
    <t>11/24/2017,"74,157","74,503","74,542","74,093","2.59M","-0.44%"</t>
  </si>
  <si>
    <t>11/23/2017,"74,487","74,519","74,578","73,851","1.60M","-0.04%"</t>
  </si>
  <si>
    <t>11/22/2017,"74,519","74,611","75,019","74,242","3.52M","-0.10%"</t>
  </si>
  <si>
    <t>11/21/2017,"74,595","73,439","75,073","73,439","3.65M","1.58%"</t>
  </si>
  <si>
    <t>11/17/2017,"73,437","72,512","73,632","72,390","2.83M","1.28%"</t>
  </si>
  <si>
    <t>11/16/2017,"72,512","70,827","72,896","70,827","3.44M","2.38%"</t>
  </si>
  <si>
    <t>11/14/2017,"70,827","72,442","72,838","70,825","4.49M","-2.27%"</t>
  </si>
  <si>
    <t>11/13/2017,"72,475","72,167","72,735","71,776","2.87M","0.43%"</t>
  </si>
  <si>
    <t>11/10/2017,"72,166","72,932","73,019","71,920","3.24M","-1.05%"</t>
  </si>
  <si>
    <t>11/09/2017,"72,931","74,363","74,363","72,795","3.41M","-1.93%"</t>
  </si>
  <si>
    <t>11/08/2017,"74,363","72,468","74,481","72,468","3.51M","2.69%"</t>
  </si>
  <si>
    <t>11/07/2017,"72,415","74,306","74,306","72,386","5.04M","-2.55%"</t>
  </si>
  <si>
    <t>11/06/2017,"74,311","73,911","74,445","73,830","3.40M","0.54%"</t>
  </si>
  <si>
    <t>11/03/2017,"73,915","73,834","74,254","73,094","4.52M","0.12%"</t>
  </si>
  <si>
    <t>11/01/2017,"73,824","74,310","75,199","73,823","3.78M","-0.65%"</t>
  </si>
  <si>
    <t>10/31/2017,"74,308","74,798","75,142","74,145","3.66M","-0.66%"</t>
  </si>
  <si>
    <t>10/30/2017,"74,800","75,973","75,973","74,305","3.93M","-1.55%"</t>
  </si>
  <si>
    <t>10/27/2017,"75,976","75,898","76,617","75,601","3.54M","0.11%"</t>
  </si>
  <si>
    <t>10/26/2017,"75,896","76,671","77,061","75,813","2.99M","-1.01%"</t>
  </si>
  <si>
    <t>10/25/2017,"76,671","76,350","76,883","75,404","3.05M","0.42%"</t>
  </si>
  <si>
    <t>10/24/2017,"76,350","75,426","76,420","75,426","3.14M","1.24%"</t>
  </si>
  <si>
    <t>10/23/2017,"75,413","76,398","76,498","75,315","2.71M","-1.28%"</t>
  </si>
  <si>
    <t>10/20/2017,"76,391","76,291","76,971","76,291","2.73M","0.14%"</t>
  </si>
  <si>
    <t>10/19/2017,"76,283","76,591","76,591","75,366","2.59M","-0.40%"</t>
  </si>
  <si>
    <t>10/18/2017,"76,591","76,211","76,730","76,012","3.25M","0.51%"</t>
  </si>
  <si>
    <t>10/17/2017,"76,201","76,892","76,892","76,046","2.86M","-0.90%"</t>
  </si>
  <si>
    <t>10/16/2017,"76,892","76,985","77,382","76,565","3.17M","-0.13%"</t>
  </si>
  <si>
    <t>10/13/2017,"76,990","76,659","77,319","76,659","3.30M","0.43%"</t>
  </si>
  <si>
    <t>10/11/2017,"76,660","76,910","76,985","76,323","3.90M","-0.31%"</t>
  </si>
  <si>
    <t>10/10/2017,"76,897","75,745","76,996","75,745","3.60M","1.55%"</t>
  </si>
  <si>
    <t>10/09/2017,"75,727","76,055","76,067","75,181","2.41M","-0.43%"</t>
  </si>
  <si>
    <t>10/06/2017,"76,055","76,618","76,618","75,603","3.09M","-0.73%"</t>
  </si>
  <si>
    <t>10/05/2017,"76,618","76,592","78,024","76,592","4.24M","0.04%"</t>
  </si>
  <si>
    <t>10/04/2017,"76,591","76,763","77,004","76,422","3.22M","-0.22%"</t>
  </si>
  <si>
    <t>10/03/2017,"76,763","74,363","76,763","74,363","3.93M","3.23%"</t>
  </si>
  <si>
    <t>10/02/2017,"74,360","74,295","74,506","73,845","2.59M","0.09%"</t>
  </si>
  <si>
    <t>09/29/2017,"74,294","73,571","74,518","73,571","3.22M","0.99%"</t>
  </si>
  <si>
    <t>09/28/2017,"73,567","73,808","74,011","73,277","3.18M","-0.31%"</t>
  </si>
  <si>
    <t>09/27/2017,"73,797","74,358","74,744","73,125","3.91M","-0.70%"</t>
  </si>
  <si>
    <t>09/26/2017,"74,319","74,443","74,971","74,319","3.68M","-0.17%"</t>
  </si>
  <si>
    <t>09/25/2017,"74,443","75,381","75,470","74,303","3.48M","-1.26%"</t>
  </si>
  <si>
    <t>09/22/2017,"75,390","75,618","75,734","75,029","2.89M","-0.28%"</t>
  </si>
  <si>
    <t>09/21/2017,"75,604","76,014","76,251","75,282","3.33M","-0.53%"</t>
  </si>
  <si>
    <t>09/20/2017,"76,004","75,974","76,420","75,074","4.01M","0.04%"</t>
  </si>
  <si>
    <t>09/19/2017,"75,974","75,990","76,071","75,300","3.12M","-0.02%"</t>
  </si>
  <si>
    <t>09/18/2017,"75,990","75,758","76,404","75,621","3.54M","0.31%"</t>
  </si>
  <si>
    <t>09/15/2017,"75,757","74,656","75,820","74,648","4.97M","1.47%"</t>
  </si>
  <si>
    <t>09/14/2017,"74,657","74,787","74,949","74,397","3.31M","-0.18%"</t>
  </si>
  <si>
    <t>09/13/2017,"74,788","74,543","75,146","74,196","3.33M","0.33%"</t>
  </si>
  <si>
    <t>09/12/2017,"74,539","74,322","75,332","74,294","3.70M","0.30%"</t>
  </si>
  <si>
    <t>09/11/2017,"74,319","73,096","74,636","73,096","3.38M","1.70%"</t>
  </si>
  <si>
    <t>09/08/2017,"73,079","73,413","73,646","72,925","3.21M","-0.45%"</t>
  </si>
  <si>
    <t>09/06/2017,"73,412","72,157","73,608","72,157","4.37M","1.75%"</t>
  </si>
  <si>
    <t>09/05/2017,"72,151","72,134","73,180","71,827","4.36M","0.03%"</t>
  </si>
  <si>
    <t>09/04/2017,"72,129","71,921","72,141","71,671","2.06M","0.29%"</t>
  </si>
  <si>
    <t>09/01/2017,"71,923","70,848","72,217","70,846","4.01M","1.54%"</t>
  </si>
  <si>
    <t>08/31/2017,"70,835","70,887","71,234","70,516","4.38M","-0.07%"</t>
  </si>
  <si>
    <t>08/30/2017,"70,886","71,328","71,454","70,755","2.75M","-0.62%"</t>
  </si>
  <si>
    <t>08/29/2017,"71,330","71,005","71,330","70,517","2.35M","0.44%"</t>
  </si>
  <si>
    <t>08/28/2017,"71,017","71,074","71,390","70,909","2.26M","-0.08%"</t>
  </si>
  <si>
    <t>08/25/2017,"71,074","71,138","71,506","70,801","2.49M","-0.08%"</t>
  </si>
  <si>
    <t>08/24/2017,"71,133","70,482","71,238","70,482","3.21M","0.93%"</t>
  </si>
  <si>
    <t>08/23/2017,"70,478","70,011","70,587","69,947","3.45M","0.67%"</t>
  </si>
  <si>
    <t>08/22/2017,"70,011","68,645","70,278","68,645","4.03M","2.00%"</t>
  </si>
  <si>
    <t>08/21/2017,"68,635","68,713","69,068","68,514","2.72M","-0.12%"</t>
  </si>
  <si>
    <t>08/18/2017,"68,715","67,990","68,808","67,979","3.57M","1.09%"</t>
  </si>
  <si>
    <t>08/17/2017,"67,977","68,596","68,596","67,866","2.74M","-0.90%"</t>
  </si>
  <si>
    <t>08/16/2017,"68,594","68,356","68,950","68,304","3.87M","0.35%"</t>
  </si>
  <si>
    <t>08/15/2017,"68,355","68,296","68,846","68,293","2.84M","0.10%"</t>
  </si>
  <si>
    <t>08/14/2017,"68,285","67,364","68,642","67,226","2.91M","1.37%"</t>
  </si>
  <si>
    <t>08/11/2017,"67,359","66,992","67,623","66,678","2.98M","0.55%"</t>
  </si>
  <si>
    <t>08/10/2017,"66,992","67,671","67,671","66,650","2.91M","-1.00%"</t>
  </si>
  <si>
    <t>08/09/2017,"67,671","67,894","67,894","67,290","2.56M","-0.34%"</t>
  </si>
  <si>
    <t>08/08/2017,"67,899","67,936","68,500","67,671","3.24M","-0.06%"</t>
  </si>
  <si>
    <t>08/07/2017,"67,940","66,898","68,043","66,887","3.09M","1.56%"</t>
  </si>
  <si>
    <t>08/04/2017,"66,898","66,783","67,104","66,525","2.44M","0.18%"</t>
  </si>
  <si>
    <t>08/03/2017,"66,777","67,136","67,256","66,705","2.81M","-0.53%"</t>
  </si>
  <si>
    <t>08/02/2017,"67,136","66,504","67,277","66,305","3.83M","0.93%"</t>
  </si>
  <si>
    <t>08/01/2017,"66,516","65,925","66,606","65,925","2.85M","0.90%"</t>
  </si>
  <si>
    <t>07/31/2017,"65,920","65,503","66,048","65,503","2.65M","0.65%"</t>
  </si>
  <si>
    <t>07/28/2017,"65,497","65,253","65,497","64,953","2.85M","0.34%"</t>
  </si>
  <si>
    <t>07/27/2017,"65,277","65,013","65,678","65,013","2.56M","0.41%"</t>
  </si>
  <si>
    <t>07/26/2017,"65,011","65,668","65,873","64,992","3.03M","-1.00%"</t>
  </si>
  <si>
    <t>07/25/2017,"65,668","65,101","65,749","65,101","2.82M","0.87%"</t>
  </si>
  <si>
    <t>07/24/2017,"65,100","64,695","65,104","64,678","1.97M","0.64%"</t>
  </si>
  <si>
    <t>07/21/2017,"64,684","64,936","65,150","64,599","2.21M","-0.39%"</t>
  </si>
  <si>
    <t>07/20/2017,"64,938","65,178","65,505","64,898","2.34M","-0.37%"</t>
  </si>
  <si>
    <t>07/19/2017,"65,180","65,337","65,604","64,874","2.70M","-0.24%"</t>
  </si>
  <si>
    <t>07/18/2017,"65,338","65,208","65,338","64,943","2.28M","0.19%"</t>
  </si>
  <si>
    <t>07/17/2017,"65,212","65,431","65,478","65,119","2.33M","-0.34%"</t>
  </si>
  <si>
    <t>07/14/2017,"65,436","65,178","65,624","65,178","2.80M","0.40%"</t>
  </si>
  <si>
    <t>07/13/2017,"65,178","64,854","65,302","64,854","3.22M","0.53%"</t>
  </si>
  <si>
    <t>07/12/2017,"64,836","63,840","64,938","63,827","4.24M","1.57%"</t>
  </si>
  <si>
    <t>07/11/2017,"63,832","63,027","63,891","62,908","2.65M","1.28%"</t>
  </si>
  <si>
    <t>07/10/2017,"63,025","62,322","63,135","62,322","2.29M","1.13%"</t>
  </si>
  <si>
    <t>07/07/2017,"62,322","62,474","62,926","62,035","2.98M","-0.24%"</t>
  </si>
  <si>
    <t>07/06/2017,"62,470","63,156","63,188","62,354","3.13M","-1.08%"</t>
  </si>
  <si>
    <t>07/05/2017,"63,154","63,215","63,485","62,708","3.27M","-0.12%"</t>
  </si>
  <si>
    <t>07/04/2017,"63,232","63,268","63,346","63,076","980.07K","-0.08%"</t>
  </si>
  <si>
    <t>07/03/2017,"63,280","62,901","63,338","62,901","2.15M","0.60%"</t>
  </si>
  <si>
    <t>06/30/2017,"62,900","62,238","63,038","62,238","2.77M","1.06%"</t>
  </si>
  <si>
    <t>06/29/2017,"62,239","62,010","62,499","61,689","3.01M","0.36%"</t>
  </si>
  <si>
    <t>06/28/2017,"62,018","61,684","62,057","61,433","2.80M","0.56%"</t>
  </si>
  <si>
    <t>06/27/2017,"61,675","62,188","62,424","61,580","3.38M","-0.82%"</t>
  </si>
  <si>
    <t>06/26/2017,"62,188","61,088","62,251","61,088","2.68M","1.80%"</t>
  </si>
  <si>
    <t>06/23/2017,"61,087","61,272","61,400","60,992","2.92M","-0.30%"</t>
  </si>
  <si>
    <t>06/22/2017,"61,272","60,762","61,354","60,758","3.16M","0.84%"</t>
  </si>
  <si>
    <t>06/21/2017,"60,762","60,783","61,188","60,544","3.38M","-0.01%"</t>
  </si>
  <si>
    <t>06/20/2017,"60,766","62,011","62,011","60,766","4.08M","-2.01%"</t>
  </si>
  <si>
    <t>06/19/2017,"62,014","61,620","62,272","61,620","2.84M","0.63%"</t>
  </si>
  <si>
    <t>06/16/2017,"61,626","61,911","61,921","61,269","5.25M","-0.48%"</t>
  </si>
  <si>
    <t>06/14/2017,"61,923","61,831","62,475","61,508","4.46M","0.15%"</t>
  </si>
  <si>
    <t>06/13/2017,"61,829","61,708","62,012","61,510","2.55M","0.21%"</t>
  </si>
  <si>
    <t>06/12/2017,"61,700","62,219","62,286","61,279","3.12M","-0.82%"</t>
  </si>
  <si>
    <t>06/09/2017,"62,211","62,755","63,066","62,095","3.20M","-0.87%"</t>
  </si>
  <si>
    <t>06/08/2017,"62,756","63,171","63,171","62,376","2.79M","-0.66%"</t>
  </si>
  <si>
    <t>06/07/2017,"63,171","62,955","63,637","62,912","2.98M","0.34%"</t>
  </si>
  <si>
    <t>06/06/2017,"62,955","62,450","63,302","62,426","3.09M","0.81%"</t>
  </si>
  <si>
    <t>06/05/2017,"62,450","62,503","62,800","62,010","2.50M","-0.10%"</t>
  </si>
  <si>
    <t>06/02/2017,"62,511","62,289","62,773","62,161","2.96M","0.36%"</t>
  </si>
  <si>
    <t>06/01/2017,"62,289","62,711","63,293","62,165","3.47M","-0.67%"</t>
  </si>
  <si>
    <t>05/31/2017,"62,711","63,961","63,984","62,673","4.68M","-1.96%"</t>
  </si>
  <si>
    <t>05/30/2017,"63,962","63,765","64,107","63,720","2.30M","0.32%"</t>
  </si>
  <si>
    <t>05/29/2017,"63,761","64,055","64,055","63,531","1.70M","-0.51%"</t>
  </si>
  <si>
    <t>05/26/2017,"64,085","63,228","64,170","63,228","3.97M","1.36%"</t>
  </si>
  <si>
    <t>05/25/2017,"63,227","63,256","63,991","62,762","4.12M","-0.05%"</t>
  </si>
  <si>
    <t>05/24/2017,"63,257","62,673","64,016","62,673","4.31M","0.95%"</t>
  </si>
  <si>
    <t>05/23/2017,"62,662","61,670","62,775","61,670","4.90M","1.60%"</t>
  </si>
  <si>
    <t>05/22/2017,"61,673","62,638","62,638","60,925","6.00M","-1.54%"</t>
  </si>
  <si>
    <t>05/19/2017,"62,639","61,597","63,488","61,597","6.31M","1.69%"</t>
  </si>
  <si>
    <t>05/18/2017,"61,597","67,536","67,536","60,315","11.39M","-8.80%"</t>
  </si>
  <si>
    <t>05/17/2017,"67,540","68,674","68,674","67,163","3.42M","-1.67%"</t>
  </si>
  <si>
    <t>05/16/2017,"68,684","68,473","68,792","68,124","3.79M","0.31%"</t>
  </si>
  <si>
    <t>05/15/2017,"68,474","68,227","68,593","68,081","3.39M","0.37%"</t>
  </si>
  <si>
    <t>05/12/2017,"68,222","67,536","68,429","67,536","3.94M","1.01%"</t>
  </si>
  <si>
    <t>05/11/2017,"67,538","67,355","67,709","67,191","2.96M","0.28%"</t>
  </si>
  <si>
    <t>05/10/2017,"67,350","66,284","67,528","66,284","3.27M","1.62%"</t>
  </si>
  <si>
    <t>05/09/2017,"66,278","65,533","66,536","65,533","2.76M","1.15%"</t>
  </si>
  <si>
    <t>05/08/2017,"65,526","65,705","66,015","65,295","2.34M","-0.28%"</t>
  </si>
  <si>
    <t>05/05/2017,"65,710","64,869","65,768","64,863","2.85M","1.31%"</t>
  </si>
  <si>
    <t>05/04/2017,"64,863","66,069","66,099","64,721","3.90M","-1.86%"</t>
  </si>
  <si>
    <t>05/03/2017,"66,094","66,720","66,758","65,898","3.55M","-0.94%"</t>
  </si>
  <si>
    <t>05/02/2017,"66,722","65,404","66,851","65,404","3.61M","2.02%"</t>
  </si>
  <si>
    <t>04/28/2017,"65,403","64,679","65,403","64,592","3.07M","1.12%"</t>
  </si>
  <si>
    <t>04/27/2017,"64,677","64,872","65,327","64,292","3.21M","-0.29%"</t>
  </si>
  <si>
    <t>04/26/2017,"64,862","65,144","65,436","64,679","3.32M","-0.44%"</t>
  </si>
  <si>
    <t>04/25/2017,"65,148","64,384","65,148","63,875","3.13M","1.18%"</t>
  </si>
  <si>
    <t>04/24/2017,"64,389","63,761","64,754","63,761","3.29M","0.98%"</t>
  </si>
  <si>
    <t>04/20/2017,"63,761","63,406","64,163","63,388","2.99M","0.56%"</t>
  </si>
  <si>
    <t>04/19/2017,"63,407","64,165","64,572","63,219","3.16M","-1.17%"</t>
  </si>
  <si>
    <t>04/18/2017,"64,159","64,336","64,591","63,717","3.24M","-0.27%"</t>
  </si>
  <si>
    <t>04/17/2017,"64,335","62,828","64,424","62,828","3.25M","2.40%"</t>
  </si>
  <si>
    <t>04/13/2017,"62,826","63,891","63,992","62,826","3.31M","-1.67%"</t>
  </si>
  <si>
    <t>04/12/2017,"63,892","64,362","64,456","63,814","4.39M","-0.73%"</t>
  </si>
  <si>
    <t>04/11/2017,"64,360","64,650","64,872","63,351","3.28M","-0.45%"</t>
  </si>
  <si>
    <t>04/10/2017,"64,650","64,593","64,928","64,115","3.08M","0.09%"</t>
  </si>
  <si>
    <t>04/07/2017,"64,593","64,202","65,197","64,016","2.94M","0.58%"</t>
  </si>
  <si>
    <t>04/06/2017,"64,223","64,775","64,921","63,762","2.96M","-0.85%"</t>
  </si>
  <si>
    <t>04/05/2017,"64,775","65,770","66,211","64,493","3.07M","-1.51%"</t>
  </si>
  <si>
    <t>04/04/2017,"65,769","65,212","65,775","64,990","2.15M","0.86%"</t>
  </si>
  <si>
    <t>04/03/2017,"65,211","64,989","65,384","64,774","2.95M","0.35%"</t>
  </si>
  <si>
    <t>03/31/2017,"64,984","65,266","65,597","64,859","2.70M","-0.43%"</t>
  </si>
  <si>
    <t>03/30/2017,"65,266","65,541","65,775","65,070","2.41M","-0.40%"</t>
  </si>
  <si>
    <t>03/29/2017,"65,528","64,636","65,551","64,476","3.60M","1.37%"</t>
  </si>
  <si>
    <t>03/28/2017,"64,640","64,308","64,847","64,042","3.46M","0.52%"</t>
  </si>
  <si>
    <t>03/27/2017,"64,308","63,829","64,356","63,030","2.76M","0.71%"</t>
  </si>
  <si>
    <t>03/24/2017,"63,854","63,554","63,997","63,469","2.65M","0.51%"</t>
  </si>
  <si>
    <t>03/23/2017,"63,531","63,521","63,942","62,840","3.55M","0.02%"</t>
  </si>
  <si>
    <t>03/22/2017,"63,521","62,980","63,747","62,496","4.19M","0.86%"</t>
  </si>
  <si>
    <t>03/21/2017,"62,980","64,884","64,965","62,795","3.81M","-2.93%"</t>
  </si>
  <si>
    <t>03/20/2017,"64,884","64,210","65,136","63,672","3.73M","1.05%"</t>
  </si>
  <si>
    <t>03/17/2017,"64,210","65,783","66,205","64,152","5.37M","-2.39%"</t>
  </si>
  <si>
    <t>03/16/2017,"65,783","66,232","66,554","65,531","2.95M","-0.68%"</t>
  </si>
  <si>
    <t>03/15/2017,"66,235","64,702","66,318","64,537","3.86M","2.37%"</t>
  </si>
  <si>
    <t>03/14/2017,"64,699","65,511","65,549","64,699","2.91M","-1.27%"</t>
  </si>
  <si>
    <t>03/13/2017,"65,534","64,674","65,651","64,674","2.23M","1.33%"</t>
  </si>
  <si>
    <t>03/10/2017,"64,675","64,586","65,725","64,472","3.54M","0.14%"</t>
  </si>
  <si>
    <t>03/09/2017,"64,585","64,718","65,068","64,203","3.62M","-0.21%"</t>
  </si>
  <si>
    <t>03/08/2017,"64,718","65,748","65,810","64,496","3.84M","-1.56%"</t>
  </si>
  <si>
    <t>03/07/2017,"65,742","66,343","66,641","65,668","2.98M","-0.90%"</t>
  </si>
  <si>
    <t>03/06/2017,"66,341","66,786","66,892","66,119","3.44M","-0.67%"</t>
  </si>
  <si>
    <t>03/03/2017,"66,786","65,860","66,801","65,860","2.74M","1.41%"</t>
  </si>
  <si>
    <t>03/02/2017,"65,855","67,000","67,035","65,594","3.19M","-1.69%"</t>
  </si>
  <si>
    <t>03/01/2017,"66,989","66,661","67,398","66,661","2.45M","0.49%"</t>
  </si>
  <si>
    <t>02/24/2017,"66,662","67,458","67,458","66,452","3.15M","-1.18%"</t>
  </si>
  <si>
    <t>02/23/2017,"67,461","68,590","69,488","67,279","4.10M","-1.65%"</t>
  </si>
  <si>
    <t>02/22/2017,"68,590","69,052","69,052","68,282","3.48M","-0.67%"</t>
  </si>
  <si>
    <t>02/21/2017,"69,052","68,536","69,112","68,536","3.15M","0.76%"</t>
  </si>
  <si>
    <t>02/20/2017,"68,533","67,756","68,674","67,756","2.24M","1.16%"</t>
  </si>
  <si>
    <t>02/17/2017,"67,748","67,814","67,819","67,158","2.87M","-0.10%"</t>
  </si>
  <si>
    <t>02/16/2017,"67,814","67,979","68,456","67,661","3.66M","-0.24%"</t>
  </si>
  <si>
    <t>02/15/2017,"67,976","66,712","68,016","66,712","4.25M","1.89%"</t>
  </si>
  <si>
    <t>02/14/2017,"66,713","66,971","67,110","66,251","3.48M","-0.38%"</t>
  </si>
  <si>
    <t>02/13/2017,"66,968","66,125","67,094","66,125","3.20M","1.27%"</t>
  </si>
  <si>
    <t>02/10/2017,"66,125","64,965","66,292","64,935","3.55M","1.79%"</t>
  </si>
  <si>
    <t>02/09/2017,"64,965","64,850","65,302","64,587","2.72M","0.20%"</t>
  </si>
  <si>
    <t>02/08/2017,"64,835","64,200","64,835","63,740","3.24M","0.99%"</t>
  </si>
  <si>
    <t>02/07/2017,"64,199","64,022","64,815","63,938","2.86M","0.32%"</t>
  </si>
  <si>
    <t>02/06/2017,"63,993","64,957","65,327","63,933","2.63M","-1.48%"</t>
  </si>
  <si>
    <t>02/03/2017,"64,954","64,579","65,387","64,264","3.59M","0.58%"</t>
  </si>
  <si>
    <t>02/02/2017,"64,578","64,835","65,132","64,163","3.05M","-0.40%"</t>
  </si>
  <si>
    <t>02/01/2017,"64,836","64,687","65,594","64,687","3.31M","0.26%"</t>
  </si>
  <si>
    <t>01/31/2017,"64,671","64,310","64,901","64,284","2.82M","0.57%"</t>
  </si>
  <si>
    <t>01/30/2017,"64,302","66,025","66,025","64,165","2.33M","-2.62%"</t>
  </si>
  <si>
    <t>01/27/2017,"66,034","66,195","66,242","65,876","2.66M","-0.24%"</t>
  </si>
  <si>
    <t>01/26/2017,"66,191","65,842","66,594","65,842","3.60M","0.53%"</t>
  </si>
  <si>
    <t>01/24/2017,"65,840","65,752","66,173","65,615","3.97M","0.14%"</t>
  </si>
  <si>
    <t>01/23/2017,"65,749","64,519","65,816","64,500","3.05M","1.90%"</t>
  </si>
  <si>
    <t>01/20/2017,"64,521","63,951","64,694","63,951","3.52M","0.89%"</t>
  </si>
  <si>
    <t>01/19/2017,"63,951","64,145","64,456","63,574","2.96M","-0.31%"</t>
  </si>
  <si>
    <t>01/18/2017,"64,150","64,360","64,680","64,063","3.10M","-0.32%"</t>
  </si>
  <si>
    <t>01/17/2017,"64,354","63,827","64,658","63,456","3.02M","0.82%"</t>
  </si>
  <si>
    <t>01/16/2017,"63,831","63,652","64,014","63,556","1.82M","0.28%"</t>
  </si>
  <si>
    <t>01/13/2017,"63,652","63,940","64,092","63,366","2.82M","-0.47%"</t>
  </si>
  <si>
    <t>01/12/2017,"63,954","62,448","64,342","62,448","4.68M","2.41%"</t>
  </si>
  <si>
    <t>01/11/2017,"62,446","62,134","62,674","61,665","3.24M","0.51%"</t>
  </si>
  <si>
    <t>01/10/2017,"62,132","61,710","62,446","61,710","2.70M","0.70%"</t>
  </si>
  <si>
    <t>01/09/2017,"61,700","61,680","62,112","61,307","2.56M","0.06%"</t>
  </si>
  <si>
    <t>01/06/2017,"61,665","62,072","62,072","61,396","2.45M","-0.65%"</t>
  </si>
  <si>
    <t>01/05/2017,"62,071","61,594","62,409","61,594","3.42M","0.78%"</t>
  </si>
  <si>
    <t>01/04/2017,"61,589","61,811","61,940","61,302","2.93M","-0.36%"</t>
  </si>
  <si>
    <t>01/03/2017,"61,814","59,631","61,815","59,631","3.43M","3.73%"</t>
  </si>
  <si>
    <t>01/02/2017,"59,589","60,227","60,227","59,371","833.73K","-1.06%"</t>
  </si>
  <si>
    <t>12/29/2016,"60,227","59,782","60,248","59,278","2.19M","0.74%"</t>
  </si>
  <si>
    <t>12/28/2016,"59,782","58,688","59,911","58,688","2.02M","1.85%"</t>
  </si>
  <si>
    <t>12/27/2016,"58,697","58,627","59,068","58,402","1.67M","0.13%"</t>
  </si>
  <si>
    <t>12/26/2016,"58,620","57,941","58,781","57,941","701.23K","1.18%"</t>
  </si>
  <si>
    <t>12/23/2016,"57,937","57,255","58,143","57,255","2.22M","1.19%"</t>
  </si>
  <si>
    <t>12/22/2016,"57,255","57,646","57,646","56,829","2.90M","-0.68%"</t>
  </si>
  <si>
    <t>12/21/2016,"57,647","57,583","58,049","57,221","2.54M","0.11%"</t>
  </si>
  <si>
    <t>12/20/2016,"57,583","57,116","57,918","57,038","2.76M","0.83%"</t>
  </si>
  <si>
    <t>12/19/2016,"57,111","58,390","58,600","57,109","3.50M","-2.19%"</t>
  </si>
  <si>
    <t>12/16/2016,"58,389","58,398","59,312","58,365","3.80M","-0.01%"</t>
  </si>
  <si>
    <t>12/15/2016,"58,396","58,214","58,635","57,575","3.68M","0.32%"</t>
  </si>
  <si>
    <t>12/14/2016,"58,212","59,280","59,338","58,212","3.98M","-1.80%"</t>
  </si>
  <si>
    <t>12/13/2016,"59,281","59,178","59,946","58,758","3.70M","0.17%"</t>
  </si>
  <si>
    <t>12/12/2016,"59,179","60,517","60,517","59,035","3.24M","-2.19%"</t>
  </si>
  <si>
    <t>12/09/2016,"60,501","60,688","61,129","60,316","3.44M","-0.29%"</t>
  </si>
  <si>
    <t>12/08/2016,"60,677","61,430","61,936","60,499","3.03M","-1.20%"</t>
  </si>
  <si>
    <t>12/07/2016,"61,414","61,111","61,918","61,062","3.96M","0.53%"</t>
  </si>
  <si>
    <t>12/06/2016,"61,088","59,828","61,235","59,396","3.72M","2.10%"</t>
  </si>
  <si>
    <t>12/05/2016,"59,832","60,322","60,720","59,635","2.95M","-0.80%"</t>
  </si>
  <si>
    <t>12/02/2016,"60,316","59,499","60,379","58,092","4.48M","1.36%"</t>
  </si>
  <si>
    <t>12/01/2016,"59,507","61,906","61,911","59,058","5.52M","-3.88%"</t>
  </si>
  <si>
    <t>11/30/2016,"61,906","60,994","62,590","60,994","4.73M","1.51%"</t>
  </si>
  <si>
    <t>11/29/2016,"60,987","62,859","62,859","60,980","3.53M","-2.97%"</t>
  </si>
  <si>
    <t>11/28/2016,"62,855","61,559","62,934","61,240","2.84M","2.11%"</t>
  </si>
  <si>
    <t>11/25/2016,"61,559","61,394","61,559","60,573","2.74M","0.27%"</t>
  </si>
  <si>
    <t>11/24/2016,"61,396","61,999","62,105","61,392","1.65M","-0.95%"</t>
  </si>
  <si>
    <t>11/23/2016,"61,986","61,956","62,046","61,234","3.60M","0.05%"</t>
  </si>
  <si>
    <t>11/22/2016,"61,954","61,072","62,550","61,072","4.11M","1.45%"</t>
  </si>
  <si>
    <t>11/21/2016,"61,070","59,963","61,070","59,963","3.63M","1.85%"</t>
  </si>
  <si>
    <t>11/18/2016,"59,962","59,770","60,193","59,327","3.57M","0.32%"</t>
  </si>
  <si>
    <t>11/17/2016,"59,770","60,763","61,493","59,746","3.64M","-1.63%"</t>
  </si>
  <si>
    <t>11/16/2016,"60,759","59,658","60,915","59,364","4.72M","1.85%"</t>
  </si>
  <si>
    <t>11/14/2016,"59,657","59,183","59,961","58,322","5.58M","0.80%"</t>
  </si>
  <si>
    <t>11/11/2016,"59,184","61,199","61,626","58,921","7.81M","-3.30%"</t>
  </si>
  <si>
    <t>11/10/2016,"61,201","63,261","63,903","60,553","7.86M","-3.25%"</t>
  </si>
  <si>
    <t>11/09/2016,"63,258","64,157","64,358","61,794","5.80M","-1.40%"</t>
  </si>
  <si>
    <t>11/08/2016,"64,158","64,052","64,767","63,381","3.37M","0.17%"</t>
  </si>
  <si>
    <t>11/07/2016,"64,052","61,601","64,193","61,601","3.43M","3.98%"</t>
  </si>
  <si>
    <t>11/04/2016,"61,598","61,749","62,699","61,491","4.10M","-0.25%"</t>
  </si>
  <si>
    <t>11/03/2016,"61,750","63,325","63,524","61,750","4.25M","-2.49%"</t>
  </si>
  <si>
    <t>11/01/2016,"63,326","64,922","65,291","63,019","4.64M","-2.46%"</t>
  </si>
  <si>
    <t>10/31/2016,"64,925","64,312","65,054","64,312","3.93M","0.96%"</t>
  </si>
  <si>
    <t>10/28/2016,"64,308","64,251","64,728","63,778","3.91M","0.09%"</t>
  </si>
  <si>
    <t>10/27/2016,"64,250","63,827","64,609","63,827","3.70M","0.66%"</t>
  </si>
  <si>
    <t>10/26/2016,"63,826","63,860","63,924","63,084","4.43M","-0.06%"</t>
  </si>
  <si>
    <t>10/25/2016,"63,866","64,059","64,266","63,248","4.04M","-0.30%"</t>
  </si>
  <si>
    <t>10/24/2016,"64,060","64,141","64,691","63,914","3.78M","-0.07%"</t>
  </si>
  <si>
    <t>10/21/2016,"64,108","63,838","64,372","63,379","3.78M","0.42%"</t>
  </si>
  <si>
    <t>10/20/2016,"63,838","63,495","63,927","62,729","3.53M","0.52%"</t>
  </si>
  <si>
    <t>10/19/2016,"63,506","63,784","64,089","63,309","3.73M","-0.43%"</t>
  </si>
  <si>
    <t>10/18/2016,"63,782","62,701","63,937","62,701","4.39M","1.73%"</t>
  </si>
  <si>
    <t>10/17/2016,"62,696","61,768","62,696","61,719","3.44M","1.50%"</t>
  </si>
  <si>
    <t>10/14/2016,"61,767","61,120","62,039","61,120","3.81M","1.06%"</t>
  </si>
  <si>
    <t>10/13/2016,"61,119","61,020","61,329","60,243","5.11M","0.16%"</t>
  </si>
  <si>
    <t>10/11/2016,"61,022","61,668","61,668","60,885","3.68M","-1.05%"</t>
  </si>
  <si>
    <t>10/10/2016,"61,668","61,130","61,756","61,130","3.03M","0.91%"</t>
  </si>
  <si>
    <t>10/07/2016,"61,109","60,645","61,275","60,479","4.37M","0.77%"</t>
  </si>
  <si>
    <t>10/06/2016,"60,644","60,254","60,724","60,070","3.62M","0.65%"</t>
  </si>
  <si>
    <t>10/05/2016,"60,254","59,340","60,477","59,340","3.48M","1.54%"</t>
  </si>
  <si>
    <t>10/04/2016,"59,339","59,461","59,580","58,892","4.02M","-0.21%"</t>
  </si>
  <si>
    <t>10/03/2016,"59,461","58,370","59,549","58,367","2.86M","1.87%"</t>
  </si>
  <si>
    <t>09/30/2016,"58,367","58,350","58,900","58,271","2.95M","0.03%"</t>
  </si>
  <si>
    <t>09/29/2016,"58,351","59,346","59,621","58,292","3.30M","-1.69%"</t>
  </si>
  <si>
    <t>09/28/2016,"59,356","58,383","59,415","58,353","3.33M","1.67%"</t>
  </si>
  <si>
    <t>09/27/2016,"58,382","58,066","58,490","57,411","3.04M","0.56%"</t>
  </si>
  <si>
    <t>09/26/2016,"58,054","58,697","58,697","57,904","2.17M","-1.10%"</t>
  </si>
  <si>
    <t>09/23/2016,"58,697","58,992","59,131","58,409","2.90M","-0.50%"</t>
  </si>
  <si>
    <t>09/22/2016,"58,994","58,408","59,462","58,408","3.47M","1.03%"</t>
  </si>
  <si>
    <t>09/21/2016,"58,394","57,736","58,575","57,326","4.01M","1.14%"</t>
  </si>
  <si>
    <t>09/20/2016,"57,736","57,356","57,902","57,356","3.09M","0.67%"</t>
  </si>
  <si>
    <t>09/19/2016,"57,350","57,083","58,025","57,083","2.77M","0.47%"</t>
  </si>
  <si>
    <t>09/16/2016,"57,080","57,909","57,909","56,794","3.83M","-1.43%"</t>
  </si>
  <si>
    <t>09/15/2016,"57,909","57,068","58,127","57,068","2.90M","1.49%"</t>
  </si>
  <si>
    <t>09/14/2016,"57,059","56,812","57,342","56,694","3.43M","0.42%"</t>
  </si>
  <si>
    <t>09/13/2016,"56,821","58,580","58,580","56,459","4.51M","-3.01%"</t>
  </si>
  <si>
    <t>09/12/2016,"58,586","57,998","58,595","57,511","3.64M","1.01%"</t>
  </si>
  <si>
    <t>09/09/2016,"58,000","60,220","60,220","57,961","4.12M","-3.71%"</t>
  </si>
  <si>
    <t>09/08/2016,"60,232","60,129","60,310","59,743","3.96M","0.17%"</t>
  </si>
  <si>
    <t>09/06/2016,"60,129","59,566","60,129","59,182","3.25M","0.95%"</t>
  </si>
  <si>
    <t>09/05/2016,"59,566","59,616","59,986","59,402","1.82M","-0.08%"</t>
  </si>
  <si>
    <t>09/02/2016,"59,616","58,241","59,655","58,241","3.89M","2.37%"</t>
  </si>
  <si>
    <t>09/01/2016,"58,236","57,901","58,417","57,638","3.80M","0.58%"</t>
  </si>
  <si>
    <t>08/31/2016,"57,901","58,580","58,910","57,506","4.20M","-1.15%"</t>
  </si>
  <si>
    <t>08/30/2016,"58,575","58,610","58,882","58,293","2.81M","-0.06%"</t>
  </si>
  <si>
    <t>08/29/2016,"58,610","57,717","58,957","57,642","2.85M","1.55%"</t>
  </si>
  <si>
    <t>08/26/2016,"57,716","57,725","58,655","57,259","3.72M","-0.01%"</t>
  </si>
  <si>
    <t>08/25/2016,"57,722","57,718","58,124","57,639","3.07M","0.01%"</t>
  </si>
  <si>
    <t>08/24/2016,"57,718","58,019","58,332","57,456","3.32M","-0.52%"</t>
  </si>
  <si>
    <t>08/23/2016,"58,020","57,781","58,596","57,781","3.75M","0.41%"</t>
  </si>
  <si>
    <t>08/22/2016,"57,781","59,080","59,099","57,631","3.23M","-2.23%"</t>
  </si>
  <si>
    <t>08/19/2016,"59,099","59,158","59,240","58,599","2.74M","-0.11%"</t>
  </si>
  <si>
    <t>08/18/2016,"59,166","59,324","59,418","58,829","3.72M","-0.27%"</t>
  </si>
  <si>
    <t>08/17/2016,"59,324","58,847","59,324","58,081","4.31M","0.80%"</t>
  </si>
  <si>
    <t>08/16/2016,"58,855","59,144","59,187","58,589","3.99M","-0.49%"</t>
  </si>
  <si>
    <t>08/15/2016,"59,146","58,316","59,324","58,316","3.60M","1.45%"</t>
  </si>
  <si>
    <t>08/12/2016,"58,298","58,300","58,753","57,987","3.93M","0.00%"</t>
  </si>
  <si>
    <t>08/11/2016,"58,300","56,925","58,308","56,923","4.03M","2.42%"</t>
  </si>
  <si>
    <t>08/10/2016,"56,920","57,690","57,953","56,735","3.62M","-1.33%"</t>
  </si>
  <si>
    <t>08/09/2016,"57,689","57,637","58,095","57,615","3.14M","0.09%"</t>
  </si>
  <si>
    <t>08/08/2016,"57,635","57,655","57,917","57,504","3.25M","-0.05%"</t>
  </si>
  <si>
    <t>08/05/2016,"57,661","57,609","57,951","57,290","3.46M","0.12%"</t>
  </si>
  <si>
    <t>08/04/2016,"57,594","57,076","58,030","57,076","4.32M","0.91%"</t>
  </si>
  <si>
    <t>08/03/2016,"57,077","56,157","57,101","55,788","4.18M","1.63%"</t>
  </si>
  <si>
    <t>08/02/2016,"56,162","56,756","56,974","55,696","3.98M","-1.05%"</t>
  </si>
  <si>
    <t>08/01/2016,"56,756","57,309","57,729","56,676","4.21M","-0.96%"</t>
  </si>
  <si>
    <t>07/29/2016,"57,308","56,664","57,474","56,340","4.55M","1.13%"</t>
  </si>
  <si>
    <t>07/28/2016,"56,667","56,853","56,853","55,993","3.91M","-0.33%"</t>
  </si>
  <si>
    <t>07/27/2016,"56,853","56,788","57,380","56,788","3.91M","0.12%"</t>
  </si>
  <si>
    <t>07/26/2016,"56,783","56,876","57,309","56,708","3.46M","-0.16%"</t>
  </si>
  <si>
    <t>07/25/2016,"56,873","57,006","57,205","56,398","3.22M","-0.23%"</t>
  </si>
  <si>
    <t>07/22/2016,"57,002","56,641","57,171","56,518","3.00M","0.64%"</t>
  </si>
  <si>
    <t>07/21/2016,"56,641","56,578","56,906","56,233","3.59M","0.11%"</t>
  </si>
  <si>
    <t>07/20/2016,"56,578","56,699","56,927","56,221","4.00M","-0.21%"</t>
  </si>
  <si>
    <t>07/19/2016,"56,698","56,487","56,698","56,246","3.91M","0.38%"</t>
  </si>
  <si>
    <t>07/18/2016,"56,484","55,573","56,509","55,355","4.11M","1.63%"</t>
  </si>
  <si>
    <t>07/15/2016,"55,578","55,482","55,649","55,233","3.80M","0.17%"</t>
  </si>
  <si>
    <t>07/14/2016,"55,481","54,601","55,634","54,601","4.54M","1.62%"</t>
  </si>
  <si>
    <t>07/13/2016,"54,598","54,256","54,647","53,733","4.16M","0.63%"</t>
  </si>
  <si>
    <t>07/12/2016,"54,256","53,961","54,746","53,961","4.00M","0.55%"</t>
  </si>
  <si>
    <t>07/11/2016,"53,960","53,143","54,021","53,143","3.31M","1.54%"</t>
  </si>
  <si>
    <t>07/08/2016,"53,141","52,020","53,166","52,020","3.09M","2.16%"</t>
  </si>
  <si>
    <t>07/07/2016,"52,015","51,902","52,719","51,888","3.83M","0.22%"</t>
  </si>
  <si>
    <t>07/06/2016,"51,902","51,842","51,909","50,825","3.38M","0.12%"</t>
  </si>
  <si>
    <t>07/05/2016,"51,842","52,565","52,565","51,510","3.22M","-1.38%"</t>
  </si>
  <si>
    <t>07/04/2016,"52,569","52,241","52,918","52,241","2.08M","0.64%"</t>
  </si>
  <si>
    <t>07/01/2016,"52,233","51,540","52,346","51,411","4.24M","1.37%"</t>
  </si>
  <si>
    <t>06/30/2016,"51,527","51,001","51,619","50,585","4.51M","1.03%"</t>
  </si>
  <si>
    <t>06/29/2016,"51,002","50,009","51,229","50,009","4.09M","1.99%"</t>
  </si>
  <si>
    <t>06/28/2016,"50,007","49,252","50,301","49,252","3.51M","1.55%"</t>
  </si>
  <si>
    <t>06/27/2016,"49,246","50,106","50,162","48,954","3.33M","-1.71%"</t>
  </si>
  <si>
    <t>06/24/2016,"50,105","51,561","51,561","49,544","4.27M","-2.82%"</t>
  </si>
  <si>
    <t>06/23/2016,"51,560","50,161","51,673","50,161","3.26M","2.80%"</t>
  </si>
  <si>
    <t>06/22/2016,"50,156","50,835","51,239","50,060","3.75M","-1.34%"</t>
  </si>
  <si>
    <t>06/21/2016,"50,838","50,326","50,870","49,678","3.45M","1.01%"</t>
  </si>
  <si>
    <t>06/20/2016,"50,329","49,539","50,782","49,539","3.59M","1.60%"</t>
  </si>
  <si>
    <t>06/17/2016,"49,534","49,409","50,191","49,405","4.38M","0.25%"</t>
  </si>
  <si>
    <t>06/16/2016,"49,412","48,901","49,412","48,067","4.01M","1.02%"</t>
  </si>
  <si>
    <t>06/15/2016,"48,915","48,649","49,415","48,324","5.16M","0.55%"</t>
  </si>
  <si>
    <t>06/14/2016,"48,648","49,662","49,894","48,216","4.01M","-2.04%"</t>
  </si>
  <si>
    <t>06/13/2016,"49,661","49,419","49,764","48,804","2.71M","0.48%"</t>
  </si>
  <si>
    <t>06/10/2016,"49,422","51,117","51,117","49,421","3.07M","-3.32%"</t>
  </si>
  <si>
    <t>06/09/2016,"51,118","51,633","51,633","50,832","3.31M","-0.99%"</t>
  </si>
  <si>
    <t>06/08/2016,"51,629","50,490","51,812","50,490","4.35M","2.26%"</t>
  </si>
  <si>
    <t>06/07/2016,"50,488","50,432","50,641","50,005","3.05M","0.11%"</t>
  </si>
  <si>
    <t>06/06/2016,"50,432","50,627","50,924","50,097","3.11M","-0.37%"</t>
  </si>
  <si>
    <t>06/03/2016,"50,619","49,888","50,634","49,888","3.43M","1.47%"</t>
  </si>
  <si>
    <t>06/02/2016,"49,887","49,008","49,906","48,781","3.63M","1.78%"</t>
  </si>
  <si>
    <t>06/01/2016,"49,013","48,468","49,057","48,200","3.39M","1.12%"</t>
  </si>
  <si>
    <t>05/31/2016,"48,472","48,963","49,269","48,292","5.80M","-1.00%"</t>
  </si>
  <si>
    <t>05/30/2016,"48,964","49,051","49,203","48,799","1.21M","-0.18%"</t>
  </si>
  <si>
    <t>05/27/2016,"49,051","49,481","49,805","48,869","2.80M","-0.87%"</t>
  </si>
  <si>
    <t>05/25/2016,"49,483","49,347","50,357","49,347","3.58M","0.28%"</t>
  </si>
  <si>
    <t>05/24/2016,"49,345","49,330","50,002","49,153","3.24M","0.03%"</t>
  </si>
  <si>
    <t>05/23/2016,"49,330","49,709","49,709","48,695","3.52M","-0.79%"</t>
  </si>
  <si>
    <t>05/20/2016,"49,723","50,133","50,822","49,723","3.36M","-0.82%"</t>
  </si>
  <si>
    <t>05/19/2016,"50,133","50,556","50,556","49,588","4.03M","-0.85%"</t>
  </si>
  <si>
    <t>05/18/2016,"50,562","50,836","51,373","50,301","4.20M","-0.54%"</t>
  </si>
  <si>
    <t>05/17/2016,"50,839","51,795","51,946","50,689","3.99M","-1.86%"</t>
  </si>
  <si>
    <t>05/16/2016,"51,803","51,803","52,305","51,585","3.64M","0.00%"</t>
  </si>
  <si>
    <t>05/13/2016,"51,804","53,236","53,250","51,366","4.45M","-2.70%"</t>
  </si>
  <si>
    <t>05/12/2016,"53,241","52,765","53,798","52,424","4.77M","0.90%"</t>
  </si>
  <si>
    <t>05/11/2016,"52,764","53,072","53,976","52,736","4.48M","-0.58%"</t>
  </si>
  <si>
    <t>05/10/2016,"53,071","50,994","53,071","50,994","4.21M","4.08%"</t>
  </si>
  <si>
    <t>05/09/2016,"50,990","51,717","51,717","49,908","5.09M","-1.41%"</t>
  </si>
  <si>
    <t>05/06/2016,"51,718","51,671","52,159","51,204","3.40M","0.09%"</t>
  </si>
  <si>
    <t>05/05/2016,"51,671","52,569","53,071","51,311","3.65M","-1.68%"</t>
  </si>
  <si>
    <t>05/04/2016,"52,553","52,253","52,672","51,931","4.40M","0.56%"</t>
  </si>
  <si>
    <t>05/03/2016,"52,260","53,557","53,557","52,260","4.01M","-2.43%"</t>
  </si>
  <si>
    <t>05/02/2016,"53,562","53,910","54,113","53,265","3.39M","-0.65%"</t>
  </si>
  <si>
    <t>04/29/2016,"53,911","54,317","54,705","53,592","5.05M","-0.74%"</t>
  </si>
  <si>
    <t>04/28/2016,"54,312","54,475","54,978","53,963","4.55M","-0.30%"</t>
  </si>
  <si>
    <t>04/27/2016,"54,478","53,094","54,560","53,094","5.05M","2.63%"</t>
  </si>
  <si>
    <t>04/26/2016,"53,083","51,867","53,108","51,838","3.87M","2.35%"</t>
  </si>
  <si>
    <t>04/25/2016,"51,862","52,911","52,949","51,748","3.81M","-1.98%"</t>
  </si>
  <si>
    <t>04/22/2016,"52,908","53,630","53,630","52,629","4.39M","-1.35%"</t>
  </si>
  <si>
    <t>04/20/2016,"53,631","53,711","53,857","53,149","4.69M","-0.15%"</t>
  </si>
  <si>
    <t>04/19/2016,"53,710","52,894","54,054","52,894","5.19M","1.54%"</t>
  </si>
  <si>
    <t>04/18/2016,"52,894","53,229","53,479","52,305","4.53M","-0.63%"</t>
  </si>
  <si>
    <t>04/15/2016,"53,228","52,414","53,390","52,414","5.20M","1.56%"</t>
  </si>
  <si>
    <t>04/14/2016,"52,411","53,150","53,699","52,242","5.66M","-1.39%"</t>
  </si>
  <si>
    <t>04/13/2016,"53,150","52,010","53,844","52,010","6.57M","2.21%"</t>
  </si>
  <si>
    <t>04/12/2016,"52,002","50,166","52,327","50,166","5.31M","3.66%"</t>
  </si>
  <si>
    <t>04/11/2016,"50,165","50,303","51,089","50,078","4.18M","-0.25%"</t>
  </si>
  <si>
    <t>04/08/2016,"50,293","48,517","50,486","48,517","5.20M","3.67%"</t>
  </si>
  <si>
    <t>04/07/2016,"48,513","48,099","48,940","48,099","3.15M","0.87%"</t>
  </si>
  <si>
    <t>04/06/2016,"48,096","49,054","49,054","47,874","3.93M","-1.95%"</t>
  </si>
  <si>
    <t>04/05/2016,"49,054","48,778","49,629","48,149","3.66M","0.56%"</t>
  </si>
  <si>
    <t>04/04/2016,"48,780","50,556","50,556","48,600","3.67M","-3.52%"</t>
  </si>
  <si>
    <t>04/01/2016,"50,562","50,054","50,768","49,361","4.01M","1.01%"</t>
  </si>
  <si>
    <t>03/31/2016,"50,055","51,248","51,248","49,642","4.38M","-2.33%"</t>
  </si>
  <si>
    <t>03/30/2016,"51,249","51,155","52,262","50,900","4.88M","0.18%"</t>
  </si>
  <si>
    <t>03/29/2016,"51,155","50,839","51,765","50,387","4.45M","0.62%"</t>
  </si>
  <si>
    <t>03/28/2016,"50,838","49,687","51,149","49,687","3.62M","2.38%"</t>
  </si>
  <si>
    <t>03/24/2016,"49,657","49,686","49,686","48,778","3.80M","-0.07%"</t>
  </si>
  <si>
    <t>03/23/2016,"49,690","51,005","51,005","49,491","3.75M","-2.59%"</t>
  </si>
  <si>
    <t>03/22/2016,"51,010","51,170","51,215","50,812","4.02M","-0.32%"</t>
  </si>
  <si>
    <t>03/21/2016,"51,172","50,816","51,370","50,765","3.82M","0.70%"</t>
  </si>
  <si>
    <t>03/18/2016,"50,815","50,915","51,308","50,202","5.62M","-0.19%"</t>
  </si>
  <si>
    <t>03/17/2016,"50,914","47,770","51,268","47,770","7.47M","6.60%"</t>
  </si>
  <si>
    <t>03/16/2016,"47,763","47,130","47,814","46,521","5.27M","1.34%"</t>
  </si>
  <si>
    <t>03/15/2016,"47,130","48,866","48,866","46,684","5.67M","-3.55%"</t>
  </si>
  <si>
    <t>03/14/2016,"48,867","49,639","50,166","48,757","4.95M","-1.56%"</t>
  </si>
  <si>
    <t>03/11/2016,"49,639","49,574","50,038","49,156","6.19M","0.14%"</t>
  </si>
  <si>
    <t>03/10/2016,"49,571","48,667","49,974","47,922","7.70M","1.86%"</t>
  </si>
  <si>
    <t>03/09/2016,"48,665","49,102","50,001","48,623","6.42M","-0.89%"</t>
  </si>
  <si>
    <t>03/08/2016,"49,102","49,244","49,914","48,847","7.37M","-0.29%"</t>
  </si>
  <si>
    <t>03/07/2016,"49,246","49,089","49,639","48,746","5.90M","0.33%"</t>
  </si>
  <si>
    <t>03/04/2016,"49,085","47,194","50,024","47,194","10.60M","4.01%"</t>
  </si>
  <si>
    <t>03/03/2016,"47,193","44,900","47,375","44,900","9.31M","5.12%"</t>
  </si>
  <si>
    <t>03/02/2016,"44,893","44,122","44,983","43,841","5.16M","1.75%"</t>
  </si>
  <si>
    <t>03/01/2016,"44,122","42,795","44,181","42,795","4.75M","3.10%"</t>
  </si>
  <si>
    <t>02/29/2016,"42,794","41,599","43,053","41,599","4.61M","2.89%"</t>
  </si>
  <si>
    <t>02/26/2016,"41,593","41,889","42,495","41,417","3.38M","-0.70%"</t>
  </si>
  <si>
    <t>02/25/2016,"41,888","42,084","42,327","41,442","4.05M","-0.47%"</t>
  </si>
  <si>
    <t>02/24/2016,"42,085","42,521","42,521","41,211","3.63M","-1.03%"</t>
  </si>
  <si>
    <t>02/23/2016,"42,521","43,235","43,601","42,359","3.92M","-1.65%"</t>
  </si>
  <si>
    <t>02/22/2016,"43,235","41,544","43,345","41,544","4.65M","4.07%"</t>
  </si>
  <si>
    <t>02/19/2016,"41,543","41,477","41,828","41,071","3.40M","0.16%"</t>
  </si>
  <si>
    <t>02/18/2016,"41,478","41,624","41,698","41,183","3.64M","-0.37%"</t>
  </si>
  <si>
    <t>02/17/2016,"41,631","40,958","42,436","40,958","5.47M","1.67%"</t>
  </si>
  <si>
    <t>02/16/2016,"40,948","40,093","41,206","40,074","4.04M","2.13%"</t>
  </si>
  <si>
    <t>02/15/2016,"40,093","39,808","40,671","39,808","1.75M","0.72%"</t>
  </si>
  <si>
    <t>02/12/2016,"39,808","39,324","39,901","39,324","3.43M","1.25%"</t>
  </si>
  <si>
    <t>02/11/2016,"39,318","40,370","40,370","38,928","3.79M","-2.62%"</t>
  </si>
  <si>
    <t>02/10/2016,"40,377","40,592","40,592","39,960","","-0.53%"</t>
  </si>
  <si>
    <t>02/05/2016,"40,592","40,812","41,249","40,566","3.67M","-0.56%"</t>
  </si>
  <si>
    <t>02/04/2016,"40,822","39,589","41,444","39,589","5.56M","3.11%"</t>
  </si>
  <si>
    <t>02/03/2016,"39,589","38,597","39,726","38,597","4.37M","2.57%"</t>
  </si>
  <si>
    <t>02/02/2016,"38,596","40,564","40,564","38,596","4.56M","-4.87%"</t>
  </si>
  <si>
    <t>02/01/2016,"40,570","40,397","40,570","39,738","3.77M","0.41%"</t>
  </si>
  <si>
    <t>01/29/2016,"40,406","38,635","40,406","38,635","5.65M","4.60%"</t>
  </si>
  <si>
    <t>01/28/2016,"38,630","38,376","39,100","37,996","4.60M","0.66%"</t>
  </si>
  <si>
    <t>01/27/2016,"38,376","37,501","38,766","37,402","4.79M","2.34%"</t>
  </si>
  <si>
    <t>01/26/2016,"37,497","38,031","38,031","37,112","3.72M","-1.40%"</t>
  </si>
  <si>
    <t>01/22/2016,"38,031","37,737","38,444","37,737","4.33M","0.83%"</t>
  </si>
  <si>
    <t>01/21/2016,"37,717","37,647","38,079","37,495","3.89M","0.19%"</t>
  </si>
  <si>
    <t>01/20/2016,"37,645","38,056","38,056","37,046","4.08M","-1.08%"</t>
  </si>
  <si>
    <t>01/19/2016,"38,057","37,941","38,857","37,941","3.14M","0.32%"</t>
  </si>
  <si>
    <t>01/18/2016,"37,937","38,572","38,633","37,937","2.23M","-1.64%"</t>
  </si>
  <si>
    <t>01/15/2016,"38,569","39,494","39,494","37,986","4.20M","-2.36%"</t>
  </si>
  <si>
    <t>01/14/2016,"39,500","38,944","39,502","38,459","3.99M","1.43%"</t>
  </si>
  <si>
    <t>01/13/2016,"38,944","39,518","40,050","38,822","3.68M","-1.44%"</t>
  </si>
  <si>
    <t>01/12/2016,"39,514","39,955","40,261","39,426","3.49M","-1.09%"</t>
  </si>
  <si>
    <t>01/11/2016,"39,950","40,612","40,974","39,924","3.18M","-1.63%"</t>
  </si>
  <si>
    <t>01/08/2016,"40,612","40,695","41,218","40,463","3.32M","-0.20%"</t>
  </si>
  <si>
    <t>01/07/2016,"40,695","41,772","41,772","40,695","4.16M","-2.58%"</t>
  </si>
  <si>
    <t>01/06/2016,"41,773","42,410","42,410","41,590","4.06M","-1.52%"</t>
  </si>
  <si>
    <t>01/05/2016,"42,419","42,139","42,534","42,137","2.64M","0.66%"</t>
  </si>
  <si>
    <t>01/04/2016,"42,141","43,349","43,349","42,125","3.07M","-2.79%"</t>
  </si>
  <si>
    <t>12/30/2015,"43,350","43,653","43,662","43,217","2.76M","-0.70%"</t>
  </si>
  <si>
    <t>12/29/2015,"43,654","43,781","44,042","43,523","1.73M","-0.25%"</t>
  </si>
  <si>
    <t>12/28/2015,"43,764","44,016","44,087","43,709","1.85M","-0.57%"</t>
  </si>
  <si>
    <t>12/23/2015,"44,015","43,479","44,233","43,479","2.58M","1.25%"</t>
  </si>
  <si>
    <t>12/22/2015,"43,470","43,208","43,632","43,137","2.66M","0.63%"</t>
  </si>
  <si>
    <t>12/21/2015,"43,200","43,912","44,223","43,196","3.56M","-1.62%"</t>
  </si>
  <si>
    <t>12/18/2015,"43,911","45,249","45,249","43,690","4.71M","-2.98%"</t>
  </si>
  <si>
    <t>12/17/2015,"45,261","45,016","46,251","45,016","3.12M","0.54%"</t>
  </si>
  <si>
    <t>12/16/2015,"45,016","44,868","45,099","44,095","3.43M","0.32%"</t>
  </si>
  <si>
    <t>12/15/2015,"44,872","44,748","45,423","44,748","2.64M","0.28%"</t>
  </si>
  <si>
    <t>12/14/2015,"44,747","45,258","45,258","44,531","2.56M","-1.14%"</t>
  </si>
  <si>
    <t>12/11/2015,"45,263","45,630","45,981","45,068","3.38M","-0.81%"</t>
  </si>
  <si>
    <t>12/10/2015,"45,631","46,084","46,323","45,351","3.75M","-1.03%"</t>
  </si>
  <si>
    <t>12/09/2015,"46,108","44,444","46,438","44,444","4.58M","3.75%"</t>
  </si>
  <si>
    <t>12/08/2015,"44,443","45,223","45,233","44,232","3.30M","-1.72%"</t>
  </si>
  <si>
    <t>12/07/2015,"45,223","45,361","46,157","45,217","2.94M","-0.30%"</t>
  </si>
  <si>
    <t>12/04/2015,"45,361","46,385","46,385","45,023","3.63M","-2.22%"</t>
  </si>
  <si>
    <t>12/03/2015,"46,393","44,923","47,142","44,923","4.56M","3.29%"</t>
  </si>
  <si>
    <t>12/02/2015,"44,915","45,046","45,338","44,579","4.31M","-0.29%"</t>
  </si>
  <si>
    <t>12/01/2015,"45,047","45,121","45,482","44,775","4.31M","-0.16%"</t>
  </si>
  <si>
    <t>11/30/2015,"45,120","45,871","45,931","45,106","7.39M","-1.64%"</t>
  </si>
  <si>
    <t>11/27/2015,"45,873","47,144","47,144","45,812","3.13M","-2.70%"</t>
  </si>
  <si>
    <t>11/26/2015,"47,146","46,867","47,199","46,867","2.36M","0.60%"</t>
  </si>
  <si>
    <t>11/25/2015,"46,867","48,270","48,270","46,742","4.10M","-2.93%"</t>
  </si>
  <si>
    <t>11/24/2015,"48,284","48,143","48,320","47,442","3.55M","0.28%"</t>
  </si>
  <si>
    <t>11/23/2015,"48,150","48,138","48,745","47,988","3.38M","0.02%"</t>
  </si>
  <si>
    <t>11/19/2015,"48,139","47,437","48,227","47,437","4.19M","1.48%"</t>
  </si>
  <si>
    <t>11/18/2015,"47,436","47,241","47,951","47,241","4.09M","0.40%"</t>
  </si>
  <si>
    <t>11/17/2015,"47,248","46,848","47,698","46,848","3.45M","0.86%"</t>
  </si>
  <si>
    <t>11/16/2015,"46,847","46,519","46,905","46,399","3.24M","0.71%"</t>
  </si>
  <si>
    <t>11/13/2015,"46,517","46,884","46,884","46,311","3.63M","-0.78%"</t>
  </si>
  <si>
    <t>11/12/2015,"46,884","47,065","47,460","46,696","3.25M","-0.38%"</t>
  </si>
  <si>
    <t>11/11/2015,"47,065","46,207","47,231","46,207","3.17M","1.86%"</t>
  </si>
  <si>
    <t>11/10/2015,"46,207","46,195","46,207","45,397","2.48M","0.03%"</t>
  </si>
  <si>
    <t>11/09/2015,"46,195","46,915","47,001","46,057","2.35M","-1.54%"</t>
  </si>
  <si>
    <t>11/06/2015,"46,919","48,046","48,046","46,397","3.19M","-2.35%"</t>
  </si>
  <si>
    <t>11/05/2015,"48,047","47,712","48,061","47,430","3.19M","0.71%"</t>
  </si>
  <si>
    <t>11/04/2015,"47,710","48,059","49,054","47,441","3.74M","-0.72%"</t>
  </si>
  <si>
    <t>11/03/2015,"48,054","45,869","48,054","45,866","4.75M","4.76%"</t>
  </si>
  <si>
    <t>10/30/2015,"45,869","45,628","45,975","45,401","3.33M","0.53%"</t>
  </si>
  <si>
    <t>10/29/2015,"45,628","46,740","46,740","45,628","3.18M","-2.38%"</t>
  </si>
  <si>
    <t>10/28/2015,"46,741","47,038","47,441","46,388","4.09M","-0.64%"</t>
  </si>
  <si>
    <t>10/27/2015,"47,043","47,205","47,338","46,742","3.44M","-0.35%"</t>
  </si>
  <si>
    <t>10/26/2015,"47,209","47,607","47,875","47,105","2.53M","-0.82%"</t>
  </si>
  <si>
    <t>10/23/2015,"47,597","47,774","48,837","47,502","3.59M","-0.37%"</t>
  </si>
  <si>
    <t>10/22/2015,"47,772","47,027","47,909","47,027","3.22M","1.59%"</t>
  </si>
  <si>
    <t>10/21/2015,"47,026","47,077","47,274","46,654","3.05M","-0.11%"</t>
  </si>
  <si>
    <t>10/20/2015,"47,077","47,447","47,728","46,623","3.40M","-0.78%"</t>
  </si>
  <si>
    <t>10/19/2015,"47,447","47,242","47,536","46,917","3.13M","0.45%"</t>
  </si>
  <si>
    <t>10/16/2015,"47,236","47,161","47,727","46,517","3.65M","0.16%"</t>
  </si>
  <si>
    <t>10/15/2015,"47,161","46,730","47,188","46,321","3.65M","0.97%"</t>
  </si>
  <si>
    <t>10/14/2015,"46,710","47,349","47,715","46,701","6.14M","-1.38%"</t>
  </si>
  <si>
    <t>10/13/2015,"47,363","49,339","49,339","47,135","4.35M","-4.00%"</t>
  </si>
  <si>
    <t>10/09/2015,"49,338","49,105","49,752","48,698","4.69M","0.47%"</t>
  </si>
  <si>
    <t>10/08/2015,"49,107","48,915","49,247","48,658","3.70M","0.39%"</t>
  </si>
  <si>
    <t>10/07/2015,"48,914","47,735","49,290","47,715","6.25M","2.47%"</t>
  </si>
  <si>
    <t>10/06/2015,"47,735","47,598","48,092","47,389","3.37M","0.29%"</t>
  </si>
  <si>
    <t>10/05/2015,"47,598","47,033","48,081","47,019","3.32M","1.20%"</t>
  </si>
  <si>
    <t>10/02/2015,"47,033","45,313","47,033","44,973","4.13M","3.80%"</t>
  </si>
  <si>
    <t>10/01/2015,"45,313","45,064","45,547","44,789","3.89M","0.56%"</t>
  </si>
  <si>
    <t>09/30/2015,"45,059","44,132","45,294","44,132","4.98M","2.10%"</t>
  </si>
  <si>
    <t>09/29/2015,"44,132","43,956","44,531","43,956","3.05M","0.40%"</t>
  </si>
  <si>
    <t>09/28/2015,"43,957","44,832","44,832","43,767","2.86M","-1.95%"</t>
  </si>
  <si>
    <t>09/25/2015,"44,831","45,300","45,969","44,697","3.23M","-1.02%"</t>
  </si>
  <si>
    <t>09/24/2015,"45,292","45,340","45,572","44,183","4.47M","-0.11%"</t>
  </si>
  <si>
    <t>09/23/2015,"45,340","46,263","46,480","45,340","4.08M","-2.00%"</t>
  </si>
  <si>
    <t>09/22/2015,"46,265","46,585","46,585","45,276","4.32M","-0.70%"</t>
  </si>
  <si>
    <t>09/21/2015,"46,590","47,263","47,391","46,425","2.68M","-1.43%"</t>
  </si>
  <si>
    <t>09/18/2015,"47,264","48,550","48,550","46,928","4.52M","-2.65%"</t>
  </si>
  <si>
    <t>09/17/2015,"48,551","48,553","49,396","48,082","4.31M","0.00%"</t>
  </si>
  <si>
    <t>09/16/2015,"48,553","47,364","48,681","47,364","4.45M","2.51%"</t>
  </si>
  <si>
    <t>09/15/2015,"47,364","47,281","47,689","46,746","3.67M","0.17%"</t>
  </si>
  <si>
    <t>09/14/2015,"47,282","46,400","47,386","46,218","3.69M","1.90%"</t>
  </si>
  <si>
    <t>09/11/2015,"46,401","46,509","46,558","46,176","3.62M","-0.22%"</t>
  </si>
  <si>
    <t>09/10/2015,"46,504","46,656","46,819","45,592","4.62M","-0.33%"</t>
  </si>
  <si>
    <t>09/09/2015,"46,657","46,762","47,840","46,614","3.81M","-0.22%"</t>
  </si>
  <si>
    <t>09/08/2015,"46,762","46,501","47,243","46,497","2.94M","0.57%"</t>
  </si>
  <si>
    <t>09/04/2015,"46,498","47,366","47,377","46,320","4.30M","-1.83%"</t>
  </si>
  <si>
    <t>09/03/2015,"47,366","46,468","47,532","46,279","4.23M","1.94%"</t>
  </si>
  <si>
    <t>09/02/2015,"46,464","45,484","46,474","45,445","3.86M","2.17%"</t>
  </si>
  <si>
    <t>09/01/2015,"45,477","46,625","46,625","45,278","3.78M","-2.46%"</t>
  </si>
  <si>
    <t>08/31/2015,"46,626","47,151","47,151","45,570","4.95M","-1.12%"</t>
  </si>
  <si>
    <t>08/28/2015,"47,154","47,697","47,872","46,847","3.90M","-1.18%"</t>
  </si>
  <si>
    <t>08/27/2015,"47,715","46,038","47,997","46,038","4.38M","3.64%"</t>
  </si>
  <si>
    <t>08/26/2015,"46,038","44,546","46,039","44,540","3.86M","3.35%"</t>
  </si>
  <si>
    <t>08/25/2015,"44,545","44,338","45,588","44,338","3.84M","0.47%"</t>
  </si>
  <si>
    <t>08/24/2015,"44,336","45,715","45,715","42,749","4.87M","-3.03%"</t>
  </si>
  <si>
    <t>08/21/2015,"45,720","46,649","46,649","45,677","2.96M","-1.99%"</t>
  </si>
  <si>
    <t>08/20/2015,"46,649","46,588","46,781","46,030","3.04M","0.13%"</t>
  </si>
  <si>
    <t>08/19/2015,"46,588","47,451","47,451","45,977","3.34M","-1.82%"</t>
  </si>
  <si>
    <t>08/18/2015,"47,451","47,220","48,084","46,676","3.65M","0.50%"</t>
  </si>
  <si>
    <t>08/17/2015,"47,217","47,509","47,788","47,217","2.49M","-0.61%"</t>
  </si>
  <si>
    <t>08/14/2015,"47,508","48,010","48,186","47,508","2.97M","-1.05%"</t>
  </si>
  <si>
    <t>08/13/2015,"48,010","48,390","48,606","47,722","3.29M","-0.78%"</t>
  </si>
  <si>
    <t>08/12/2015,"48,388","49,064","49,064","48,028","4.37M","-1.39%"</t>
  </si>
  <si>
    <t>08/11/2015,"49,072","49,340","49,340","48,306","3.29M","-0.57%"</t>
  </si>
  <si>
    <t>08/10/2015,"49,353","48,578","49,512","48,578","2.93M","1.60%"</t>
  </si>
  <si>
    <t>08/07/2015,"48,577","50,013","50,013","48,512","3.32M","-2.87%"</t>
  </si>
  <si>
    <t>08/06/2015,"50,011","50,280","50,534","49,624","3.75M","-0.55%"</t>
  </si>
  <si>
    <t>08/05/2015,"50,287","50,067","50,853","50,067","2.75M","0.46%"</t>
  </si>
  <si>
    <t>08/04/2015,"50,058","50,138","50,574","49,827","2.75M","-0.16%"</t>
  </si>
  <si>
    <t>08/03/2015,"50,138","50,867","50,867","50,054","2.69M","-1.43%"</t>
  </si>
  <si>
    <t>07/31/2015,"50,865","49,897","50,895","49,892","3.14M","1.94%"</t>
  </si>
  <si>
    <t>07/30/2015,"49,897","50,245","50,645","49,612","3.26M","-0.69%"</t>
  </si>
  <si>
    <t>07/29/2015,"50,245","49,602","50,333","49,422","3.75M","1.30%"</t>
  </si>
  <si>
    <t>07/28/2015,"49,602","48,740","49,871","48,740","4.14M","1.78%"</t>
  </si>
  <si>
    <t>07/27/2015,"48,736","49,246","49,298","48,640","3.49M","-1.04%"</t>
  </si>
  <si>
    <t>07/24/2015,"49,246","49,804","49,831","48,624","3.74M","-1.13%"</t>
  </si>
  <si>
    <t>07/23/2015,"49,807","50,916","51,063","49,668","4.31M","-2.18%"</t>
  </si>
  <si>
    <t>07/22/2015,"50,916","51,474","51,474","50,592","3.22M","-1.08%"</t>
  </si>
  <si>
    <t>07/21/2015,"51,474","51,603","51,998","51,244","3.03M","-0.24%"</t>
  </si>
  <si>
    <t>07/20/2015,"51,600","52,341","52,424","51,525","2.72M","-1.42%"</t>
  </si>
  <si>
    <t>07/17/2015,"52,342","53,070","53,310","52,221","2.52M","-1.37%"</t>
  </si>
  <si>
    <t>07/16/2015,"53,070","52,902","53,417","52,714","2.14M","0.32%"</t>
  </si>
  <si>
    <t>07/15/2015,"52,902","53,239","53,334","52,790","2.61M","-0.63%"</t>
  </si>
  <si>
    <t>07/14/2015,"53,239","53,119","53,416","52,653","2.74M","0.23%"</t>
  </si>
  <si>
    <t>07/13/2015,"53,119","52,591","53,164","52,591","2.69M","1.00%"</t>
  </si>
  <si>
    <t>07/10/2015,"52,591","51,782","52,786","51,782","2.76M","1.56%"</t>
  </si>
  <si>
    <t>07/08/2015,"51,782","52,343","52,468","51,574","2.97M","-1.07%"</t>
  </si>
  <si>
    <t>07/07/2015,"52,344","52,149","52,388","51,130","3.65M","0.37%"</t>
  </si>
  <si>
    <t>07/06/2015,"52,149","52,510","52,679","51,683","2.65M","-0.70%"</t>
  </si>
  <si>
    <t>07/03/2015,"52,519","53,106","53,106","52,370","1.54M","-1.11%"</t>
  </si>
  <si>
    <t>07/02/2015,"53,106","52,758","53,357","52,758","3.09M","0.66%"</t>
  </si>
  <si>
    <t>07/01/2015,"52,758","53,081","53,456","52,603","2.80M","-0.61%"</t>
  </si>
  <si>
    <t>06/30/2015,"53,081","53,014","53,345","52,812","3.11M","0.13%"</t>
  </si>
  <si>
    <t>06/29/2015,"53,014","54,013","54,013","52,647","2.63M","-1.86%"</t>
  </si>
  <si>
    <t>06/26/2015,"54,017","53,181","54,076","53,151","2.79M","1.58%"</t>
  </si>
  <si>
    <t>06/25/2015,"53,176","53,840","53,840","52,879","3.33M","-1.24%"</t>
  </si>
  <si>
    <t>06/24/2015,"53,843","53,772","54,236","53,628","2.82M","0.13%"</t>
  </si>
  <si>
    <t>06/23/2015,"53,772","53,865","54,361","53,772","2.71M","-0.17%"</t>
  </si>
  <si>
    <t>06/22/2015,"53,864","53,750","54,342","53,655","2.43M","0.21%"</t>
  </si>
  <si>
    <t>06/19/2015,"53,749","54,236","54,236","53,479","2.95M","-0.90%"</t>
  </si>
  <si>
    <t>06/18/2015,"54,239","53,251","54,352","53,214","2.75M","1.86%"</t>
  </si>
  <si>
    <t>06/17/2015,"53,249","53,698","53,755","52,965","3.09M","-0.84%"</t>
  </si>
  <si>
    <t>06/16/2015,"53,702","53,144","53,969","53,107","3.38M","1.06%"</t>
  </si>
  <si>
    <t>06/15/2015,"53,138","53,338","53,338","52,548","2.69M","-0.39%"</t>
  </si>
  <si>
    <t>06/12/2015,"53,348","53,689","53,689","53,033","2.45M","-0.64%"</t>
  </si>
  <si>
    <t>06/11/2015,"53,689","53,876","54,271","53,444","3.19M","-0.35%"</t>
  </si>
  <si>
    <t>06/10/2015,"53,876","52,817","54,102","52,817","3.70M","2.01%"</t>
  </si>
  <si>
    <t>06/09/2015,"52,816","52,810","53,292","52,688","3.79M","0.01%"</t>
  </si>
  <si>
    <t>06/08/2015,"52,810","52,975","53,325","52,810","2.66M","-0.31%"</t>
  </si>
  <si>
    <t>06/05/2015,"52,973","53,518","53,518","52,808","2.81M","-1.03%"</t>
  </si>
  <si>
    <t>06/03/2015,"53,523","54,254","54,254","53,462","3.42M","-1.31%"</t>
  </si>
  <si>
    <t>06/02/2015,"54,236","53,035","54,236","53,035","3.58M","2.27%"</t>
  </si>
  <si>
    <t>06/01/2015,"53,031","52,753","53,233","52,666","2.76M","0.51%"</t>
  </si>
  <si>
    <t>05/29/2015,"52,760","53,974","53,974","52,760","5.73M","-2.25%"</t>
  </si>
  <si>
    <t>05/28/2015,"53,976","54,230","54,230","53,363","3.00M","-0.48%"</t>
  </si>
  <si>
    <t>05/27/2015,"54,236","53,631","54,293","53,136","3.58M","1.13%"</t>
  </si>
  <si>
    <t>05/26/2015,"53,630","54,609","54,609","53,548","3.43M","-1.79%"</t>
  </si>
  <si>
    <t>05/25/2015,"54,609","54,378","54,868","53,972","1.65M","0.43%"</t>
  </si>
  <si>
    <t>05/22/2015,"54,377","55,112","55,223","54,038","3.80M","-1.33%"</t>
  </si>
  <si>
    <t>05/21/2015,"55,112","54,900","55,112","54,526","3.41M","0.38%"</t>
  </si>
  <si>
    <t>05/20/2015,"54,901","55,497","55,645","54,820","3.38M","-1.08%"</t>
  </si>
  <si>
    <t>05/19/2015,"55,499","56,204","56,212","55,027","3.32M","-1.25%"</t>
  </si>
  <si>
    <t>05/18/2015,"56,204","57,250","57,606","55,926","3.90M","-1.83%"</t>
  </si>
  <si>
    <t>05/15/2015,"57,249","56,656","57,288","56,422","2.98M","1.04%"</t>
  </si>
  <si>
    <t>05/14/2015,"56,657","56,376","56,921","56,105","3.31M","0.51%"</t>
  </si>
  <si>
    <t>05/13/2015,"56,372","56,790","56,900","56,199","3.17M","-0.74%"</t>
  </si>
  <si>
    <t>05/12/2015,"56,792","57,193","57,424","56,753","3.18M","-0.71%"</t>
  </si>
  <si>
    <t>05/11/2015,"57,197","57,166","57,490","57,013","3.06M","0.08%"</t>
  </si>
  <si>
    <t>05/08/2015,"57,149","56,965","57,621","56,595","3.41M","0.40%"</t>
  </si>
  <si>
    <t>05/07/2015,"56,921","57,103","57,290","56,507","3.07M","-0.32%"</t>
  </si>
  <si>
    <t>05/06/2015,"57,103","58,050","58,575","56,820","4.60M","-1.63%"</t>
  </si>
  <si>
    <t>05/05/2015,"58,052","57,350","58,147","57,096","3.90M","1.22%"</t>
  </si>
  <si>
    <t>05/04/2015,"57,354","56,230","57,520","56,230","3.49M","2.00%"</t>
  </si>
  <si>
    <t>04/30/2015,"56,229","55,312","56,229","55,080","4.95M","1.63%"</t>
  </si>
  <si>
    <t>04/29/2015,"55,325","55,809","55,809","55,067","3.89M","-0.87%"</t>
  </si>
  <si>
    <t>04/28/2015,"55,812","55,549","56,018","54,973","4.08M","0.50%"</t>
  </si>
  <si>
    <t>04/27/2015,"55,534","56,554","56,962","55,515","3.85M","-1.87%"</t>
  </si>
  <si>
    <t>04/24/2015,"56,594","55,687","56,965","55,687","4.98M","1.63%"</t>
  </si>
  <si>
    <t>04/23/2015,"55,685","54,616","55,782","54,064","5.54M","1.96%"</t>
  </si>
  <si>
    <t>04/22/2015,"54,617","53,762","54,848","53,762","3.70M","1.59%"</t>
  </si>
  <si>
    <t>04/20/2015,"53,761","53,965","54,385","53,510","2.69M","-0.36%"</t>
  </si>
  <si>
    <t>04/17/2015,"53,955","54,672","54,672","53,896","3.54M","-1.32%"</t>
  </si>
  <si>
    <t>04/16/2015,"54,674","54,919","54,919","54,316","4.13M","-0.45%"</t>
  </si>
  <si>
    <t>04/15/2015,"54,919","54,037","54,960","54,037","4.07M","1.74%"</t>
  </si>
  <si>
    <t>04/14/2015,"53,982","54,240","54,625","53,773","3.75M","-0.48%"</t>
  </si>
  <si>
    <t>04/13/2015,"54,240","54,214","54,866","54,004","3.66M","0.05%"</t>
  </si>
  <si>
    <t>04/10/2015,"54,214","53,803","54,413","53,556","3.68M","0.76%"</t>
  </si>
  <si>
    <t>04/09/2015,"53,803","53,638","54,002","53,292","4.34M","0.26%"</t>
  </si>
  <si>
    <t>04/08/2015,"53,661","53,732","54,458","53,508","4.78M","-0.13%"</t>
  </si>
  <si>
    <t>04/07/2015,"53,729","53,738","54,002","53,436","3.49M","-0.01%"</t>
  </si>
  <si>
    <t>04/06/2015,"53,737","53,124","54,146","53,122","3.32M","1.16%"</t>
  </si>
  <si>
    <t>04/02/2015,"53,123","52,322","53,312","52,322","4.27M","1.53%"</t>
  </si>
  <si>
    <t>04/01/2015,"52,322","51,186","52,613","51,186","4.41M","2.29%"</t>
  </si>
  <si>
    <t>03/31/2015,"51,150","51,243","51,466","50,612","3.51M","-0.18%"</t>
  </si>
  <si>
    <t>03/30/2015,"51,243","50,100","51,265","50,100","2.80M","2.29%"</t>
  </si>
  <si>
    <t>03/27/2015,"50,095","50,575","50,575","49,909","3.93M","-0.96%"</t>
  </si>
  <si>
    <t>03/26/2015,"50,580","51,835","51,835","50,528","3.64M","-2.46%"</t>
  </si>
  <si>
    <t>03/25/2015,"51,858","51,507","52,319","51,507","4.77M","0.68%"</t>
  </si>
  <si>
    <t>03/24/2015,"51,506","51,908","52,223","51,006","3.44M","-0.77%"</t>
  </si>
  <si>
    <t>03/23/2015,"51,908","51,970","52,178","51,516","3.40M","-0.11%"</t>
  </si>
  <si>
    <t>03/20/2015,"51,967","50,964","52,286","50,964","4.92M","1.99%"</t>
  </si>
  <si>
    <t>03/19/2015,"50,954","51,530","51,547","50,791","3.26M","-1.11%"</t>
  </si>
  <si>
    <t>03/18/2015,"51,526","50,284","51,773","49,788","4.46M","2.47%"</t>
  </si>
  <si>
    <t>03/17/2015,"50,285","48,849","50,384","48,841","4.01M","2.94%"</t>
  </si>
  <si>
    <t>03/16/2015,"48,848","48,602","49,205","48,394","3.16M","0.52%"</t>
  </si>
  <si>
    <t>03/13/2015,"48,596","48,858","48,858","47,905","4.48M","-0.58%"</t>
  </si>
  <si>
    <t>03/12/2015,"48,880","48,908","49,633","48,684","3.83M","-0.05%"</t>
  </si>
  <si>
    <t>03/11/2015,"48,906","48,309","48,937","48,309","3.84M","1.27%"</t>
  </si>
  <si>
    <t>03/10/2015,"48,293","49,177","49,177","48,293","4.43M","-1.81%"</t>
  </si>
  <si>
    <t>03/09/2015,"49,181","49,978","49,978","48,952","3.30M","-1.60%"</t>
  </si>
  <si>
    <t>03/06/2015,"49,981","50,355","50,401","49,779","2.79M","-0.76%"</t>
  </si>
  <si>
    <t>03/05/2015,"50,365","50,472","50,734","50,114","2.73M","-0.20%"</t>
  </si>
  <si>
    <t>03/04/2015,"50,468","51,303","51,303","50,399","3.65M","-1.63%"</t>
  </si>
  <si>
    <t>03/03/2015,"51,304","51,021","51,432","50,995","2.75M","0.55%"</t>
  </si>
  <si>
    <t>03/02/2015,"51,021","51,580","51,580","50,775","2.79M","-1.09%"</t>
  </si>
  <si>
    <t>02/27/2015,"51,583","51,760","52,457","51,474","4.18M","-0.34%"</t>
  </si>
  <si>
    <t>02/26/2015,"51,761","51,812","51,922","51,181","3.24M","-0.10%"</t>
  </si>
  <si>
    <t>02/25/2015,"51,811","51,863","51,863","51,051","3.48M","-0.12%"</t>
  </si>
  <si>
    <t>02/24/2015,"51,874","51,288","51,956","51,049","3.00M","1.16%"</t>
  </si>
  <si>
    <t>02/23/2015,"51,281","51,238","51,690","50,861","2.82M","0.08%"</t>
  </si>
  <si>
    <t>02/20/2015,"51,238","51,301","51,450","50,711","2.21M","-0.11%"</t>
  </si>
  <si>
    <t>02/19/2015,"51,294","51,281","51,638","50,870","2.49M","0.03%"</t>
  </si>
  <si>
    <t>02/18/2015,"51,280","50,639","51,868","50,639","2.94M","1.27%"</t>
  </si>
  <si>
    <t>02/13/2015,"50,636","49,546","50,726","49,476","3.89M","2.23%"</t>
  </si>
  <si>
    <t>02/12/2015,"49,533","48,240","49,690","48,240","3.83M","2.68%"</t>
  </si>
  <si>
    <t>02/11/2015,"48,240","48,508","48,762","47,841","4.31M","-0.56%"</t>
  </si>
  <si>
    <t>02/10/2015,"48,510","49,359","49,799","48,510","3.80M","-1.77%"</t>
  </si>
  <si>
    <t>02/09/2015,"49,383","48,792","49,522","48,416","3.66M","1.21%"</t>
  </si>
  <si>
    <t>02/06/2015,"48,792","49,231","49,231","48,209","4.59M","-0.90%"</t>
  </si>
  <si>
    <t>02/05/2015,"49,234","49,299","49,816","49,020","4.00M","-0.14%"</t>
  </si>
  <si>
    <t>02/04/2015,"49,301","48,965","49,718","48,214","4.81M","0.69%"</t>
  </si>
  <si>
    <t>02/03/2015,"48,964","47,664","48,993","47,664","4.82M","2.76%"</t>
  </si>
  <si>
    <t>02/02/2015,"47,651","46,933","47,684","46,760","3.25M","1.58%"</t>
  </si>
  <si>
    <t>01/30/2015,"46,908","47,759","47,759","46,484","4.85M","-1.79%"</t>
  </si>
  <si>
    <t>01/29/2015,"47,762","47,696","47,894","47,007","4.41M","0.14%"</t>
  </si>
  <si>
    <t>01/28/2015,"47,695","48,589","48,589","47,550","4.24M","-1.84%"</t>
  </si>
  <si>
    <t>01/27/2015,"48,591","48,577","48,864","47,352","3.89M","0.03%"</t>
  </si>
  <si>
    <t>01/26/2015,"48,577","48,712","48,712","48,004","2.77M","-0.41%"</t>
  </si>
  <si>
    <t>01/23/2015,"48,775","49,432","49,523","48,496","3.08M","-1.35%"</t>
  </si>
  <si>
    <t>01/22/2015,"49,443","49,227","50,281","49,227","4.95M","0.44%"</t>
  </si>
  <si>
    <t>01/21/2015,"49,224","47,888","49,329","47,888","3.56M","2.81%"</t>
  </si>
  <si>
    <t>01/20/2015,"47,877","47,759","48,687","47,619","2.90M","0.25%"</t>
  </si>
  <si>
    <t>01/19/2015,"47,758","49,009","49,009","47,503","2.10M","-2.57%"</t>
  </si>
  <si>
    <t>01/16/2015,"49,017","48,028","49,264","48,028","3.34M","2.06%"</t>
  </si>
  <si>
    <t>01/15/2015,"48,026","47,648","48,853","47,648","4.46M","0.80%"</t>
  </si>
  <si>
    <t>01/14/2015,"47,646","48,038","48,281","47,372","3.70M","-0.82%"</t>
  </si>
  <si>
    <t>01/13/2015,"48,042","48,144","48,939","48,042","3.88M","-0.20%"</t>
  </si>
  <si>
    <t>01/12/2015,"48,140","48,840","48,840","47,956","3.25M","-1.43%"</t>
  </si>
  <si>
    <t>01/09/2015,"48,840","49,955","49,955","48,501","3.00M","-2.21%"</t>
  </si>
  <si>
    <t>01/08/2015,"49,943","49,463","50,261","49,017","3.62M","0.97%"</t>
  </si>
  <si>
    <t>01/07/2015,"49,463","48,006","49,882","48,006","4.41M","3.05%"</t>
  </si>
  <si>
    <t>01/06/2015,"48,001","47,517","48,061","47,338","4.56M","1.02%"</t>
  </si>
  <si>
    <t>01/05/2015,"47,517","48,512","48,512","47,264","3.87M","-2.05%"</t>
  </si>
  <si>
    <t>01/02/2015,"48,512","50,004","50,004","48,345","2.88M","-2.99%"</t>
  </si>
  <si>
    <t>12/30/2014,"50,007","50,601","50,841","49,993","2.93M","-1.16%"</t>
  </si>
  <si>
    <t>12/29/2014,"50,594","50,145","50,903","50,008","1.85M","0.90%"</t>
  </si>
  <si>
    <t>12/26/2014,"50,145","50,891","50,973","49,914","1.91M","-1.46%"</t>
  </si>
  <si>
    <t>12/23/2014,"50,890","50,121","50,890","49,815","2.67M","1.53%"</t>
  </si>
  <si>
    <t>12/22/2014,"50,121","49,651","50,121","49,105","2.68M","0.95%"</t>
  </si>
  <si>
    <t>12/19/2014,"49,651","48,492","49,658","48,435","3.62M","2.38%"</t>
  </si>
  <si>
    <t>12/18/2014,"48,496","48,714","49,565","48,296","4.24M","-0.45%"</t>
  </si>
  <si>
    <t>12/17/2014,"48,714","47,008","49,258","47,008","6.21M","3.63%"</t>
  </si>
  <si>
    <t>12/16/2014,"47,008","47,016","47,595","45,853","5.34M","-0.02%"</t>
  </si>
  <si>
    <t>12/15/2014,"47,019","48,002","48,401","46,410","4.69M","-2.05%"</t>
  </si>
  <si>
    <t>12/12/2014,"48,002","49,861","49,861","47,973","3.76M","-3.73%"</t>
  </si>
  <si>
    <t>12/11/2014,"49,862","49,549","49,946","48,809","3.83M","0.63%"</t>
  </si>
  <si>
    <t>12/10/2014,"49,548","50,192","50,192","49,297","3.17M","-1.29%"</t>
  </si>
  <si>
    <t>12/09/2014,"50,193","50,251","50,260","49,396","3.85M","-0.16%"</t>
  </si>
  <si>
    <t>12/08/2014,"50,274","51,993","51,993","50,016","3.30M","-3.31%"</t>
  </si>
  <si>
    <t>12/05/2014,"51,993","51,427","52,024","51,164","2.53M","1.10%"</t>
  </si>
  <si>
    <t>12/04/2014,"51,427","52,320","52,539","51,074","2.91M","-1.71%"</t>
  </si>
  <si>
    <t>12/03/2014,"52,320","51,611","52,471","51,611","2.72M","1.37%"</t>
  </si>
  <si>
    <t>12/02/2014,"51,612","52,278","52,640","51,471","3.30M","-1.27%"</t>
  </si>
  <si>
    <t>12/01/2014,"52,277","54,719","54,719","52,156","4.31M","-4.47%"</t>
  </si>
  <si>
    <t>11/28/2014,"54,724","54,731","55,436","54,664","2.64M","0.01%"</t>
  </si>
  <si>
    <t>11/27/2014,"54,721","55,100","56,065","54,593","2.29M","-0.68%"</t>
  </si>
  <si>
    <t>11/26/2014,"55,098","55,561","56,100","54,977","3.03M","-0.83%"</t>
  </si>
  <si>
    <t>11/25/2014,"55,561","55,410","56,387","55,204","5.03M","0.28%"</t>
  </si>
  <si>
    <t>11/24/2014,"55,407","56,086","57,359","55,292","4.59M","-1.21%"</t>
  </si>
  <si>
    <t>11/21/2014,"56,084","53,403","56,214","53,403","6.03M","5.02%"</t>
  </si>
  <si>
    <t>11/19/2014,"53,403","52,062","53,403","52,032","4.25M","2.58%"</t>
  </si>
  <si>
    <t>11/18/2014,"52,062","51,257","52,122","51,067","3.64M","1.57%"</t>
  </si>
  <si>
    <t>11/17/2014,"51,257","51,772","52,223","51,047","2.82M","-0.99%"</t>
  </si>
  <si>
    <t>11/14/2014,"51,772","51,834","51,900","50,886","3.79M","-0.14%"</t>
  </si>
  <si>
    <t>11/13/2014,"51,846","52,979","53,323","51,846","3.03M","-2.14%"</t>
  </si>
  <si>
    <t>11/12/2014,"52,979","52,473","53,435","52,187","3.20M","0.96%"</t>
  </si>
  <si>
    <t>11/11/2014,"52,474","52,718","52,718","52,003","2.68M","-0.48%"</t>
  </si>
  <si>
    <t>11/10/2014,"52,725","53,223","53,830","52,716","2.97M","-0.94%"</t>
  </si>
  <si>
    <t>11/07/2014,"53,223","52,637","53,483","52,197","3.59M","1.11%"</t>
  </si>
  <si>
    <t>11/06/2014,"52,637","53,697","53,697","52,418","3.69M","-1.98%"</t>
  </si>
  <si>
    <t>11/05/2014,"53,698","54,384","54,384","53,589","2.90M","-1.26%"</t>
  </si>
  <si>
    <t>11/04/2014,"54,384","53,947","54,384","53,432","3.53M","0.81%"</t>
  </si>
  <si>
    <t>11/03/2014,"53,947","54,629","54,629","53,054","3.67M","-1.25%"</t>
  </si>
  <si>
    <t>10/31/2014,"54,629","52,338","54,629","52,335","5.35M","4.38%"</t>
  </si>
  <si>
    <t>10/30/2014,"52,337","51,049","52,574","51,049","4.30M","2.52%"</t>
  </si>
  <si>
    <t>10/29/2014,"51,049","52,330","52,330","51,049","4.92M","-2.45%"</t>
  </si>
  <si>
    <t>10/28/2014,"52,330","50,504","52,374","50,503","5.76M","3.62%"</t>
  </si>
  <si>
    <t>10/27/2014,"50,504","51,937","51,937","48,722","8.00M","-2.77%"</t>
  </si>
  <si>
    <t>10/24/2014,"51,941","50,687","53,146","50,596","5.85M","2.42%"</t>
  </si>
  <si>
    <t>10/23/2014,"50,713","52,409","52,409","50,654","6.35M","-3.24%"</t>
  </si>
  <si>
    <t>10/22/2014,"52,411","52,427","53,229","52,064","3.76M","-0.04%"</t>
  </si>
  <si>
    <t>10/21/2014,"52,432","54,300","54,300","51,922","6.58M","-3.45%"</t>
  </si>
  <si>
    <t>10/20/2014,"54,303","55,720","55,720","54,300","3.87M","-2.55%"</t>
  </si>
  <si>
    <t>10/17/2014,"55,724","54,298","55,949","54,298","4.41M","2.63%"</t>
  </si>
  <si>
    <t>10/16/2014,"54,298","56,124","56,124","54,132","5.43M","-3.27%"</t>
  </si>
  <si>
    <t>10/15/2014,"56,135","58,012","58,012","54,919","5.67M","-3.24%"</t>
  </si>
  <si>
    <t>10/14/2014,"58,015","57,946","58,856","57,258","3.90M","0.10%"</t>
  </si>
  <si>
    <t>10/13/2014,"57,957","55,313","58,747","55,313","4.54M","4.78%"</t>
  </si>
  <si>
    <t>10/10/2014,"55,312","57,266","57,266","55,312","3.64M","-3.42%"</t>
  </si>
  <si>
    <t>10/09/2014,"57,268","57,079","58,246","57,077","4.50M","0.37%"</t>
  </si>
  <si>
    <t>10/08/2014,"57,058","57,440","58,191","56,199","4.81M","-0.66%"</t>
  </si>
  <si>
    <t>10/07/2014,"57,436","57,124","58,318","57,124","4.87M","0.56%"</t>
  </si>
  <si>
    <t>10/06/2014,"57,116","54,542","58,897","54,542","6.71M","4.72%"</t>
  </si>
  <si>
    <t>10/03/2014,"54,540","53,519","54,540","53,368","3.71M","1.91%"</t>
  </si>
  <si>
    <t>10/02/2014,"53,519","52,859","54,022","52,480","3.99M","1.25%"</t>
  </si>
  <si>
    <t>10/01/2014,"52,858","54,115","54,115","52,647","4.92M","-2.32%"</t>
  </si>
  <si>
    <t>09/30/2014,"54,116","54,626","54,626","53,536","5.22M","-0.93%"</t>
  </si>
  <si>
    <t>09/29/2014,"54,625","57,211","57,211","54,124","5.19M","-4.52%"</t>
  </si>
  <si>
    <t>09/26/2014,"57,212","55,965","57,489","55,946","2.98M","2.23%"</t>
  </si>
  <si>
    <t>09/25/2014,"55,962","56,822","56,822","55,876","2.85M","-1.52%"</t>
  </si>
  <si>
    <t>09/24/2014,"56,824","56,539","57,131","55,934","2.85M","0.50%"</t>
  </si>
  <si>
    <t>09/23/2014,"56,540","56,818","57,332","56,086","3.32M","-0.49%"</t>
  </si>
  <si>
    <t>09/22/2014,"56,818","57,788","57,788","55,974","3.81M","-1.68%"</t>
  </si>
  <si>
    <t>09/19/2014,"57,789","58,356","58,516","57,514","3.46M","-1.00%"</t>
  </si>
  <si>
    <t>09/18/2014,"58,374","59,108","59,267","58,118","3.85M","-1.24%"</t>
  </si>
  <si>
    <t>09/17/2014,"59,108","59,115","60,025","59,096","3.53M","-0.01%"</t>
  </si>
  <si>
    <t>09/16/2014,"59,115","57,949","60,243","57,946","4.88M","2.01%"</t>
  </si>
  <si>
    <t>09/15/2014,"57,949","56,930","57,949","56,852","2.90M","1.79%"</t>
  </si>
  <si>
    <t>09/12/2014,"56,928","58,336","58,336","56,666","4.62M","-2.42%"</t>
  </si>
  <si>
    <t>09/11/2014,"58,337","58,202","58,809","58,112","2.89M","0.24%"</t>
  </si>
  <si>
    <t>09/10/2014,"58,199","58,675","58,675","57,450","3.81M","-0.81%"</t>
  </si>
  <si>
    <t>09/09/2014,"58,676","59,158","59,485","58,306","4.46M","-0.87%"</t>
  </si>
  <si>
    <t>09/08/2014,"59,193","60,708","61,513","59,191","4.39M","-2.45%"</t>
  </si>
  <si>
    <t>09/05/2014,"60,682","60,800","61,030","60,244","3.81M","-0.19%"</t>
  </si>
  <si>
    <t>09/04/2014,"60,800","61,836","61,836","60,739","4.01M","-1.68%"</t>
  </si>
  <si>
    <t>09/03/2014,"61,837","61,900","62,305","61,199","4.16M","-0.10%"</t>
  </si>
  <si>
    <t>09/02/2014,"61,896","61,142","62,231","60,930","4.00M","1.23%"</t>
  </si>
  <si>
    <t>09/01/2014,"61,141","61,294","62,279","61,141","2.77M","-0.24%"</t>
  </si>
  <si>
    <t>08/29/2014,"61,288","60,291","61,443","60,273","4.94M","1.65%"</t>
  </si>
  <si>
    <t>08/28/2014,"60,291","60,945","60,980","60,189","4.46M","-1.08%"</t>
  </si>
  <si>
    <t>08/27/2014,"60,951","59,822","61,247","59,822","5.39M","1.89%"</t>
  </si>
  <si>
    <t>08/26/2014,"59,821","59,735","60,093","59,522","4.01M","0.14%"</t>
  </si>
  <si>
    <t>08/25/2014,"59,735","58,408","59,743","58,408","2.88M","2.27%"</t>
  </si>
  <si>
    <t>08/22/2014,"58,407","58,992","58,992","58,164","2.33M","-0.99%"</t>
  </si>
  <si>
    <t>08/21/2014,"58,992","58,878","59,207","58,558","3.32M","0.19%"</t>
  </si>
  <si>
    <t>08/20/2014,"58,878","58,450","59,010","58,320","3.30M","0.73%"</t>
  </si>
  <si>
    <t>08/19/2014,"58,449","57,561","58,475","57,371","3.48M","1.54%"</t>
  </si>
  <si>
    <t>08/18/2014,"57,561","56,968","57,665","56,968","3.27M","1.05%"</t>
  </si>
  <si>
    <t>08/15/2014,"56,964","55,783","56,965","55,783","3.44M","2.12%"</t>
  </si>
  <si>
    <t>08/14/2014,"55,780","55,558","55,947","55,437","3.05M","0.36%"</t>
  </si>
  <si>
    <t>08/13/2014,"55,581","56,454","56,736","55,239","4.81M","-1.53%"</t>
  </si>
  <si>
    <t>08/12/2014,"56,442","56,613","56,811","56,312","2.15M","-0.30%"</t>
  </si>
  <si>
    <t>08/11/2014,"56,613","55,578","56,657","55,578","2.67M","1.87%"</t>
  </si>
  <si>
    <t>08/08/2014,"55,573","56,187","56,187","55,319","3.02M","-1.09%"</t>
  </si>
  <si>
    <t>08/07/2014,"56,188","56,487","56,923","55,985","3.05M","-0.53%"</t>
  </si>
  <si>
    <t>08/06/2014,"56,487","56,202","56,797","55,696","4.01M","0.51%"</t>
  </si>
  <si>
    <t>08/05/2014,"56,202","56,621","56,937","56,064","3.75M","-0.73%"</t>
  </si>
  <si>
    <t>08/04/2014,"56,616","55,906","56,620","55,586","2.20M","1.28%"</t>
  </si>
  <si>
    <t>08/01/2014,"55,903","55,827","56,059","55,267","3.23M","0.13%"</t>
  </si>
  <si>
    <t>07/31/2014,"55,829","56,878","56,878","55,502","3.49M","-1.84%"</t>
  </si>
  <si>
    <t>07/30/2014,"56,878","57,119","57,439","56,706","2.45M","-0.42%"</t>
  </si>
  <si>
    <t>07/29/2014,"57,119","57,697","58,013","57,083","2.70M","-1.00%"</t>
  </si>
  <si>
    <t>07/28/2014,"57,696","57,823","58,040","57,415","2.37M","-0.22%"</t>
  </si>
  <si>
    <t>07/25/2014,"57,821","57,978","58,069","57,648","2.42M","-0.27%"</t>
  </si>
  <si>
    <t>07/24/2014,"57,978","57,420","58,122","57,357","3.04M","0.97%"</t>
  </si>
  <si>
    <t>07/23/2014,"57,420","57,983","57,983","57,142","2.74M","-0.97%"</t>
  </si>
  <si>
    <t>07/22/2014,"57,983","57,636","58,138","57,500","3.01M","0.61%"</t>
  </si>
  <si>
    <t>07/21/2014,"57,634","57,014","57,756","56,864","3.03M","1.09%"</t>
  </si>
  <si>
    <t>07/18/2014,"57,013","55,639","57,484","55,639","5.30M","2.47%"</t>
  </si>
  <si>
    <t>07/17/2014,"55,638","55,712","56,190","55,237","3.98M","-0.14%"</t>
  </si>
  <si>
    <t>07/16/2014,"55,717","55,973","56,332","55,573","4.09M","-0.46%"</t>
  </si>
  <si>
    <t>07/15/2014,"55,974","55,742","56,107","55,629","3.22M","0.41%"</t>
  </si>
  <si>
    <t>07/14/2014,"55,744","54,786","55,896","54,786","4.17M","1.75%"</t>
  </si>
  <si>
    <t>07/11/2014,"54,786","54,593","54,952","54,320","3.38M","0.35%"</t>
  </si>
  <si>
    <t>07/10/2014,"54,593","53,643","54,600","53,643","4.72M","1.79%"</t>
  </si>
  <si>
    <t>07/08/2014,"53,635","53,814","53,905","53,459","1.85M","-0.31%"</t>
  </si>
  <si>
    <t>07/07/2014,"53,802","54,042","54,042","53,376","2.19M","-0.47%"</t>
  </si>
  <si>
    <t>07/04/2014,"54,056","53,893","54,087","53,704","753.84K","0.34%"</t>
  </si>
  <si>
    <t>07/03/2014,"53,875","53,029","53,877","52,760","3.30M","1.60%"</t>
  </si>
  <si>
    <t>07/02/2014,"53,029","53,171","53,245","52,735","3.16M","-0.27%"</t>
  </si>
  <si>
    <t>07/01/2014,"53,171","53,170","53,698","52,887","2.69M","0.01%"</t>
  </si>
  <si>
    <t>06/30/2014,"53,168","53,158","53,311","52,709","2.45M","0.02%"</t>
  </si>
  <si>
    <t>06/27/2014,"53,157","53,507","53,614","52,919","2.37M","-0.65%"</t>
  </si>
  <si>
    <t>06/26/2014,"53,507","53,427","53,790","53,331","2.24M","0.15%"</t>
  </si>
  <si>
    <t>06/25/2014,"53,426","54,281","54,393","53,363","2.95M","-1.58%"</t>
  </si>
  <si>
    <t>06/24/2014,"54,281","54,194","55,002","54,094","3.12M","0.13%"</t>
  </si>
  <si>
    <t>06/23/2014,"54,210","54,637","54,724","54,097","1.40M","-0.78%"</t>
  </si>
  <si>
    <t>06/20/2014,"54,638","55,192","55,192","54,540","2.35M","-1.02%"</t>
  </si>
  <si>
    <t>06/18/2014,"55,203","54,301","55,203","54,046","3.27M","1.66%"</t>
  </si>
  <si>
    <t>06/17/2014,"54,300","54,630","54,638","54,150","1.59M","-0.60%"</t>
  </si>
  <si>
    <t>06/16/2014,"54,630","54,807","54,855","54,475","2.64M","-0.32%"</t>
  </si>
  <si>
    <t>06/13/2014,"54,807","55,102","55,104","54,649","2.66M","-0.54%"</t>
  </si>
  <si>
    <t>06/11/2014,"55,102","54,676","55,284","54,676","3.80M","0.91%"</t>
  </si>
  <si>
    <t>06/10/2014,"54,604","54,273","54,604","53,960","3.73M","0.61%"</t>
  </si>
  <si>
    <t>06/09/2014,"54,273","53,129","54,462","53,091","3.66M","2.15%"</t>
  </si>
  <si>
    <t>06/06/2014,"53,129","51,562","53,175","51,562","4.30M","3.05%"</t>
  </si>
  <si>
    <t>06/05/2014,"51,559","51,833","52,245","51,470","2.89M","-0.53%"</t>
  </si>
  <si>
    <t>06/04/2014,"51,833","52,032","52,032","51,609","2.57M","-0.38%"</t>
  </si>
  <si>
    <t>06/03/2014,"52,032","51,606","52,032","51,377","2.86M","0.83%"</t>
  </si>
  <si>
    <t>06/02/2014,"51,606","51,239","51,879","51,239","2.60M","0.72%"</t>
  </si>
  <si>
    <t>05/30/2014,"51,239","52,233","52,233","51,239","4.53M","-1.91%"</t>
  </si>
  <si>
    <t>05/29/2014,"52,239","52,649","52,889","52,031","2.39M","-0.76%"</t>
  </si>
  <si>
    <t>05/28/2014,"52,640","52,174","52,858","52,009","2.84M","0.89%"</t>
  </si>
  <si>
    <t>05/27/2014,"52,174","52,932","53,309","52,079","2.89M","-1.43%"</t>
  </si>
  <si>
    <t>05/26/2014,"52,933","52,650","53,044","52,650","1.19M","0.58%"</t>
  </si>
  <si>
    <t>05/23/2014,"52,626","52,807","52,936","52,403","2.46M","-0.34%"</t>
  </si>
  <si>
    <t>05/22/2014,"52,806","52,206","52,851","52,133","2.94M","1.16%"</t>
  </si>
  <si>
    <t>05/21/2014,"52,203","52,366","52,875","52,203","3.25M","-0.31%"</t>
  </si>
  <si>
    <t>05/20/2014,"52,366","53,353","53,843","52,313","3.95M","-1.85%"</t>
  </si>
  <si>
    <t>05/19/2014,"53,353","53,976","53,991","53,267","3.09M","-1.15%"</t>
  </si>
  <si>
    <t>05/16/2014,"53,976","53,856","54,382","53,709","3.54M","0.22%"</t>
  </si>
  <si>
    <t>05/15/2014,"53,856","54,404","54,404","53,565","3.44M","-1.02%"</t>
  </si>
  <si>
    <t>05/14/2014,"54,413","53,913","54,459","53,867","2.88M","0.94%"</t>
  </si>
  <si>
    <t>05/13/2014,"53,907","54,056","54,243","53,731","2.96M","-0.27%"</t>
  </si>
  <si>
    <t>05/12/2014,"54,053","53,103","54,053","53,103","2.74M","1.79%"</t>
  </si>
  <si>
    <t>05/09/2014,"53,100","53,422","53,639","53,057","3.18M","-0.60%"</t>
  </si>
  <si>
    <t>05/08/2014,"53,422","54,053","54,249","53,222","3.34M","-1.17%"</t>
  </si>
  <si>
    <t>05/07/2014,"54,053","53,786","54,226","53,499","4.57M","0.51%"</t>
  </si>
  <si>
    <t>05/06/2014,"53,780","53,446","53,986","53,094","4.97M","0.62%"</t>
  </si>
  <si>
    <t>05/05/2014,"53,446","52,989","53,506","52,931","4.44M","0.88%"</t>
  </si>
  <si>
    <t>05/02/2014,"52,980","51,630","53,060","51,628","8.11M","2.62%"</t>
  </si>
  <si>
    <t>04/30/2014,"51,627","51,838","51,838","51,251","4.62M","-0.41%"</t>
  </si>
  <si>
    <t>04/29/2014,"51,839","51,386","52,416","51,386","4.33M","0.89%"</t>
  </si>
  <si>
    <t>04/28/2014,"51,384","51,397","51,471","50,777","2.71M","-0.03%"</t>
  </si>
  <si>
    <t>04/25/2014,"51,399","51,817","51,817","51,019","2.95M","-0.81%"</t>
  </si>
  <si>
    <t>04/24/2014,"51,817","51,570","51,963","51,238","3.19M","0.48%"</t>
  </si>
  <si>
    <t>04/23/2014,"51,570","51,975","51,975","51,400","2.84M","-0.78%"</t>
  </si>
  <si>
    <t>04/22/2014,"51,977","52,112","52,460","51,682","3.49M","-0.26%"</t>
  </si>
  <si>
    <t>04/17/2014,"52,112","51,201","52,338","50,887","3.02M","1.78%"</t>
  </si>
  <si>
    <t>04/16/2014,"51,201","50,469","51,288","50,469","3.43M","1.48%"</t>
  </si>
  <si>
    <t>04/15/2014,"50,454","51,593","51,593","49,890","3.86M","-2.22%"</t>
  </si>
  <si>
    <t>04/14/2014,"51,597","51,867","52,110","51,361","2.69M","-0.52%"</t>
  </si>
  <si>
    <t>04/11/2014,"51,867","51,127","51,871","50,518","3.40M","1.45%"</t>
  </si>
  <si>
    <t>04/10/2014,"51,127","51,185","51,522","50,732","3.59M","-0.11%"</t>
  </si>
  <si>
    <t>04/09/2014,"51,185","51,629","51,629","50,653","4.20M","-0.86%"</t>
  </si>
  <si>
    <t>04/08/2014,"51,629","52,173","53,394","51,377","5.50M","-1.01%"</t>
  </si>
  <si>
    <t>04/07/2014,"52,155","51,115","52,229","51,115","3.67M","2.10%"</t>
  </si>
  <si>
    <t>04/04/2014,"51,082","51,428","52,288","51,034","3.70M","-0.63%"</t>
  </si>
  <si>
    <t>04/03/2014,"51,408","51,712","51,991","51,059","3.50M","-0.57%"</t>
  </si>
  <si>
    <t>04/02/2014,"51,701","50,273","51,794","50,201","4.79M","2.85%"</t>
  </si>
  <si>
    <t>04/01/2014,"50,270","50,412","50,627","49,774","3.50M","-0.29%"</t>
  </si>
  <si>
    <t>03/31/2014,"50,415","49,770","50,418","49,770","3.65M","1.30%"</t>
  </si>
  <si>
    <t>03/28/2014,"49,768","49,653","50,181","49,606","4.23M","0.24%"</t>
  </si>
  <si>
    <t>03/27/2014,"49,647","47,965","49,647","47,962","5.93M","3.50%"</t>
  </si>
  <si>
    <t>03/26/2014,"47,966","48,182","48,725","47,963","3.44M","-0.44%"</t>
  </si>
  <si>
    <t>03/25/2014,"48,180","47,993","48,441","47,950","2.95M","0.39%"</t>
  </si>
  <si>
    <t>03/24/2014,"47,993","47,382","48,142","47,382","3.01M","1.29%"</t>
  </si>
  <si>
    <t>03/21/2014,"47,381","47,272","47,832","46,721","4.19M","0.22%"</t>
  </si>
  <si>
    <t>03/20/2014,"47,278","46,565","47,484","46,151","4.36M","1.53%"</t>
  </si>
  <si>
    <t>03/19/2014,"46,567","46,153","46,803","45,910","3.34M","0.90%"</t>
  </si>
  <si>
    <t>03/18/2014,"46,151","45,115","46,217","45,075","3.59M","2.29%"</t>
  </si>
  <si>
    <t>03/17/2014,"45,118","44,979","45,499","44,969","2.93M","0.34%"</t>
  </si>
  <si>
    <t>03/14/2014,"44,966","45,444","45,562","44,905","3.48M","-1.05%"</t>
  </si>
  <si>
    <t>03/13/2014,"45,444","45,864","46,176","45,250","3.12M","-0.91%"</t>
  </si>
  <si>
    <t>03/12/2014,"45,862","45,687","45,916","45,508","3.02M","0.36%"</t>
  </si>
  <si>
    <t>03/11/2014,"45,698","45,533","46,050","45,401","3.28M","0.36%"</t>
  </si>
  <si>
    <t>03/10/2014,"45,533","46,242","46,242","45,203","3.67M","-1.54%"</t>
  </si>
  <si>
    <t>03/07/2014,"46,244","47,093","47,218","46,086","3.98M","-1.80%"</t>
  </si>
  <si>
    <t>03/06/2014,"47,093","46,592","47,400","46,502","3.16M","1.08%"</t>
  </si>
  <si>
    <t>03/05/2014,"46,589","47,092","47,154","46,473","2.29M","-1.07%"</t>
  </si>
  <si>
    <t>02/28/2014,"47,094","47,613","47,813","47,043","4.09M","-1.08%"</t>
  </si>
  <si>
    <t>02/27/2014,"47,607","46,622","47,781","46,622","3.05M","2.16%"</t>
  </si>
  <si>
    <t>02/26/2014,"46,599","46,718","47,010","46,403","3.23M","-0.25%"</t>
  </si>
  <si>
    <t>02/25/2014,"46,716","47,388","47,388","46,614","2.92M","-1.43%"</t>
  </si>
  <si>
    <t>02/24/2014,"47,394","47,376","47,539","46,991","2.99M","0.03%"</t>
  </si>
  <si>
    <t>02/21/2014,"47,380","47,290","47,816","47,075","2.61M","0.19%"</t>
  </si>
  <si>
    <t>02/20/2014,"47,289","47,127","47,600","46,634","3.00M","0.29%"</t>
  </si>
  <si>
    <t>02/19/2014,"47,151","46,597","47,155","46,134","4.00M","1.18%"</t>
  </si>
  <si>
    <t>02/18/2014,"46,600","47,575","47,712","46,600","3.86M","-2.05%"</t>
  </si>
  <si>
    <t>02/17/2014,"47,576","48,200","48,298","47,540","1.88M","-1.30%"</t>
  </si>
  <si>
    <t>02/14/2014,"48,201","47,816","48,314","47,756","3.19M","0.81%"</t>
  </si>
  <si>
    <t>02/13/2014,"47,813","48,211","48,211","47,129","3.17M","-0.84%"</t>
  </si>
  <si>
    <t>02/12/2014,"48,217","48,467","48,669","48,044","2.77M","-0.51%"</t>
  </si>
  <si>
    <t>02/11/2014,"48,463","47,715","48,604","47,589","3.38M","1.58%"</t>
  </si>
  <si>
    <t>02/10/2014,"47,711","48,070","48,136","47,465","2.63M","-0.76%"</t>
  </si>
  <si>
    <t>02/07/2014,"48,074","47,739","48,253","47,557","3.20M","0.70%"</t>
  </si>
  <si>
    <t>02/06/2014,"47,738","46,988","48,034","46,632","3.63M","2.39%"</t>
  </si>
  <si>
    <t>02/05/2014,"46,624","46,964","47,148","46,224","3.36M","-0.72%"</t>
  </si>
  <si>
    <t>02/04/2014,"46,964","46,148","47,132","46,146","3.47M","1.77%"</t>
  </si>
  <si>
    <t>02/03/2014,"46,148","47,623","47,623","46,109","3.62M","-3.13%"</t>
  </si>
  <si>
    <t>01/31/2014,"47,639","47,234","47,652","46,814","3.72M","0.84%"</t>
  </si>
  <si>
    <t>01/30/2014,"47,244","47,554","48,034","47,115","3.11M","-0.66%"</t>
  </si>
  <si>
    <t>01/29/2014,"47,557","47,839","47,884","47,154","3.32M","-0.59%"</t>
  </si>
  <si>
    <t>01/28/2014,"47,841","47,750","48,488","47,750","2.69M","0.29%"</t>
  </si>
  <si>
    <t>01/27/2014,"47,701","47,782","48,147","47,493","2.94M","-0.18%"</t>
  </si>
  <si>
    <t>01/24/2014,"47,787","48,325","48,327","47,494","3.54M","-1.11%"</t>
  </si>
  <si>
    <t>01/23/2014,"48,321","49,294","49,598","48,321","3.88M","-1.99%"</t>
  </si>
  <si>
    <t>01/22/2014,"49,300","48,543","49,487","48,543","3.87M","1.56%"</t>
  </si>
  <si>
    <t>01/21/2014,"48,542","48,728","49,124","48,440","3.10M","-0.34%"</t>
  </si>
  <si>
    <t>01/20/2014,"48,708","49,181","49,292","48,673","1.41M","-0.96%"</t>
  </si>
  <si>
    <t>01/17/2014,"49,182","49,696","49,868","49,174","2.62M","-1.03%"</t>
  </si>
  <si>
    <t>01/16/2014,"49,696","50,106","50,577","49,628","2.94M","-0.82%"</t>
  </si>
  <si>
    <t>01/15/2014,"50,105","49,715","50,230","49,715","2.84M","0.81%"</t>
  </si>
  <si>
    <t>01/14/2014,"49,703","49,421","49,834","49,263","2.89M","0.56%"</t>
  </si>
  <si>
    <t>01/13/2014,"49,427","49,708","50,003","49,309","2.80M","-0.54%"</t>
  </si>
  <si>
    <t>01/10/2014,"49,696","49,322","50,145","49,267","3.51M","0.76%"</t>
  </si>
  <si>
    <t>01/09/2014,"49,322","50,576","50,576","49,259","3.70M","-2.48%"</t>
  </si>
  <si>
    <t>01/08/2014,"50,577","50,431","50,793","50,424","2.92M","0.29%"</t>
  </si>
  <si>
    <t>01/07/2014,"50,430","50,982","51,478","50,429","3.34M","-1.07%"</t>
  </si>
  <si>
    <t>01/06/2014,"50,974","50,980","51,002","50,451","3.73M","-0.01%"</t>
  </si>
  <si>
    <t>01/03/2014,"50,981","50,348","50,981","50,269","7.36M","1.27%"</t>
  </si>
  <si>
    <t>01/02/2014,"50,341","51,522","51,656","50,246","3.48M","-2.26%"</t>
  </si>
  <si>
    <t>12/30/2013,"51,507","51,274","51,996","51,274","2.05M","0.47%"</t>
  </si>
  <si>
    <t>12/27/2013,"51,267","51,239","51,395","51,207","2.00M","0.09%"</t>
  </si>
  <si>
    <t>12/26/2013,"51,221","51,358","51,610","51,185","1.81M","-0.26%"</t>
  </si>
  <si>
    <t>12/23/2013,"51,356","51,188","51,605","51,188","2.31M","0.33%"</t>
  </si>
  <si>
    <t>12/20/2013,"51,186","51,620","51,641","51,025","3.72M","-0.87%"</t>
  </si>
  <si>
    <t>12/19/2013,"51,633","50,578","51,633","50,578","2.96M","2.12%"</t>
  </si>
  <si>
    <t>12/18/2013,"50,563","50,110","50,869","50,110","4.53M","0.94%"</t>
  </si>
  <si>
    <t>12/17/2013,"50,090","50,279","50,563","50,049","2.68M","-0.38%"</t>
  </si>
  <si>
    <t>12/16/2013,"50,280","50,049","50,611","50,049","2.80M","0.46%"</t>
  </si>
  <si>
    <t>12/13/2013,"50,051","50,133","50,519","50,006","2.88M","-0.14%"</t>
  </si>
  <si>
    <t>12/12/2013,"50,122","50,077","50,331","49,842","3.05M","0.11%"</t>
  </si>
  <si>
    <t>12/11/2013,"50,068","50,991","51,039","50,068","3.08M","-1.81%"</t>
  </si>
  <si>
    <t>12/10/2013,"50,993","51,167","51,334","50,956","2.13M","-0.34%"</t>
  </si>
  <si>
    <t>12/09/2013,"51,165","50,942","51,298","50,832","2.28M","0.43%"</t>
  </si>
  <si>
    <t>12/06/2013,"50,944","50,788","51,365","50,610","3.35M","0.31%"</t>
  </si>
  <si>
    <t>12/05/2013,"50,788","50,220","51,124","50,220","3.67M","1.14%"</t>
  </si>
  <si>
    <t>12/04/2013,"50,216","50,359","50,744","50,114","3.64M","-0.26%"</t>
  </si>
  <si>
    <t>12/03/2013,"50,349","51,240","51,257","50,224","3.68M","-1.75%"</t>
  </si>
  <si>
    <t>12/02/2013,"51,245","52,479","52,479","51,245","3.79M","-2.36%"</t>
  </si>
  <si>
    <t>11/29/2013,"52,482","51,847","52,482","51,847","2.63M","1.22%"</t>
  </si>
  <si>
    <t>11/28/2013,"51,847","51,862","52,458","51,697","2.42M","-0.03%"</t>
  </si>
  <si>
    <t>11/27/2013,"51,861","51,448","52,113","51,448","3.11M","0.80%"</t>
  </si>
  <si>
    <t>11/26/2013,"51,447","52,259","52,410","51,433","3.73M","-1.56%"</t>
  </si>
  <si>
    <t>11/25/2013,"52,264","52,807","52,995","52,116","3.08M","-1.02%"</t>
  </si>
  <si>
    <t>11/22/2013,"52,801","52,686","53,221","52,096","3.47M","0.21%"</t>
  </si>
  <si>
    <t>11/21/2013,"52,688","53,027","53,027","52,190","3.62M","-0.65%"</t>
  </si>
  <si>
    <t>11/19/2013,"53,033","54,304","54,304","52,831","3.65M","-2.35%"</t>
  </si>
  <si>
    <t>11/18/2013,"54,307","53,452","54,317","53,452","3.32M","1.60%"</t>
  </si>
  <si>
    <t>11/14/2013,"53,452","52,233","53,566","52,233","3.61M","2.34%"</t>
  </si>
  <si>
    <t>11/13/2013,"52,230","51,804","52,271","51,290","3.42M","0.82%"</t>
  </si>
  <si>
    <t>11/12/2013,"51,804","52,624","52,811","51,636","3.85M","-1.56%"</t>
  </si>
  <si>
    <t>11/11/2013,"52,624","52,247","52,646","52,072","2.32M","0.72%"</t>
  </si>
  <si>
    <t>11/08/2013,"52,249","52,739","52,868","51,735","4.11M","-0.93%"</t>
  </si>
  <si>
    <t>11/07/2013,"52,741","53,390","53,891","52,558","4.87M","-1.21%"</t>
  </si>
  <si>
    <t>11/06/2013,"53,385","53,840","53,857","53,073","4.26M","-0.83%"</t>
  </si>
  <si>
    <t>11/05/2013,"53,832","54,436","54,539","53,731","3.33M","-1.11%"</t>
  </si>
  <si>
    <t>11/04/2013,"54,437","54,014","54,531","54,008","2.73M","0.78%"</t>
  </si>
  <si>
    <t>11/01/2013,"54,013","54,255","54,387","53,753","4.09M","-0.45%"</t>
  </si>
  <si>
    <t>10/31/2013,"54,256","54,174","54,466","53,602","12.95M","0.15%"</t>
  </si>
  <si>
    <t>10/30/2013,"54,173","54,541","54,764","53,917","6.04M","-0.67%"</t>
  </si>
  <si>
    <t>10/29/2013,"54,539","55,076","55,267","54,224","6.14M","-0.97%"</t>
  </si>
  <si>
    <t>10/28/2013,"55,073","54,156","55,076","54,070","5.80M","1.70%"</t>
  </si>
  <si>
    <t>10/25/2013,"54,154","54,863","54,911","54,141","4.94M","-1.32%"</t>
  </si>
  <si>
    <t>10/24/2013,"54,877","55,440","55,864","54,443","5.65M","-1.02%"</t>
  </si>
  <si>
    <t>10/23/2013,"55,440","56,459","56,459","55,380","4.02M","-1.81%"</t>
  </si>
  <si>
    <t>10/22/2013,"56,460","56,074","56,720","55,898","4.61M","0.68%"</t>
  </si>
  <si>
    <t>10/21/2013,"56,077","55,380","56,109","55,257","4.66M","1.26%"</t>
  </si>
  <si>
    <t>10/18/2013,"55,378","55,360","56,052","55,004","5.98M","0.04%"</t>
  </si>
  <si>
    <t>10/17/2013,"55,358","55,966","56,168","55,146","7.21M","-1.10%"</t>
  </si>
  <si>
    <t>10/16/2013,"55,973","54,983","56,747","54,902","12.96M","1.80%"</t>
  </si>
  <si>
    <t>10/15/2013,"54,981","54,176","55,190","54,053","8.58M","1.50%"</t>
  </si>
  <si>
    <t>10/14/2013,"54,171","53,150","54,197","52,833","4.09M","1.92%"</t>
  </si>
  <si>
    <t>10/11/2013,"53,150","53,000","53,301","52,739","3.05M","0.29%"</t>
  </si>
  <si>
    <t>10/10/2013,"52,997","52,550","53,133","52,512","4.14M","0.85%"</t>
  </si>
  <si>
    <t>10/09/2013,"52,548","52,313","52,836","51,955","4.21M","0.45%"</t>
  </si>
  <si>
    <t>10/08/2013,"52,312","52,413","52,556","51,870","4.00M","-0.20%"</t>
  </si>
  <si>
    <t>10/07/2013,"52,417","52,841","52,912","52,274","3.47M","-0.82%"</t>
  </si>
  <si>
    <t>10/04/2013,"52,849","52,489","52,872","52,113","4.30M","0.68%"</t>
  </si>
  <si>
    <t>10/03/2013,"52,490","53,101","53,429","52,296","3.99M","-1.15%"</t>
  </si>
  <si>
    <t>10/02/2013,"53,100","53,176","53,474","52,871","4.14M","-0.15%"</t>
  </si>
  <si>
    <t>10/01/2013,"53,179","52,337","53,179","52,093","5.04M","1.61%"</t>
  </si>
  <si>
    <t>09/30/2013,"52,338","53,737","53,737","52,291","6.50M","-2.61%"</t>
  </si>
  <si>
    <t>09/27/2013,"53,739","53,781","54,131","53,611","4.22M","-0.08%"</t>
  </si>
  <si>
    <t>09/26/2013,"53,783","54,263","54,344","53,429","6.27M","-0.88%"</t>
  </si>
  <si>
    <t>09/25/2013,"54,261","54,425","54,612","53,968","3.90M","-0.31%"</t>
  </si>
  <si>
    <t>09/24/2013,"54,431","54,600","54,818","54,164","4.30M","-0.31%"</t>
  </si>
  <si>
    <t>09/23/2013,"54,602","54,110","54,683","54,027","3.92M","0.91%"</t>
  </si>
  <si>
    <t>09/20/2013,"54,110","55,095","55,243","54,019","4.42M","-1.79%"</t>
  </si>
  <si>
    <t>09/19/2013,"55,096","55,703","55,900","54,966","5.13M","-1.09%"</t>
  </si>
  <si>
    <t>09/18/2013,"55,703","54,272","55,827","53,982","7.54M","2.64%"</t>
  </si>
  <si>
    <t>09/17/2013,"54,271","53,823","54,271","53,576","4.25M","0.83%"</t>
  </si>
  <si>
    <t>09/16/2013,"53,822","53,799","54,463","53,559","4.77M","0.04%"</t>
  </si>
  <si>
    <t>09/13/2013,"53,798","53,311","53,859","52,917","4.94M","0.92%"</t>
  </si>
  <si>
    <t>09/12/2013,"53,307","53,570","53,839","52,945","6.09M","-0.49%"</t>
  </si>
  <si>
    <t>09/11/2013,"53,570","53,982","54,304","53,307","6.82M","-0.76%"</t>
  </si>
  <si>
    <t>09/10/2013,"53,979","54,252","54,740","53,769","6.83M","-0.50%"</t>
  </si>
  <si>
    <t>09/09/2013,"54,252","53,752","54,531","53,257","7.78M","0.94%"</t>
  </si>
  <si>
    <t>09/06/2013,"53,749","52,354","54,125","52,354","10.52M","2.67%"</t>
  </si>
  <si>
    <t>09/05/2013,"52,352","51,715","52,498","51,256","6.19M","1.23%"</t>
  </si>
  <si>
    <t>09/04/2013,"51,716","51,621","51,830","51,108","5.04M","0.17%"</t>
  </si>
  <si>
    <t>09/03/2013,"51,626","51,833","52,289","51,422","6.89M","-0.40%"</t>
  </si>
  <si>
    <t>09/02/2013,"51,835","50,012","51,976","50,012","9.67M","3.65%"</t>
  </si>
  <si>
    <t>08/30/2013,"50,012","49,932","50,480","49,649","14.23M","0.18%"</t>
  </si>
  <si>
    <t>08/29/2013,"49,922","49,867","50,558","49,845","7.99M","0.11%"</t>
  </si>
  <si>
    <t>08/28/2013,"49,867","50,092","50,591","49,530","8.50M","-0.45%"</t>
  </si>
  <si>
    <t>08/27/2013,"50,092","51,425","51,425","50,018","5.72M","-2.60%"</t>
  </si>
  <si>
    <t>08/26/2013,"51,429","52,200","52,398","51,429","4.28M","-1.47%"</t>
  </si>
  <si>
    <t>08/23/2013,"52,197","51,401","52,197","51,166","5.89M","1.55%"</t>
  </si>
  <si>
    <t>08/22/2013,"51,398","50,408","51,458","50,408","5.57M","1.97%"</t>
  </si>
  <si>
    <t>08/21/2013,"50,405","50,501","51,171","50,055","5.99M","-0.20%"</t>
  </si>
  <si>
    <t>08/20/2013,"50,507","51,561","51,561","50,499","5.83M","-2.07%"</t>
  </si>
  <si>
    <t>08/19/2013,"51,574","51,540","52,089","51,115","6.39M","0.07%"</t>
  </si>
  <si>
    <t>08/16/2013,"51,539","50,906","51,555","50,800","7.40M","1.24%"</t>
  </si>
  <si>
    <t>08/15/2013,"50,908","50,880","51,453","50,050","8.36M","0.02%"</t>
  </si>
  <si>
    <t>08/14/2013,"50,896","50,594","51,364","50,414","11.27M","0.58%"</t>
  </si>
  <si>
    <t>08/13/2013,"50,601","50,299","50,734","50,040","6.51M","0.60%"</t>
  </si>
  <si>
    <t>08/12/2013,"50,299","49,878","51,380","49,878","7.04M","0.85%"</t>
  </si>
  <si>
    <t>08/09/2013,"49,875","48,949","50,000","48,836","6.32M","1.93%"</t>
  </si>
  <si>
    <t>08/08/2013,"48,929","47,453","49,230","47,453","5.22M","3.12%"</t>
  </si>
  <si>
    <t>08/07/2013,"47,447","47,422","47,665","47,164","4.46M","0.05%"</t>
  </si>
  <si>
    <t>08/06/2013,"47,422","48,436","48,522","47,225","5.27M","-2.09%"</t>
  </si>
  <si>
    <t>08/05/2013,"48,436","48,477","48,707","48,264","3.74M","-0.08%"</t>
  </si>
  <si>
    <t>08/02/2013,"48,474","49,141","49,550","48,448","4.49M","-1.36%"</t>
  </si>
  <si>
    <t>08/01/2013,"49,141","48,235","49,281","48,235","4.69M","1.88%"</t>
  </si>
  <si>
    <t>07/31/2013,"48,234","48,558","48,824","48,140","4.94M","-0.68%"</t>
  </si>
  <si>
    <t>07/30/2013,"48,562","49,220","49,669","48,560","5.51M","-1.32%"</t>
  </si>
  <si>
    <t>07/29/2013,"49,212","49,414","49,461","48,975","3.29M","-0.42%"</t>
  </si>
  <si>
    <t>07/26/2013,"49,422","49,068","49,422","48,633","4.00M","0.72%"</t>
  </si>
  <si>
    <t>07/25/2013,"49,067","48,372","49,123","48,007","4.94M","1.43%"</t>
  </si>
  <si>
    <t>07/24/2013,"48,374","48,816","48,888","47,999","5.01M","-0.91%"</t>
  </si>
  <si>
    <t>07/23/2013,"48,820","48,579","49,379","48,579","4.58M","0.51%"</t>
  </si>
  <si>
    <t>07/22/2013,"48,574","47,407","48,879","47,407","4.13M","2.48%"</t>
  </si>
  <si>
    <t>07/19/2013,"47,400","47,650","47,650","47,163","3.47M","-0.54%"</t>
  </si>
  <si>
    <t>07/18/2013,"47,657","47,404","48,057","47,093","4.29M","0.53%"</t>
  </si>
  <si>
    <t>07/17/2013,"47,407","46,869","47,710","46,869","5.18M","1.15%"</t>
  </si>
  <si>
    <t>07/16/2013,"46,869","46,749","47,330","46,417","4.78M","0.28%"</t>
  </si>
  <si>
    <t>07/15/2013,"46,739","45,533","46,840","45,533","4.84M","2.65%"</t>
  </si>
  <si>
    <t>07/12/2013,"45,533","46,624","46,624","45,529","5.36M","-2.34%"</t>
  </si>
  <si>
    <t>07/11/2013,"46,626","45,494","46,719","45,494","5.59M","2.51%"</t>
  </si>
  <si>
    <t>07/10/2013,"45,483","45,142","45,955","45,142","4.87M","0.90%"</t>
  </si>
  <si>
    <t>07/08/2013,"45,076","45,211","45,740","44,839","4.66M","-0.30%"</t>
  </si>
  <si>
    <t>07/05/2013,"45,210","45,757","45,757","44,107","6.99M","-1.21%"</t>
  </si>
  <si>
    <t>07/04/2013,"45,763","45,046","46,097","45,046","5.10M","1.60%"</t>
  </si>
  <si>
    <t>07/03/2013,"45,044","45,227","45,827","44,552","7.00M","-0.41%"</t>
  </si>
  <si>
    <t>07/02/2013,"45,229","47,222","47,222","44,819","8.12M","-4.24%"</t>
  </si>
  <si>
    <t>07/01/2013,"47,230","47,458","47,674","46,676","6.66M","-0.48%"</t>
  </si>
  <si>
    <t>06/28/2013,"47,457","47,609","47,639","47,059","5.75M","-0.32%"</t>
  </si>
  <si>
    <t>06/27/2013,"47,609","47,135","48,053","47,135","5.57M","0.93%"</t>
  </si>
  <si>
    <t>06/26/2013,"47,172","46,903","47,725","46,903","5.64M","0.59%"</t>
  </si>
  <si>
    <t>06/25/2013,"46,893","45,967","47,119","45,967","4.77M","2.02%"</t>
  </si>
  <si>
    <t>06/24/2013,"45,965","47,039","47,039","45,406","6.30M","-2.32%"</t>
  </si>
  <si>
    <t>06/21/2013,"47,056","48,209","48,209","46,918","6.42M","-2.40%"</t>
  </si>
  <si>
    <t>06/20/2013,"48,214","47,884","48,214","45,930","8.79M","0.67%"</t>
  </si>
  <si>
    <t>06/19/2013,"47,893","49,457","49,698","47,838","6.58M","-3.18%"</t>
  </si>
  <si>
    <t>06/18/2013,"49,465","49,089","49,550","48,414","5.98M","0.77%"</t>
  </si>
  <si>
    <t>06/17/2013,"49,089","49,337","50,123","49,074","5.32M","-0.49%"</t>
  </si>
  <si>
    <t>06/14/2013,"49,332","50,415","50,656","49,330","5.83M","-2.15%"</t>
  </si>
  <si>
    <t>06/13/2013,"50,415","49,758","50,444","48,968","6.23M","2.51%"</t>
  </si>
  <si>
    <t>06/12/2013,"49,181","49,777","50,380","48,746","7.78M","-1.18%"</t>
  </si>
  <si>
    <t>06/11/2013,"49,770","51,314","51,314","49,708","5.56M","-3.01%"</t>
  </si>
  <si>
    <t>06/10/2013,"51,317","51,619","51,836","51,160","4.69M","-0.59%"</t>
  </si>
  <si>
    <t>06/07/2013,"51,619","52,877","52,877","51,428","5.64M","-2.39%"</t>
  </si>
  <si>
    <t>06/06/2013,"52,885","52,813","52,937","52,244","4.09M","0.16%"</t>
  </si>
  <si>
    <t>06/05/2013,"52,799","54,019","54,207","52,774","4.63M","-2.26%"</t>
  </si>
  <si>
    <t>06/04/2013,"54,018","53,944","54,289","53,498","4.31M","0.14%"</t>
  </si>
  <si>
    <t>06/03/2013,"53,944","53,512","53,993","53,143","4.34M","0.82%"</t>
  </si>
  <si>
    <t>05/31/2013,"53,506","54,633","54,776","52,942","8.79M","-2.07%"</t>
  </si>
  <si>
    <t>05/29/2013,"54,635","56,032","56,032","54,635","5.00M","-2.50%"</t>
  </si>
  <si>
    <t>05/28/2013,"56,036","56,399","56,979","56,009","4.18M","-0.64%"</t>
  </si>
  <si>
    <t>05/27/2013,"56,396","56,415","56,562","56,353","2.05M","-0.02%"</t>
  </si>
  <si>
    <t>05/24/2013,"56,406","56,350","56,506","55,901","4.85M","0.10%"</t>
  </si>
  <si>
    <t>05/23/2013,"56,350","56,423","56,423","55,379","4.07M","-0.14%"</t>
  </si>
  <si>
    <t>05/22/2013,"56,429","56,269","57,099","56,037","4.87M","0.29%"</t>
  </si>
  <si>
    <t>05/21/2013,"56,265","55,699","56,265","55,379","3.90M","1.01%"</t>
  </si>
  <si>
    <t>05/20/2013,"55,701","55,162","55,705","54,630","4.16M","0.97%"</t>
  </si>
  <si>
    <t>05/17/2013,"55,164","54,780","55,489","54,780","4.07M","0.71%"</t>
  </si>
  <si>
    <t>05/16/2013,"54,773","54,943","55,539","54,592","5.08M","-0.30%"</t>
  </si>
  <si>
    <t>05/15/2013,"54,936","54,668","55,216","54,488","4.90M","0.49%"</t>
  </si>
  <si>
    <t>05/14/2013,"54,667","54,442","55,030","54,327","5.09M","0.40%"</t>
  </si>
  <si>
    <t>05/13/2013,"54,448","55,106","55,106","54,389","3.96M","-1.20%"</t>
  </si>
  <si>
    <t>05/10/2013,"55,108","55,446","55,446","54,832","5.32M","-0.61%"</t>
  </si>
  <si>
    <t>05/09/2013,"55,448","55,805","56,072","54,905","4.80M","-0.64%"</t>
  </si>
  <si>
    <t>05/08/2013,"55,805","56,281","56,814","55,805","6.52M","-0.84%"</t>
  </si>
  <si>
    <t>05/07/2013,"56,275","55,429","56,450","55,207","6.24M","1.52%"</t>
  </si>
  <si>
    <t>05/06/2013,"55,430","55,488","55,542","54,652","6.45M","-0.10%"</t>
  </si>
  <si>
    <t>05/03/2013,"55,488","55,330","56,366","55,330","8.86M","0.30%"</t>
  </si>
  <si>
    <t>05/02/2013,"55,322","55,919","55,919","55,104","5.44M","-1.05%"</t>
  </si>
  <si>
    <t>04/30/2013,"55,910","54,888","55,910","54,585","7.14M","1.86%"</t>
  </si>
  <si>
    <t>04/29/2013,"54,887","54,254","55,336","54,254","5.93M","1.17%"</t>
  </si>
  <si>
    <t>04/26/2013,"54,252","54,963","55,034","54,147","4.66M","-1.29%"</t>
  </si>
  <si>
    <t>04/25/2013,"54,963","54,989","55,544","54,792","4.35M","-0.04%"</t>
  </si>
  <si>
    <t>04/24/2013,"54,984","54,875","55,546","54,723","3.95M","0.18%"</t>
  </si>
  <si>
    <t>04/23/2013,"54,885","54,301","55,282","54,165","5.37M","1.08%"</t>
  </si>
  <si>
    <t>04/22/2013,"54,298","53,926","54,298","53,420","4.17M","0.68%"</t>
  </si>
  <si>
    <t>04/19/2013,"53,929","53,169","54,018","53,169","3.73M","1.44%"</t>
  </si>
  <si>
    <t>04/18/2013,"53,166","52,887","53,474","52,392","4.55M","0.54%"</t>
  </si>
  <si>
    <t>04/17/2013,"52,882","53,984","53,984","52,540","7.41M","-2.05%"</t>
  </si>
  <si>
    <t>04/16/2013,"53,991","52,953","54,095","52,953","4.35M","1.97%"</t>
  </si>
  <si>
    <t>04/15/2013,"52,950","54,952","54,952","52,950","4.71M","-3.66%"</t>
  </si>
  <si>
    <t>04/12/2013,"54,963","55,398","55,531","54,458","4.81M","-0.79%"</t>
  </si>
  <si>
    <t>04/11/2013,"55,401","56,190","56,284","55,174","3.84M","-1.40%"</t>
  </si>
  <si>
    <t>04/10/2013,"56,187","55,913","56,976","55,913","5.39M","0.49%"</t>
  </si>
  <si>
    <t>04/09/2013,"55,912","55,101","56,305","55,101","5.19M","1.49%"</t>
  </si>
  <si>
    <t>04/08/2013,"55,092","55,049","55,136","54,333","5.50M","0.07%"</t>
  </si>
  <si>
    <t>04/05/2013,"55,051","54,646","55,227","53,794","5.97M","0.74%"</t>
  </si>
  <si>
    <t>04/04/2013,"54,648","55,563","55,579","54,432","4.57M","-1.65%"</t>
  </si>
  <si>
    <t>04/03/2013,"55,563","54,888","55,574","54,740","4.48M","1.23%"</t>
  </si>
  <si>
    <t>04/02/2013,"54,889","55,901","56,257","54,809","3.59M","-1.81%"</t>
  </si>
  <si>
    <t>04/01/2013,"55,902","56,348","56,348","55,897","2.76M","-0.80%"</t>
  </si>
  <si>
    <t>03/28/2013,"56,352","56,035","56,374","55,874","4.37M","0.57%"</t>
  </si>
  <si>
    <t>03/27/2013,"56,034","55,677","56,178","55,130","4.05M","0.65%"</t>
  </si>
  <si>
    <t>03/26/2013,"55,671","54,879","55,763","54,879","3.76M","1.45%"</t>
  </si>
  <si>
    <t>03/25/2013,"54,873","55,250","55,450","54,648","3.85M","-0.67%"</t>
  </si>
  <si>
    <t>03/22/2013,"55,243","55,577","55,893","55,098","3.74M","-0.60%"</t>
  </si>
  <si>
    <t>03/21/2013,"55,577","56,025","56,044","55,382","4.37M","-0.81%"</t>
  </si>
  <si>
    <t>03/20/2013,"56,030","56,361","56,396","55,831","4.18M","-0.59%"</t>
  </si>
  <si>
    <t>03/19/2013,"56,361","56,973","57,038","56,100","3.83M","-1.07%"</t>
  </si>
  <si>
    <t>03/18/2013,"56,973","56,869","57,152","56,139","3.74M","0.18%"</t>
  </si>
  <si>
    <t>03/15/2013,"56,869","57,275","57,532","56,805","5.18M","-0.72%"</t>
  </si>
  <si>
    <t>03/14/2013,"57,281","57,386","57,850","56,722","4.58M","-0.18%"</t>
  </si>
  <si>
    <t>03/13/2013,"57,386","58,204","58,411","57,286","4.54M","-1.41%"</t>
  </si>
  <si>
    <t>03/12/2013,"58,209","58,542","58,709","58,113","3.81M","-0.57%"</t>
  </si>
  <si>
    <t>03/11/2013,"58,545","58,440","58,547","57,800","4.13M","0.19%"</t>
  </si>
  <si>
    <t>03/08/2013,"58,433","58,842","59,031","58,129","4.13M","-0.70%"</t>
  </si>
  <si>
    <t>03/07/2013,"58,847","57,940","59,472","57,940","6.34M","1.57%"</t>
  </si>
  <si>
    <t>03/06/2013,"57,940","55,953","58,150","55,953","5.81M","3.55%"</t>
  </si>
  <si>
    <t>03/05/2013,"55,951","56,508","57,227","55,951","4.26M","-0.97%"</t>
  </si>
  <si>
    <t>03/04/2013,"56,499","56,878","56,878","56,067","4.03M","-0.68%"</t>
  </si>
  <si>
    <t>03/01/2013,"56,884","57,422","57,422","56,526","3.89M","-0.94%"</t>
  </si>
  <si>
    <t>02/28/2013,"57,424","57,273","57,798","56,925","4.44M","0.26%"</t>
  </si>
  <si>
    <t>02/27/2013,"57,274","56,948","57,402","56,684","5.03M","0.57%"</t>
  </si>
  <si>
    <t>02/26/2013,"56,949","56,616","57,007","56,047","4.51M","0.58%"</t>
  </si>
  <si>
    <t>02/25/2013,"56,618","56,698","57,157","56,419","3.97M","-0.14%"</t>
  </si>
  <si>
    <t>02/22/2013,"56,697","56,159","56,742","56,107","5.11M","0.97%"</t>
  </si>
  <si>
    <t>02/21/2013,"56,155","56,153","56,227","55,430","4.92M","-0.04%"</t>
  </si>
  <si>
    <t>02/20/2013,"56,178","57,312","57,569","56,034","4.95M","-1.98%"</t>
  </si>
  <si>
    <t>02/19/2013,"57,314","57,619","58,061","57,234","3.92M","-0.52%"</t>
  </si>
  <si>
    <t>02/18/2013,"57,614","57,906","57,929","57,420","2.70M","-0.50%"</t>
  </si>
  <si>
    <t>02/15/2013,"57,903","58,076","58,352","57,802","3.44M","-0.30%"</t>
  </si>
  <si>
    <t>02/14/2013,"58,077","58,406","58,406","57,751","2.39M","-0.56%"</t>
  </si>
  <si>
    <t>02/13/2013,"58,406","58,494","58,754","58,252","2.80M","-0.16%"</t>
  </si>
  <si>
    <t>02/08/2013,"58,498","58,374","58,638","58,025","3.15M","0.22%"</t>
  </si>
  <si>
    <t>02/07/2013,"58,372","58,936","59,435","58,116","4.07M","-0.98%"</t>
  </si>
  <si>
    <t>02/06/2013,"58,951","59,442","59,582","58,588","4.41M","-0.83%"</t>
  </si>
  <si>
    <t>02/05/2013,"59,445","59,576","59,974","59,132","4.43M","-0.22%"</t>
  </si>
  <si>
    <t>02/04/2013,"59,576","60,350","60,350","59,256","3.35M","-1.28%"</t>
  </si>
  <si>
    <t>02/01/2013,"60,351","59,764","60,496","59,742","3.41M","0.99%"</t>
  </si>
  <si>
    <t>01/31/2013,"59,761","59,344","59,771","59,114","4.75M","0.71%"</t>
  </si>
  <si>
    <t>01/30/2013,"59,337","60,405","60,405","59,305","4.66M","-1.77%"</t>
  </si>
  <si>
    <t>01/29/2013,"60,406","60,027","60,428","59,758","3.19M","0.63%"</t>
  </si>
  <si>
    <t>01/28/2013,"60,027","61,178","61,313","59,921","3.43M","-1.87%"</t>
  </si>
  <si>
    <t>01/24/2013,"61,170","61,966","62,249","60,838","3.61M","-1.28%"</t>
  </si>
  <si>
    <t>01/23/2013,"61,966","61,692","61,969","61,543","3.21M","0.44%"</t>
  </si>
  <si>
    <t>01/22/2013,"61,692","61,904","61,995","61,534","3.47M","-0.34%"</t>
  </si>
  <si>
    <t>01/21/2013,"61,900","61,962","62,052","61,804","2.14M","-0.09%"</t>
  </si>
  <si>
    <t>01/18/2013,"61,956","62,197","62,395","61,822","3.50M","-0.38%"</t>
  </si>
  <si>
    <t>01/17/2013,"62,194","61,806","62,309","61,683","3.38M","0.66%"</t>
  </si>
  <si>
    <t>01/16/2013,"61,787","61,726","61,787","61,241","2.79M","0.10%"</t>
  </si>
  <si>
    <t>01/15/2013,"61,728","62,079","62,151","61,695","3.82M","-0.57%"</t>
  </si>
  <si>
    <t>01/14/2013,"62,081","61,511","62,285","61,511","3.48M","0.95%"</t>
  </si>
  <si>
    <t>01/11/2013,"61,497","61,662","61,683","61,198","3.16M","-0.29%"</t>
  </si>
  <si>
    <t>01/10/2013,"61,678","61,578","61,947","61,156","4.10M","0.16%"</t>
  </si>
  <si>
    <t>01/09/2013,"61,579","61,129","61,812","61,103","3.24M","0.74%"</t>
  </si>
  <si>
    <t>01/08/2013,"61,128","61,933","62,265","61,081","3.84M","-1.30%"</t>
  </si>
  <si>
    <t>01/07/2013,"61,933","62,523","62,699","61,639","3.99M","-0.94%"</t>
  </si>
  <si>
    <t>01/04/2013,"62,523","63,314","63,314","62,415","6.23M","-1.25%"</t>
  </si>
  <si>
    <t>01/03/2013,"63,312","62,555","63,473","62,341","3.36M","1.22%"</t>
  </si>
  <si>
    <t>01/02/2013,"62,550","60,990","62,887","60,990","3.74M","2.62%"</t>
  </si>
  <si>
    <t>12/28/2012,"60,952","60,416","61,066","60,416","2.63M","0.89%"</t>
  </si>
  <si>
    <t>12/27/2012,"60,416","60,964","61,191","60,233","2.85M","-0.89%"</t>
  </si>
  <si>
    <t>12/26/2012,"60,960","61,003","61,322","60,861","2.60M","-0.08%"</t>
  </si>
  <si>
    <t>12/21/2012,"61,007","61,271","61,271","60,221","3.16M","-0.44%"</t>
  </si>
  <si>
    <t>12/20/2012,"61,276","60,992","61,276","60,622","3.08M","0.46%"</t>
  </si>
  <si>
    <t>12/19/2012,"60,998","60,461","61,212","60,396","4.43M","0.89%"</t>
  </si>
  <si>
    <t>12/18/2012,"60,461","59,568","60,539","59,565","4.36M","1.50%"</t>
  </si>
  <si>
    <t>12/17/2012,"59,567","59,604","59,914","59,323","3.11M","-0.06%"</t>
  </si>
  <si>
    <t>12/14/2012,"59,605","59,320","59,824","59,273","3.41M","0.49%"</t>
  </si>
  <si>
    <t>12/13/2012,"59,317","59,459","59,969","59,154","3.57M","-0.26%"</t>
  </si>
  <si>
    <t>12/12/2012,"59,474","59,626","59,859","59,291","4.75M","-0.25%"</t>
  </si>
  <si>
    <t>12/11/2012,"59,623","59,257","59,747","58,951","3.99M","0.63%"</t>
  </si>
  <si>
    <t>12/10/2012,"59,248","58,468","59,248","58,091","3.06M","1.30%"</t>
  </si>
  <si>
    <t>12/07/2012,"58,487","57,656","58,594","57,636","3.04M","1.44%"</t>
  </si>
  <si>
    <t>12/06/2012,"57,656","57,685","57,860","57,129","3.20M","-0.04%"</t>
  </si>
  <si>
    <t>12/05/2012,"57,679","57,597","58,127","57,231","3.58M","0.20%"</t>
  </si>
  <si>
    <t>12/04/2012,"57,563","58,212","58,520","57,547","3.94M","-1.10%"</t>
  </si>
  <si>
    <t>12/03/2012,"58,202","57,479","58,332","57,479","3.49M","1.26%"</t>
  </si>
  <si>
    <t>11/30/2012,"57,475","57,845","58,031","56,704","5.05M","-0.65%"</t>
  </si>
  <si>
    <t>11/29/2012,"57,853","56,562","57,853","56,562","3.40M","2.32%"</t>
  </si>
  <si>
    <t>11/28/2012,"56,539","56,206","56,591","55,686","3.47M","0.52%"</t>
  </si>
  <si>
    <t>11/27/2012,"56,248","56,737","57,420","56,248","3.55M","-0.86%"</t>
  </si>
  <si>
    <t>11/26/2012,"56,737","57,571","57,572","56,502","2.75M","-1.45%"</t>
  </si>
  <si>
    <t>11/23/2012,"57,574","56,439","57,574","56,248","3.18M","2.01%"</t>
  </si>
  <si>
    <t>11/22/2012,"56,437","56,245","56,643","56,242","2.15M","0.35%"</t>
  </si>
  <si>
    <t>11/21/2012,"56,242","56,453","56,789","55,946","3.59M","-0.37%"</t>
  </si>
  <si>
    <t>11/19/2012,"56,451","55,387","56,666","55,387","2.78M","1.89%"</t>
  </si>
  <si>
    <t>11/16/2012,"55,402","56,277","56,277","55,126","3.47M","-1.56%"</t>
  </si>
  <si>
    <t>11/14/2012,"56,279","57,472","57,472","56,038","3.61M","-2.10%"</t>
  </si>
  <si>
    <t>11/13/2012,"57,486","57,049","57,529","56,593","3.36M","0.74%"</t>
  </si>
  <si>
    <t>11/12/2012,"57,064","57,358","57,712","56,988","2.07M","-0.51%"</t>
  </si>
  <si>
    <t>11/09/2012,"57,358","57,517","58,109","56,862","4.25M","-0.29%"</t>
  </si>
  <si>
    <t>11/08/2012,"57,524","58,523","59,008","57,420","3.20M","-1.70%"</t>
  </si>
  <si>
    <t>11/07/2012,"58,517","59,460","59,460","58,274","3.08M","-1.58%"</t>
  </si>
  <si>
    <t>11/06/2012,"59,459","58,220","59,561","58,174","3.47M","2.15%"</t>
  </si>
  <si>
    <t>11/05/2012,"58,210","58,374","58,374","57,551","2.62M","-0.30%"</t>
  </si>
  <si>
    <t>11/01/2012,"58,383","57,065","58,383","56,960","2.98M","2.30%"</t>
  </si>
  <si>
    <t>10/31/2012,"57,068","57,682","57,935","56,929","2.79M","-1.07%"</t>
  </si>
  <si>
    <t>10/30/2012,"57,684","57,178","57,764","57,178","1.61M","0.89%"</t>
  </si>
  <si>
    <t>10/29/2012,"57,177","57,267","57,267","56,581","1.71M","-0.17%"</t>
  </si>
  <si>
    <t>10/26/2012,"57,277","57,833","57,833","57,061","3.00M","-0.97%"</t>
  </si>
  <si>
    <t>10/25/2012,"57,837","57,161","58,274","57,161","3.15M","1.18%"</t>
  </si>
  <si>
    <t>10/24/2012,"57,161","57,686","57,986","57,159","2.93M","-0.92%"</t>
  </si>
  <si>
    <t>10/23/2012,"57,690","58,679","58,679","57,388","3.40M","-1.72%"</t>
  </si>
  <si>
    <t>10/22/2012,"58,700","58,925","59,205","58,541","2.80M","-0.38%"</t>
  </si>
  <si>
    <t>10/19/2012,"58,922","59,701","59,846","58,782","3.00M","-1.36%"</t>
  </si>
  <si>
    <t>10/18/2012,"59,734","60,087","60,087","59,322","3.32M","-0.59%"</t>
  </si>
  <si>
    <t>10/17/2012,"60,087","59,742","60,398","59,683","4.21M","0.57%"</t>
  </si>
  <si>
    <t>10/16/2012,"59,744","59,602","60,412","59,484","3.25M","0.24%"</t>
  </si>
  <si>
    <t>10/15/2012,"59,602","59,164","59,758","58,790","3.12M","0.74%"</t>
  </si>
  <si>
    <t>10/11/2012,"59,162","58,460","59,360","58,460","2.82M","1.21%"</t>
  </si>
  <si>
    <t>10/10/2012,"58,456","58,944","59,320","58,341","2.78M","-0.82%"</t>
  </si>
  <si>
    <t>10/09/2012,"58,939","59,319","59,697","58,616","3.15M","-0.64%"</t>
  </si>
  <si>
    <t>10/08/2012,"59,317","58,572","59,318","58,170","2.60M","1.27%"</t>
  </si>
  <si>
    <t>10/05/2012,"58,572","58,460","59,441","58,414","3.24M","0.20%"</t>
  </si>
  <si>
    <t>10/04/2012,"58,458","58,627","59,002","58,105","3.37M","-0.29%"</t>
  </si>
  <si>
    <t>10/03/2012,"58,627","59,222","59,483","58,542","3.20M","-1.00%"</t>
  </si>
  <si>
    <t>10/02/2012,"59,222","59,575","60,091","59,028","3.20M","-0.59%"</t>
  </si>
  <si>
    <t>10/01/2012,"59,571","59,171","60,216","59,171","2.76M","0.67%"</t>
  </si>
  <si>
    <t>09/28/2012,"59,176","60,240","60,240","58,864","3.69M","-1.77%"</t>
  </si>
  <si>
    <t>09/27/2012,"60,240","60,483","60,889","59,876","3.81M","-0.39%"</t>
  </si>
  <si>
    <t>09/26/2012,"60,478","60,506","60,506","59,725","3.14M","-0.04%"</t>
  </si>
  <si>
    <t>09/25/2012,"60,501","61,913","61,947","60,357","3.87M","-2.28%"</t>
  </si>
  <si>
    <t>09/24/2012,"61,910","61,319","61,932","61,075","3.33M","0.96%"</t>
  </si>
  <si>
    <t>09/21/2012,"61,320","61,695","62,223","61,300","2.99M","-0.60%"</t>
  </si>
  <si>
    <t>09/20/2012,"61,688","61,652","61,908","60,961","2.92M","0.06%"</t>
  </si>
  <si>
    <t>09/19/2012,"61,652","61,806","62,514","61,519","3.39M","-0.25%"</t>
  </si>
  <si>
    <t>09/18/2012,"61,804","61,806","62,132","61,447","3.20M","0.00%"</t>
  </si>
  <si>
    <t>09/17/2012,"61,806","62,106","62,692","61,552","3.90M","-0.48%"</t>
  </si>
  <si>
    <t>09/14/2012,"62,105","61,955","63,428","61,823","5.82M","0.24%"</t>
  </si>
  <si>
    <t>09/13/2012,"61,958","59,921","62,117","59,629","5.97M","3.40%"</t>
  </si>
  <si>
    <t>09/12/2012,"59,922","59,429","60,136","59,205","4.85M","0.84%"</t>
  </si>
  <si>
    <t>09/11/2012,"59,423","58,405","59,515","58,404","3.85M","1.74%"</t>
  </si>
  <si>
    <t>09/10/2012,"58,404","58,325","59,421","58,325","3.51M","0.14%"</t>
  </si>
  <si>
    <t>09/06/2012,"58,321","56,868","58,328","56,868","3.62M","2.56%"</t>
  </si>
  <si>
    <t>09/05/2012,"56,864","56,236","56,904","56,236","3.31M","1.12%"</t>
  </si>
  <si>
    <t>09/04/2012,"56,234","57,272","57,272","56,202","3.24M","-1.83%"</t>
  </si>
  <si>
    <t>09/03/2012,"57,281","57,065","57,457","56,954","2.32M","0.39%"</t>
  </si>
  <si>
    <t>08/31/2012,"57,061","57,257","57,835","56,719","5.75M","-0.34%"</t>
  </si>
  <si>
    <t>08/30/2012,"57,256","57,366","57,508","56,901","3.13M","-0.20%"</t>
  </si>
  <si>
    <t>08/29/2012,"57,369","58,414","58,553","57,061","4.11M","-1.78%"</t>
  </si>
  <si>
    <t>08/28/2012,"58,406","58,109","58,745","57,976","2.73M","0.51%"</t>
  </si>
  <si>
    <t>08/27/2012,"58,111","58,424","58,462","57,853","2.34M","-0.54%"</t>
  </si>
  <si>
    <t>08/24/2012,"58,426","58,511","58,750","57,833","3.21M","-0.15%"</t>
  </si>
  <si>
    <t>08/23/2012,"58,512","59,382","59,382","58,145","3.34M","-1.46%"</t>
  </si>
  <si>
    <t>08/22/2012,"59,381","58,918","59,585","58,443","3.71M","0.79%"</t>
  </si>
  <si>
    <t>08/21/2012,"58,918","59,298","60,209","58,684","3.93M","-0.62%"</t>
  </si>
  <si>
    <t>08/20/2012,"59,283","59,083","59,462","58,629","3.00M","0.34%"</t>
  </si>
  <si>
    <t>08/17/2012,"59,082","59,443","59,822","58,944","2.95M","-0.61%"</t>
  </si>
  <si>
    <t>08/16/2012,"59,446","58,190","59,544","58,190","3.48M","2.16%"</t>
  </si>
  <si>
    <t>08/15/2012,"58,189","58,083","58,375","57,630","4.58M","0.18%"</t>
  </si>
  <si>
    <t>08/14/2012,"58,083","59,123","59,605","57,904","3.53M","-1.76%"</t>
  </si>
  <si>
    <t>08/13/2012,"59,123","59,281","59,543","58,601","2.54M","-0.27%"</t>
  </si>
  <si>
    <t>08/10/2012,"59,281","58,774","59,365","58,128","3.08M","0.82%"</t>
  </si>
  <si>
    <t>08/09/2012,"58,797","58,950","59,202","58,115","2.86M","-0.26%"</t>
  </si>
  <si>
    <t>08/08/2012,"58,951","57,723","58,964","57,603","3.23M","2.12%"</t>
  </si>
  <si>
    <t>08/07/2012,"57,726","58,343","59,316","57,679","3.45M","-1.06%"</t>
  </si>
  <si>
    <t>08/06/2012,"58,345","57,255","58,996","56,893","3.61M","1.90%"</t>
  </si>
  <si>
    <t>08/03/2012,"57,255","55,524","57,399","55,524","3.58M","3.13%"</t>
  </si>
  <si>
    <t>08/02/2012,"55,520","56,289","56,289","55,239","2.84M","-1.37%"</t>
  </si>
  <si>
    <t>08/01/2012,"56,292","56,091","56,735","55,425","1.32M","0.35%"</t>
  </si>
  <si>
    <t>07/31/2012,"56,097","57,243","57,466","56,097","692.08K","-2.00%"</t>
  </si>
  <si>
    <t>07/30/2012,"57,241","56,551","57,241","56,090","2.97M","1.22%"</t>
  </si>
  <si>
    <t>07/27/2012,"56,553","54,024","57,046","54,024","4.67M","4.72%"</t>
  </si>
  <si>
    <t>07/26/2012,"54,003","52,638","54,126","52,638","3.02M","2.65%"</t>
  </si>
  <si>
    <t>07/25/2012,"52,608","52,658","53,233","52,346","2.22M","-0.06%"</t>
  </si>
  <si>
    <t>07/24/2012,"52,639","53,038","53,416","52,399","2.76M","-0.74%"</t>
  </si>
  <si>
    <t>07/23/2012,"53,034","54,183","54,183","52,213","2.81M","-2.14%"</t>
  </si>
  <si>
    <t>07/20/2012,"54,195","55,337","55,337","54,138","2.86M","-2.08%"</t>
  </si>
  <si>
    <t>07/19/2012,"55,347","54,588","55,491","54,588","2.88M","1.40%"</t>
  </si>
  <si>
    <t>07/18/2012,"54,583","53,909","54,588","53,551","2.30M","1.25%"</t>
  </si>
  <si>
    <t>07/17/2012,"53,909","53,403","54,037","53,118","2.52M","0.95%"</t>
  </si>
  <si>
    <t>07/16/2012,"53,402","54,316","54,418","53,216","2.82M","-1.71%"</t>
  </si>
  <si>
    <t>07/13/2012,"54,331","53,422","54,428","53,420","2.78M","1.70%"</t>
  </si>
  <si>
    <t>07/12/2012,"53,421","53,564","53,616","52,489","3.05M","-0.28%"</t>
  </si>
  <si>
    <t>07/11/2012,"53,569","53,708","54,135","53,233","2.97M","-0.26%"</t>
  </si>
  <si>
    <t>07/10/2012,"53,706","55,392","55,588","53,668","3.47M","-3.05%"</t>
  </si>
  <si>
    <t>07/06/2012,"55,394","56,376","56,376","54,967","2.70M","-1.75%"</t>
  </si>
  <si>
    <t>07/05/2012,"56,379","56,083","56,943","55,828","3.13M","0.54%"</t>
  </si>
  <si>
    <t>07/04/2012,"56,077","55,780","56,322","55,485","1.72M","0.53%"</t>
  </si>
  <si>
    <t>07/03/2012,"55,780","54,704","56,228","54,704","4.06M","1.99%"</t>
  </si>
  <si>
    <t>07/02/2012,"54,693","54,355","54,754","53,961","2.87M","0.62%"</t>
  </si>
  <si>
    <t>06/29/2012,"54,355","52,656","54,355","52,656","3.74M","3.23%"</t>
  </si>
  <si>
    <t>06/28/2012,"52,652","53,107","53,306","52,271","3.53M","-0.86%"</t>
  </si>
  <si>
    <t>06/27/2012,"53,109","53,837","54,006","53,084","3.83M","-1.35%"</t>
  </si>
  <si>
    <t>06/26/2012,"53,837","53,806","54,193","53,398","2.71M","0.06%"</t>
  </si>
  <si>
    <t>06/25/2012,"53,805","55,406","55,406","53,694","2.16M","-2.95%"</t>
  </si>
  <si>
    <t>06/22/2012,"55,440","55,518","56,019","55,083","2.48M","-0.12%"</t>
  </si>
  <si>
    <t>06/21/2012,"55,505","57,162","57,218","55,505","2.60M","-2.91%"</t>
  </si>
  <si>
    <t>06/20/2012,"57,167","57,196","57,611","56,529","3.20M","-0.05%"</t>
  </si>
  <si>
    <t>06/19/2012,"57,195","56,210","57,567","56,210","3.66M","1.78%"</t>
  </si>
  <si>
    <t>06/18/2012,"56,195","56,066","56,579","55,486","2.96M","0.16%"</t>
  </si>
  <si>
    <t>06/15/2012,"56,105","55,349","56,105","55,203","3.90M","1.36%"</t>
  </si>
  <si>
    <t>06/14/2012,"55,352","55,641","55,769","54,952","3.30M","-0.54%"</t>
  </si>
  <si>
    <t>06/13/2012,"55,651","55,041","55,989","54,523","4.19M","1.09%"</t>
  </si>
  <si>
    <t>06/12/2012,"55,049","54,001","55,049","53,906","3.89M","1.94%"</t>
  </si>
  <si>
    <t>06/11/2012,"54,001","54,434","55,401","53,904","2.74M","-0.79%"</t>
  </si>
  <si>
    <t>06/08/2012,"54,430","54,150","54,432","53,685","2.63M","0.51%"</t>
  </si>
  <si>
    <t>06/06/2012,"54,156","52,486","54,195","52,486","3.54M","3.19%"</t>
  </si>
  <si>
    <t>06/05/2012,"52,481","53,413","53,917","52,481","2.53M","-1.75%"</t>
  </si>
  <si>
    <t>06/04/2012,"53,417","53,408","53,960","53,367","2.36M","0.03%"</t>
  </si>
  <si>
    <t>06/01/2012,"53,403","54,488","54,488","53,087","2.99M","-1.99%"</t>
  </si>
  <si>
    <t>05/31/2012,"54,490","53,805","54,509","53,090","4.83M","1.29%"</t>
  </si>
  <si>
    <t>05/30/2012,"53,798","54,632","54,632","53,382","3.30M","-1.53%"</t>
  </si>
  <si>
    <t>05/29/2012,"54,633","55,214","55,763","54,554","3.05M","-1.05%"</t>
  </si>
  <si>
    <t>05/28/2012,"55,213","54,467","55,609","54,467","1.86M","1.38%"</t>
  </si>
  <si>
    <t>05/25/2012,"54,463","54,062","54,970","53,847","2.99M","0.74%"</t>
  </si>
  <si>
    <t>05/24/2012,"54,063","54,620","54,820","53,176","4.01M","-1.02%"</t>
  </si>
  <si>
    <t>05/23/2012,"54,619","55,039","55,052","53,028","4.33M","-0.76%"</t>
  </si>
  <si>
    <t>05/22/2012,"55,039","56,586","56,586","54,886","3.67M","-2.74%"</t>
  </si>
  <si>
    <t>05/21/2012,"56,590","54,516","56,678","54,516","3.57M","3.81%"</t>
  </si>
  <si>
    <t>05/18/2012,"54,513","54,032","54,914","53,856","4.31M","0.88%"</t>
  </si>
  <si>
    <t>05/17/2012,"54,038","55,886","56,296","54,038","3.71M","-3.31%"</t>
  </si>
  <si>
    <t>05/16/2012,"55,888","56,245","57,693","55,415","4.33M","-0.62%"</t>
  </si>
  <si>
    <t>05/15/2012,"56,238","57,540","58,024","56,145","4.19M","-2.26%"</t>
  </si>
  <si>
    <t>05/14/2012,"57,540","59,443","59,443","57,539","3.05M","-3.20%"</t>
  </si>
  <si>
    <t>05/11/2012,"59,445","59,703","60,340","59,138","2.53M","-0.43%"</t>
  </si>
  <si>
    <t>05/10/2012,"59,702","59,796","60,752","59,637","2.70M","-0.14%"</t>
  </si>
  <si>
    <t>05/09/2012,"59,786","60,346","60,346","59,199","3.26M","-0.96%"</t>
  </si>
  <si>
    <t>05/08/2012,"60,365","61,218","61,218","59,871","3.09M","-1.40%"</t>
  </si>
  <si>
    <t>05/07/2012,"61,220","60,802","61,299","60,391","3.37M","0.66%"</t>
  </si>
  <si>
    <t>05/04/2012,"60,821","62,104","62,167","60,438","4.96M","-2.07%"</t>
  </si>
  <si>
    <t>05/03/2012,"62,104","62,427","62,783","61,731","3.04M","-0.51%"</t>
  </si>
  <si>
    <t>05/02/2012,"62,424","61,820","62,502","61,594","2.96M","0.98%"</t>
  </si>
  <si>
    <t>04/30/2012,"61,820","61,691","61,900","61,231","1.96M","0.21%"</t>
  </si>
  <si>
    <t>04/27/2012,"61,691","62,203","62,486","61,667","2.55M","-0.82%"</t>
  </si>
  <si>
    <t>04/26/2012,"62,198","61,750","62,282","61,033","3.13M","0.73%"</t>
  </si>
  <si>
    <t>04/25/2012,"61,750","61,989","62,441","61,328","3.31M","-0.36%"</t>
  </si>
  <si>
    <t>04/24/2012,"61,971","61,537","62,001","61,380","2.38M","0.70%"</t>
  </si>
  <si>
    <t>04/23/2012,"61,539","62,494","62,494","60,897","2.53M","-1.53%"</t>
  </si>
  <si>
    <t>04/20/2012,"62,494","62,620","63,369","62,431","2.29M","-0.20%"</t>
  </si>
  <si>
    <t>04/19/2012,"62,618","63,007","63,274","62,478","2.36M","-0.62%"</t>
  </si>
  <si>
    <t>04/18/2012,"63,010","62,696","63,243","62,429","4.05M","0.50%"</t>
  </si>
  <si>
    <t>04/17/2012,"62,699","61,959","62,961","61,959","2.70M","1.20%"</t>
  </si>
  <si>
    <t>04/16/2012,"61,955","62,120","62,688","61,465","2.32M","-0.24%"</t>
  </si>
  <si>
    <t>04/13/2012,"62,106","63,039","63,039","61,778","2.96M","-1.51%"</t>
  </si>
  <si>
    <t>04/12/2012,"63,058","61,300","63,061","61,300","3.12M","2.88%"</t>
  </si>
  <si>
    <t>04/11/2012,"61,293","61,741","62,356","61,291","2.95M","-0.72%"</t>
  </si>
  <si>
    <t>04/10/2012,"61,738","62,922","62,922","61,344","3.09M","-1.88%"</t>
  </si>
  <si>
    <t>04/09/2012,"62,923","63,690","63,690","62,462","1.79M","-1.21%"</t>
  </si>
  <si>
    <t>04/05/2012,"63,691","63,518","64,299","63,384","2.29M","0.26%"</t>
  </si>
  <si>
    <t>04/04/2012,"63,529","64,301","64,301","63,450","2.74M","-1.17%"</t>
  </si>
  <si>
    <t>04/03/2012,"64,284","65,218","65,530","64,015","2.77M","-1.43%"</t>
  </si>
  <si>
    <t>04/02/2012,"65,216","64,515","65,593","64,199","2.97M","1.09%"</t>
  </si>
  <si>
    <t>03/30/2012,"64,511","64,875","65,363","64,245","3.16M","-0.56%"</t>
  </si>
  <si>
    <t>03/29/2012,"64,872","65,074","65,074","64,096","2.90M","-0.32%"</t>
  </si>
  <si>
    <t>03/28/2012,"65,079","66,032","66,032","64,819","2.88M","-1.45%"</t>
  </si>
  <si>
    <t>03/27/2012,"66,037","66,683","66,968","65,925","2.72M","-0.97%"</t>
  </si>
  <si>
    <t>03/26/2012,"66,685","65,818","66,776","65,818","2.01M","1.32%"</t>
  </si>
  <si>
    <t>03/23/2012,"65,813","65,831","66,253","65,576","2.52M","-0.02%"</t>
  </si>
  <si>
    <t>03/22/2012,"65,828","66,860","66,860","65,534","2.68M","-1.54%"</t>
  </si>
  <si>
    <t>03/21/2012,"66,860","67,297","67,436","66,762","1.98M","-0.65%"</t>
  </si>
  <si>
    <t>03/20/2012,"67,296","67,725","67,725","66,704","2.07M","-0.64%"</t>
  </si>
  <si>
    <t>03/19/2012,"67,730","67,685","68,159","67,547","2.14M","0.07%"</t>
  </si>
  <si>
    <t>03/16/2012,"67,684","67,749","68,153","67,505","2.41M","-0.10%"</t>
  </si>
  <si>
    <t>03/15/2012,"67,749","68,259","68,259","67,458","2.30M","-0.74%"</t>
  </si>
  <si>
    <t>03/14/2012,"68,257","68,386","68,970","67,797","2.73M","-0.20%"</t>
  </si>
  <si>
    <t>03/13/2012,"68,394","66,386","68,420","66,386","3.17M","3.03%"</t>
  </si>
  <si>
    <t>03/12/2012,"66,385","66,687","66,687","65,965","2.15M","-0.48%"</t>
  </si>
  <si>
    <t>03/09/2012,"66,704","66,908","67,419","66,679","2.25M","-0.30%"</t>
  </si>
  <si>
    <t>03/08/2012,"66,908","66,032","67,272","66,032","2.89M","1.35%"</t>
  </si>
  <si>
    <t>03/07/2012,"66,017","65,123","66,053","65,123","2.68M","1.39%"</t>
  </si>
  <si>
    <t>03/06/2012,"65,114","66,962","66,962","64,892","2.74M","-2.76%"</t>
  </si>
  <si>
    <t>03/05/2012,"66,964","67,782","67,782","66,756","2.32M","-1.21%"</t>
  </si>
  <si>
    <t>03/02/2012,"67,782","66,810","67,791","66,810","2.56M","1.45%"</t>
  </si>
  <si>
    <t>03/01/2012,"66,810","65,812","66,931","65,812","2.33M","1.52%"</t>
  </si>
  <si>
    <t>02/29/2012,"65,812","65,970","66,662","65,533","3.35M","-0.22%"</t>
  </si>
  <si>
    <t>02/28/2012,"65,959","65,245","66,152","65,240","2.72M","1.10%"</t>
  </si>
  <si>
    <t>02/27/2012,"65,241","65,938","65,954","65,068","2.23M","-1.06%"</t>
  </si>
  <si>
    <t>02/24/2012,"65,943","65,820","66,335","65,820","2.12M","0.19%"</t>
  </si>
  <si>
    <t>02/23/2012,"65,820","66,084","66,329","65,590","2.32M","-0.41%"</t>
  </si>
  <si>
    <t>02/22/2012,"66,093","66,205","66,291","65,851","1.79M","-0.17%"</t>
  </si>
  <si>
    <t>02/17/2012,"66,204","66,158","66,562","65,823","2.35M","0.09%"</t>
  </si>
  <si>
    <t>02/16/2012,"66,142","65,364","66,161","64,798","3.07M","1.18%"</t>
  </si>
  <si>
    <t>02/15/2012,"65,368","65,041","66,004","65,041","3.83M","0.51%"</t>
  </si>
  <si>
    <t>02/14/2012,"65,039","65,699","65,855","64,826","2.74M","-0.99%"</t>
  </si>
  <si>
    <t>02/13/2012,"65,692","63,999","65,713","63,999","2.62M","2.65%"</t>
  </si>
  <si>
    <t>02/10/2012,"63,998","65,525","65,525","63,880","3.50M","-2.34%"</t>
  </si>
  <si>
    <t>02/09/2012,"65,530","65,831","66,324","65,189","2.69M","-0.46%"</t>
  </si>
  <si>
    <t>02/08/2012,"65,831","65,918","66,383","65,647","2.89M","-0.13%"</t>
  </si>
  <si>
    <t>02/07/2012,"65,917","65,213","65,944","64,801","2.72M","1.06%"</t>
  </si>
  <si>
    <t>02/06/2012,"65,224","65,217","65,229","64,743","1.92M","0.01%"</t>
  </si>
  <si>
    <t>02/03/2012,"65,217","64,589","65,619","64,137","3.06M","0.97%"</t>
  </si>
  <si>
    <t>02/02/2012,"64,593","64,569","64,855","64,224","3.11M","0.04%"</t>
  </si>
  <si>
    <t>02/01/2012,"64,567","63,085","64,567","63,085","3.90M","2.37%"</t>
  </si>
  <si>
    <t>01/31/2012,"63,072","62,772","63,394","62,664","3.44M","0.48%"</t>
  </si>
  <si>
    <t>01/30/2012,"62,770","62,902","62,902","61,989","2.20M","-0.21%"</t>
  </si>
  <si>
    <t>01/27/2012,"62,904","62,955","63,263","62,769","2.22M","-0.08%"</t>
  </si>
  <si>
    <t>01/26/2012,"62,953","62,486","63,805","62,485","3.17M","0.75%"</t>
  </si>
  <si>
    <t>01/24/2012,"62,486","62,386","62,536","61,667","2.73M","0.16%"</t>
  </si>
  <si>
    <t>01/23/2012,"62,386","62,312","62,693","61,908","2.38M","0.12%"</t>
  </si>
  <si>
    <t>01/20/2012,"62,312","61,932","62,312","61,593","2.25M","0.62%"</t>
  </si>
  <si>
    <t>01/19/2012,"61,927","61,726","62,181","61,566","2.84M","0.33%"</t>
  </si>
  <si>
    <t>01/18/2012,"61,723","60,643","61,723","60,610","2.76M","1.78%"</t>
  </si>
  <si>
    <t>01/17/2012,"60,646","59,961","60,891","59,961","2.52M","1.15%"</t>
  </si>
  <si>
    <t>01/16/2012,"59,956","59,146","59,982","59,146","1.70M","1.37%"</t>
  </si>
  <si>
    <t>01/13/2012,"59,147","59,918","59,918","58,874","5.62M","-1.29%"</t>
  </si>
  <si>
    <t>01/12/2012,"59,921","59,966","60,504","59,586","2.15M","-0.07%"</t>
  </si>
  <si>
    <t>01/11/2012,"59,962","59,799","60,094","59,423","2.25M","0.26%"</t>
  </si>
  <si>
    <t>01/10/2012,"59,806","59,090","60,112","59,090","2.69M","1.22%"</t>
  </si>
  <si>
    <t>01/09/2012,"59,083","58,601","59,220","58,599","2.24M","0.82%"</t>
  </si>
  <si>
    <t>01/06/2012,"58,600","58,565","59,261","58,355","1.66M","0.09%"</t>
  </si>
  <si>
    <t>01/05/2012,"58,546","59,354","59,354","57,963","2.35M","-1.38%"</t>
  </si>
  <si>
    <t>01/04/2012,"59,365","59,263","59,519","58,558","2.25M","0.17%"</t>
  </si>
  <si>
    <t>01/03/2012,"59,265","57,836","59,288","57,836","3.08M","2.48%"</t>
  </si>
  <si>
    <t>01/02/2012,"57,829","56,755","57,993","56,649","2.61M","1.89%"</t>
  </si>
  <si>
    <t>12/29/2011,"56,754","56,534","56,945","56,313","2.78M","0.39%"</t>
  </si>
  <si>
    <t>12/28/2011,"56,534","58,006","58,010","56,447","1.61M","-2.54%"</t>
  </si>
  <si>
    <t>12/27/2011,"58,005","57,666","58,111","57,611","1.62M","0.58%"</t>
  </si>
  <si>
    <t>12/26/2011,"57,669","57,702","57,856","57,669","592.75K","-0.06%"</t>
  </si>
  <si>
    <t>12/23/2011,"57,701","57,348","57,792","57,348","1.77M","0.62%"</t>
  </si>
  <si>
    <t>12/22/2011,"57,348","56,656","57,459","56,557","2.29M","1.23%"</t>
  </si>
  <si>
    <t>12/21/2011,"56,653","56,865","56,865","56,046","2.26M","-0.37%"</t>
  </si>
  <si>
    <t>12/20/2011,"56,865","55,301","56,865","55,301","3.23M","2.83%"</t>
  </si>
  <si>
    <t>12/19/2011,"55,298","56,100","56,376","55,298","2.83M","-1.42%"</t>
  </si>
  <si>
    <t>12/16/2011,"56,097","56,334","56,823","56,087","2.44M","-0.42%"</t>
  </si>
  <si>
    <t>12/15/2011,"56,331","56,647","57,332","56,232","2.61M","-0.56%"</t>
  </si>
  <si>
    <t>12/14/2011,"56,647","57,495","57,495","56,647","4.14M","-1.47%"</t>
  </si>
  <si>
    <t>12/13/2011,"57,495","57,355","58,153","57,333","2.90M","0.26%"</t>
  </si>
  <si>
    <t>12/12/2011,"57,347","58,235","58,235","56,839","2.50M","-1.53%"</t>
  </si>
  <si>
    <t>12/09/2011,"58,236","57,455","58,540","57,455","1.95M","1.36%"</t>
  </si>
  <si>
    <t>12/08/2011,"57,455","58,664","59,217","57,260","2.72M","-2.06%"</t>
  </si>
  <si>
    <t>12/07/2011,"58,663","59,534","59,535","58,581","2.17M","-1.47%"</t>
  </si>
  <si>
    <t>12/06/2011,"59,536","58,910","59,576","58,497","2.18M","1.06%"</t>
  </si>
  <si>
    <t>12/05/2011,"58,910","57,894","59,245","57,894","2.54M","1.77%"</t>
  </si>
  <si>
    <t>12/02/2011,"57,886","58,147","58,980","57,618","2.99M","-0.44%"</t>
  </si>
  <si>
    <t>12/01/2011,"58,143","56,876","58,302","56,876","3.30M","2.23%"</t>
  </si>
  <si>
    <t>11/30/2011,"56,875","55,307","57,592","55,307","4.89M","2.85%"</t>
  </si>
  <si>
    <t>11/29/2011,"55,300","56,028","56,364","55,300","2.82M","-1.28%"</t>
  </si>
  <si>
    <t>11/28/2011,"56,017","54,899","56,444","54,899","2.27M","2.05%"</t>
  </si>
  <si>
    <t>11/25/2011,"54,894","55,271","55,610","54,742","1.81M","-0.70%"</t>
  </si>
  <si>
    <t>11/24/2011,"55,280","54,978","55,519","54,537","1.41M","0.56%"</t>
  </si>
  <si>
    <t>11/23/2011,"54,972","55,879","55,879","54,813","2.43M","-1.62%"</t>
  </si>
  <si>
    <t>11/22/2011,"55,878","56,290","56,570","55,609","2.68M","-0.72%"</t>
  </si>
  <si>
    <t>11/21/2011,"56,285","56,722","56,722","55,505","2.89M","-0.79%"</t>
  </si>
  <si>
    <t>11/18/2011,"56,731","56,989","57,477","56,418","2.30M","-0.45%"</t>
  </si>
  <si>
    <t>11/17/2011,"56,989","58,550","58,555","56,663","3.05M","-2.68%"</t>
  </si>
  <si>
    <t>11/16/2011,"58,560","58,256","58,877","57,784","2.70M","0.52%"</t>
  </si>
  <si>
    <t>11/14/2011,"58,258","58,539","58,717","58,013","1.79M","-0.49%"</t>
  </si>
  <si>
    <t>11/11/2011,"58,547","57,325","58,747","57,325","2.14M","2.14%"</t>
  </si>
  <si>
    <t>11/10/2011,"57,322","57,561","58,314","57,294","1.96M","-0.40%"</t>
  </si>
  <si>
    <t>11/09/2011,"57,550","59,011","59,011","57,201","2.62M","-2.50%"</t>
  </si>
  <si>
    <t>11/08/2011,"59,026","59,205","59,616","58,505","1.93M","-0.29%"</t>
  </si>
  <si>
    <t>11/07/2011,"59,199","58,670","59,440","58,645","1.87M","0.90%"</t>
  </si>
  <si>
    <t>11/04/2011,"58,670","58,186","58,804","57,547","1.95M","0.81%"</t>
  </si>
  <si>
    <t>11/03/2011,"58,196","57,327","58,481","57,327","2.45M","1.52%"</t>
  </si>
  <si>
    <t>11/01/2011,"57,323","58,300","58,300","56,099","2.83M","-1.74%"</t>
  </si>
  <si>
    <t>10/31/2011,"58,338","59,512","59,512","58,094","2.26M","-1.97%"</t>
  </si>
  <si>
    <t>10/28/2011,"59,513","59,270","59,668","58,760","2.39M","0.41%"</t>
  </si>
  <si>
    <t>10/27/2011,"59,270","57,146","59,901","57,146","3.67M","3.72%"</t>
  </si>
  <si>
    <t>10/26/2011,"57,144","56,306","57,334","56,249","2.17M","1.52%"</t>
  </si>
  <si>
    <t>10/25/2011,"56,286","56,885","56,885","55,770","2.26M","-1.07%"</t>
  </si>
  <si>
    <t>10/24/2011,"56,892","55,259","57,226","55,259","2.66M","2.96%"</t>
  </si>
  <si>
    <t>10/21/2011,"55,255","54,014","55,504","54,014","2.15M","2.31%"</t>
  </si>
  <si>
    <t>10/20/2011,"54,010","54,953","54,953","53,610","2.28M","-1.74%"</t>
  </si>
  <si>
    <t>10/19/2011,"54,966","55,037","55,244","54,483","2.43M","-0.12%"</t>
  </si>
  <si>
    <t>10/18/2011,"55,032","53,915","55,225","53,188","2.54M","2.08%"</t>
  </si>
  <si>
    <t>10/17/2011,"53,911","55,021","55,021","53,536","2.37M","-2.03%"</t>
  </si>
  <si>
    <t>10/14/2011,"55,030","54,603","55,179","54,447","2.32M","0.79%"</t>
  </si>
  <si>
    <t>10/13/2011,"54,601","53,836","54,751","53,308","3.57M","1.42%"</t>
  </si>
  <si>
    <t>10/11/2011,"53,838","53,271","54,113","52,820","2.85M","1.06%"</t>
  </si>
  <si>
    <t>10/10/2011,"53,273","51,244","53,294","51,244","2.18M","3.96%"</t>
  </si>
  <si>
    <t>10/07/2011,"51,244","52,290","52,891","50,902","2.63M","-2.00%"</t>
  </si>
  <si>
    <t>10/06/2011,"52,290","51,016","52,729","51,016","3.15M","2.50%"</t>
  </si>
  <si>
    <t>10/05/2011,"51,014","50,683","51,199","50,209","2.83M","0.65%"</t>
  </si>
  <si>
    <t>10/04/2011,"50,686","50,790","50,790","49,433","4.04M","-0.21%"</t>
  </si>
  <si>
    <t>10/03/2011,"50,792","52,319","52,319","50,792","3.11M","-2.93%"</t>
  </si>
  <si>
    <t>09/30/2011,"52,324","53,385","53,385","51,897","3.07M","-1.99%"</t>
  </si>
  <si>
    <t>09/29/2011,"53,385","53,276","54,207","52,849","2.30M","0.22%"</t>
  </si>
  <si>
    <t>09/28/2011,"53,270","53,921","54,796","53,258","2.34M","-1.21%"</t>
  </si>
  <si>
    <t>09/27/2011,"53,920","53,751","54,992","53,751","2.45M","0.32%"</t>
  </si>
  <si>
    <t>09/26/2011,"53,748","53,243","53,873","52,399","2.14M","0.97%"</t>
  </si>
  <si>
    <t>09/23/2011,"53,230","53,273","53,855","52,754","2.69M","-0.09%"</t>
  </si>
  <si>
    <t>09/22/2011,"53,280","55,981","55,981","52,706","3.60M","-4.83%"</t>
  </si>
  <si>
    <t>09/21/2011,"55,982","56,381","57,600","55,915","2.78M","-0.70%"</t>
  </si>
  <si>
    <t>09/20/2011,"56,379","57,105","57,620","56,379","2.68M","-1.27%"</t>
  </si>
  <si>
    <t>09/19/2011,"57,103","57,208","57,208","56,060","2.33M","-0.19%"</t>
  </si>
  <si>
    <t>09/16/2011,"57,210","56,381","57,210","56,257","1.97M","1.47%"</t>
  </si>
  <si>
    <t>09/15/2011,"56,381","56,287","57,161","56,196","2.14M","0.17%"</t>
  </si>
  <si>
    <t>09/14/2011,"56,286","55,544","56,776","55,090","2.84M","1.34%"</t>
  </si>
  <si>
    <t>09/13/2011,"55,544","55,690","56,336","55,166","2.10M","-0.25%"</t>
  </si>
  <si>
    <t>09/12/2011,"55,685","55,773","55,792","54,310","2.38M","-0.17%"</t>
  </si>
  <si>
    <t>09/09/2011,"55,778","57,614","57,614","55,528","2.48M","-3.20%"</t>
  </si>
  <si>
    <t>09/08/2011,"57,624","56,608","58,242","56,608","2.76M","1.80%"</t>
  </si>
  <si>
    <t>09/06/2011,"56,607","54,998","56,676","54,121","2.85M","2.93%"</t>
  </si>
  <si>
    <t>09/05/2011,"54,998","56,521","56,521","54,818","1.61M","-2.71%"</t>
  </si>
  <si>
    <t>09/02/2011,"56,532","58,114","58,114","56,302","4.01M","-2.73%"</t>
  </si>
  <si>
    <t>09/01/2011,"58,118","56,498","58,589","56,498","4.01M","2.87%"</t>
  </si>
  <si>
    <t>08/31/2011,"56,495","55,399","56,495","55,399","2.94M","2.00%"</t>
  </si>
  <si>
    <t>08/30/2011,"55,385","54,861","55,768","54,425","2.34M","0.96%"</t>
  </si>
  <si>
    <t>08/29/2011,"54,861","53,356","55,027","53,356","2.29M","2.83%"</t>
  </si>
  <si>
    <t>08/26/2011,"53,351","52,955","53,598","51,971","2.22M","0.75%"</t>
  </si>
  <si>
    <t>08/25/2011,"52,953","53,796","54,155","52,677","2.38M","-1.57%"</t>
  </si>
  <si>
    <t>08/24/2011,"53,796","53,787","54,279","52,993","2.49M","0.02%"</t>
  </si>
  <si>
    <t>08/23/2011,"53,787","52,440","53,787","51,853","2.68M","2.57%"</t>
  </si>
  <si>
    <t>08/22/2011,"52,440","52,472","53,552","52,397","2.14M","-0.02%"</t>
  </si>
  <si>
    <t>08/19/2011,"52,448","53,135","53,601","52,336","2.58M","-1.29%"</t>
  </si>
  <si>
    <t>08/18/2011,"53,134","55,037","55,037","52,246","3.12M","-3.52%"</t>
  </si>
  <si>
    <t>08/17/2011,"55,073","54,324","55,073","53,828","3.16M","1.38%"</t>
  </si>
  <si>
    <t>08/16/2011,"54,324","54,651","54,651","53,539","2.46M","-0.60%"</t>
  </si>
  <si>
    <t>08/15/2011,"54,652","53,478","54,968","53,474","2.54M","2.20%"</t>
  </si>
  <si>
    <t>08/12/2011,"53,473","53,344","53,643","52,650","3.27M","0.24%"</t>
  </si>
  <si>
    <t>08/11/2011,"53,343","51,398","53,724","51,398","4.07M","3.79%"</t>
  </si>
  <si>
    <t>08/10/2011,"51,395","51,151","52,164","49,947","4.36M","0.48%"</t>
  </si>
  <si>
    <t>08/09/2011,"51,151","48,671","51,151","48,666","5.27M","5.10%"</t>
  </si>
  <si>
    <t>08/08/2011,"48,668","52,938","52,938","47,793","4.89M","-8.09%"</t>
  </si>
  <si>
    <t>08/05/2011,"52,949","52,811","53,866","51,153","4.32M","0.26%"</t>
  </si>
  <si>
    <t>08/04/2011,"52,811","55,999","55,999","52,629","4.46M","-5.72%"</t>
  </si>
  <si>
    <t>08/03/2011,"56,017","57,318","57,352","55,249","3.49M","-2.26%"</t>
  </si>
  <si>
    <t>08/02/2011,"57,311","58,526","58,673","57,259","2.70M","-2.09%"</t>
  </si>
  <si>
    <t>08/01/2011,"58,536","58,823","59,542","58,168","2.11M","-0.49%"</t>
  </si>
  <si>
    <t>07/29/2011,"58,823","58,703","58,952","58,009","2.37M","0.20%"</t>
  </si>
  <si>
    <t>07/28/2011,"58,708","58,297","59,167","58,290","2.23M","0.72%"</t>
  </si>
  <si>
    <t>07/27/2011,"58,288","59,336","59,336","58,169","2.62M","-1.77%"</t>
  </si>
  <si>
    <t>07/26/2011,"59,340","59,972","60,204","59,261","2.17M","-1.05%"</t>
  </si>
  <si>
    <t>07/25/2011,"59,971","60,264","60,285","59,640","1.77M","-0.50%"</t>
  </si>
  <si>
    <t>07/22/2011,"60,270","60,263","60,696","60,077","1.81M","0.01%"</t>
  </si>
  <si>
    <t>07/21/2011,"60,263","59,120","60,441","59,120","2.16M","1.93%"</t>
  </si>
  <si>
    <t>07/20/2011,"59,120","59,094","59,552","59,045","1.95M","0.06%"</t>
  </si>
  <si>
    <t>07/19/2011,"59,082","58,838","59,394","58,677","1.89M","0.41%"</t>
  </si>
  <si>
    <t>07/18/2011,"58,838","59,479","59,479","58,631","1.96M","-1.08%"</t>
  </si>
  <si>
    <t>07/15/2011,"59,478","59,679","60,104","59,180","1.96M","-0.34%"</t>
  </si>
  <si>
    <t>07/14/2011,"59,679","60,673","60,685","59,452","2.36M","-1.63%"</t>
  </si>
  <si>
    <t>07/13/2011,"60,670","59,718","60,847","59,718","2.28M","1.62%"</t>
  </si>
  <si>
    <t>07/12/2011,"59,705","60,220","60,516","59,705","1.95M","-0.86%"</t>
  </si>
  <si>
    <t>07/11/2011,"60,224","61,502","61,502","60,098","1.77M","-2.10%"</t>
  </si>
  <si>
    <t>07/08/2011,"61,513","62,207","62,207","61,366","1.67M","-1.12%"</t>
  </si>
  <si>
    <t>07/07/2011,"62,207","62,573","63,206","62,207","1.87M","-0.57%"</t>
  </si>
  <si>
    <t>07/06/2011,"62,565","63,039","63,039","62,391","1.61M","-0.75%"</t>
  </si>
  <si>
    <t>07/05/2011,"63,039","63,886","63,886","63,030","1.94M","-1.33%"</t>
  </si>
  <si>
    <t>07/04/2011,"63,891","63,397","63,891","63,314","1.00M","0.78%"</t>
  </si>
  <si>
    <t>07/01/2011,"63,394","62,404","63,455","62,148","2.38M","1.59%"</t>
  </si>
  <si>
    <t>06/30/2011,"62,404","62,337","62,574","61,959","1.81M","0.11%"</t>
  </si>
  <si>
    <t>06/29/2011,"62,334","62,303","62,625","62,033","1.87M","0.05%"</t>
  </si>
  <si>
    <t>06/28/2011,"62,303","61,216","62,309","61,216","1.80M","1.77%"</t>
  </si>
  <si>
    <t>06/27/2011,"61,217","61,017","61,456","60,772","1.63M","0.33%"</t>
  </si>
  <si>
    <t>06/24/2011,"61,017","61,192","61,459","60,921","1.45M","-0.29%"</t>
  </si>
  <si>
    <t>06/22/2011,"61,194","61,420","61,859","61,194","1.86M","-0.37%"</t>
  </si>
  <si>
    <t>06/21/2011,"61,424","61,188","61,543","61,179","1.70M","0.42%"</t>
  </si>
  <si>
    <t>06/20/2011,"61,168","61,059","61,571","60,784","2.02M","0.18%"</t>
  </si>
  <si>
    <t>06/17/2011,"61,060","60,883","61,268","60,566","1.97M","0.29%"</t>
  </si>
  <si>
    <t>06/16/2011,"60,881","61,602","62,040","60,489","1.99M","-1.17%"</t>
  </si>
  <si>
    <t>06/15/2011,"61,604","62,198","62,198","61,448","2.67M","-0.97%"</t>
  </si>
  <si>
    <t>06/14/2011,"62,205","62,023","62,697","62,023","1.76M","0.29%"</t>
  </si>
  <si>
    <t>06/13/2011,"62,023","62,701","62,968","62,022","1.40M","-1.08%"</t>
  </si>
  <si>
    <t>06/10/2011,"62,697","63,470","63,478","62,495","1.69M","-1.22%"</t>
  </si>
  <si>
    <t>06/09/2011,"63,469","63,037","63,773","62,872","1.95M","0.69%"</t>
  </si>
  <si>
    <t>06/08/2011,"63,033","63,204","63,354","62,709","1.81M","-0.29%"</t>
  </si>
  <si>
    <t>06/07/2011,"63,218","63,072","63,784","63,072","2.09M","0.24%"</t>
  </si>
  <si>
    <t>06/06/2011,"63,068","64,340","64,512","62,960","1.82M","-1.98%"</t>
  </si>
  <si>
    <t>06/03/2011,"64,340","64,216","64,979","63,628","2.16M","0.19%"</t>
  </si>
  <si>
    <t>06/02/2011,"64,218","63,411","64,218","63,277","2.14M","1.27%"</t>
  </si>
  <si>
    <t>06/01/2011,"63,411","64,616","64,674","63,401","2.16M","-1.87%"</t>
  </si>
  <si>
    <t>05/31/2011,"64,620","63,961","64,620","63,932","2.43M","1.04%"</t>
  </si>
  <si>
    <t>05/30/2011,"63,954","64,295","64,460","63,915","629.04K","-0.53%"</t>
  </si>
  <si>
    <t>05/27/2011,"64,295","64,101","64,548","64,092","1.67M","0.31%"</t>
  </si>
  <si>
    <t>05/26/2011,"64,099","63,389","64,121","63,232","2.40M","1.12%"</t>
  </si>
  <si>
    <t>05/25/2011,"63,388","63,329","63,857","63,025","1.92M","0.08%"</t>
  </si>
  <si>
    <t>05/24/2011,"63,337","62,350","63,415","62,350","2.01M","1.59%"</t>
  </si>
  <si>
    <t>05/23/2011,"62,345","62,597","62,597","61,659","1.77M","-0.40%"</t>
  </si>
  <si>
    <t>05/20/2011,"62,597","62,370","63,043","62,086","2.09M","0.37%"</t>
  </si>
  <si>
    <t>05/19/2011,"62,367","62,844","63,607","62,225","2.29M","-0.75%"</t>
  </si>
  <si>
    <t>05/18/2011,"62,841","63,675","64,015","62,830","2.49M","-1.31%"</t>
  </si>
  <si>
    <t>05/17/2011,"63,673","62,830","63,680","62,414","2.21M","1.34%"</t>
  </si>
  <si>
    <t>05/16/2011,"62,830","63,233","63,829","62,676","2.46M","-0.64%"</t>
  </si>
  <si>
    <t>05/13/2011,"63,235","64,003","64,165","63,063","2.67M","-1.20%"</t>
  </si>
  <si>
    <t>05/12/2011,"64,003","63,772","64,329","63,125","2.49M","0.36%"</t>
  </si>
  <si>
    <t>05/11/2011,"63,776","64,877","64,877","63,622","2.46M","-1.70%"</t>
  </si>
  <si>
    <t>05/10/2011,"64,877","64,622","65,143","64,619","1.98M","0.39%"</t>
  </si>
  <si>
    <t>05/09/2011,"64,622","64,416","64,782","64,150","1.88M","0.32%"</t>
  </si>
  <si>
    <t>05/06/2011,"64,417","63,422","64,704","63,422","2.69M","1.59%"</t>
  </si>
  <si>
    <t>05/05/2011,"63,407","63,609","64,268","62,973","2.81M","-0.33%"</t>
  </si>
  <si>
    <t>05/04/2011,"63,616","64,320","64,807","63,548","2.49M","-1.09%"</t>
  </si>
  <si>
    <t>05/03/2011,"64,318","65,458","65,468","64,244","2.24M","-1.75%"</t>
  </si>
  <si>
    <t>05/02/2011,"65,463","66,119","66,500","65,346","2.31M","-1.01%"</t>
  </si>
  <si>
    <t>04/29/2011,"66,133","65,664","66,294","65,461","2.65M","0.70%"</t>
  </si>
  <si>
    <t>04/28/2011,"65,673","66,249","66,249","65,105","3.09M","-0.89%"</t>
  </si>
  <si>
    <t>04/27/2011,"66,264","67,143","67,228","65,885","2.15M","-1.31%"</t>
  </si>
  <si>
    <t>04/26/2011,"67,144","66,972","67,413","66,722","1.73M","0.26%"</t>
  </si>
  <si>
    <t>04/25/2011,"66,972","67,058","67,124","66,552","1.39M","-0.13%"</t>
  </si>
  <si>
    <t>04/20/2011,"67,058","66,165","67,077","66,165","2.40M","1.36%"</t>
  </si>
  <si>
    <t>04/19/2011,"66,158","65,417","66,257","65,417","2.21M","1.14%"</t>
  </si>
  <si>
    <t>04/18/2011,"65,415","66,689","66,706","65,158","3.06M","-1.90%"</t>
  </si>
  <si>
    <t>04/15/2011,"66,684","66,281","66,765","65,832","2.15M","0.61%"</t>
  </si>
  <si>
    <t>04/14/2011,"66,279","66,483","67,042","66,090","2.26M","-0.31%"</t>
  </si>
  <si>
    <t>04/13/2011,"66,486","66,909","67,411","66,251","2.52M","-0.61%"</t>
  </si>
  <si>
    <t>04/12/2011,"66,896","68,153","68,153","66,721","2.53M","-1.86%"</t>
  </si>
  <si>
    <t>04/11/2011,"68,164","68,719","69,177","68,029","2.17M","-0.81%"</t>
  </si>
  <si>
    <t>04/08/2011,"68,718","69,180","69,430","68,472","2.11M","-0.66%"</t>
  </si>
  <si>
    <t>04/07/2011,"69,176","69,040","69,334","68,695","2.22M","0.20%"</t>
  </si>
  <si>
    <t>04/06/2011,"69,037","69,841","70,108","68,954","2.11M","-1.15%"</t>
  </si>
  <si>
    <t>04/05/2011,"69,838","69,704","70,047","69,465","2.48M","0.19%"</t>
  </si>
  <si>
    <t>04/04/2011,"69,704","69,270","69,787","69,270","1.92M","0.63%"</t>
  </si>
  <si>
    <t>04/01/2011,"69,268","68,588","69,387","68,588","2.40M","0.99%"</t>
  </si>
  <si>
    <t>03/31/2011,"68,587","68,000","68,606","68,000","2.12M","0.87%"</t>
  </si>
  <si>
    <t>03/30/2011,"67,997","67,423","68,004","67,423","1.86M","0.86%"</t>
  </si>
  <si>
    <t>03/29/2011,"67,419","67,194","67,862","67,046","1.77M","0.34%"</t>
  </si>
  <si>
    <t>03/28/2011,"67,193","67,766","68,070","67,193","1.44M","-0.85%"</t>
  </si>
  <si>
    <t>03/25/2011,"67,766","67,528","68,256","67,497","2.22M","0.35%"</t>
  </si>
  <si>
    <t>03/24/2011,"67,533","67,799","68,009","67,406","1.82M","-0.39%"</t>
  </si>
  <si>
    <t>03/23/2011,"67,796","67,570","67,918","67,317","2.15M","0.32%"</t>
  </si>
  <si>
    <t>03/22/2011,"67,578","66,684","67,631","66,531","2.36M","1.33%"</t>
  </si>
  <si>
    <t>03/21/2011,"66,690","66,887","67,676","66,656","2.56M","-0.28%"</t>
  </si>
  <si>
    <t>03/18/2011,"66,880","66,217","67,384","66,217","2.84M","1.00%"</t>
  </si>
  <si>
    <t>03/17/2011,"66,216","66,017","66,950","66,015","1.98M","0.32%"</t>
  </si>
  <si>
    <t>03/16/2011,"66,003","67,011","67,502","65,663","3.06M","-1.50%"</t>
  </si>
  <si>
    <t>03/15/2011,"67,005","67,168","67,168","65,463","2.85M","-0.24%"</t>
  </si>
  <si>
    <t>03/14/2011,"67,169","66,684","67,333","66,088","1.87M","0.73%"</t>
  </si>
  <si>
    <t>03/11/2011,"66,685","66,041","67,014","65,559","2.49M","0.98%"</t>
  </si>
  <si>
    <t>03/10/2011,"66,041","67,256","67,256","65,854","2.38M","-1.82%"</t>
  </si>
  <si>
    <t>03/09/2011,"67,264","68,010","68,057","67,109","1.41M","-1.10%"</t>
  </si>
  <si>
    <t>03/04/2011,"68,012","68,138","68,220","67,514","1.84M","-0.20%"</t>
  </si>
  <si>
    <t>03/03/2011,"68,146","67,284","68,188","67,284","2.25M","1.28%"</t>
  </si>
  <si>
    <t>03/02/2011,"67,282","66,242","67,282","66,101","2.52M","1.57%"</t>
  </si>
  <si>
    <t>03/01/2011,"66,243","67,381","67,708","66,243","2.17M","-1.69%"</t>
  </si>
  <si>
    <t>02/28/2011,"67,383","66,909","67,458","66,687","2.64M","0.72%"</t>
  </si>
  <si>
    <t>02/25/2011,"66,903","66,952","67,632","66,331","2.39M","-0.07%"</t>
  </si>
  <si>
    <t>02/24/2011,"66,949","66,909","67,344","66,693","2.70M","0.06%"</t>
  </si>
  <si>
    <t>02/23/2011,"66,910","66,440","67,266","66,049","3.33M","0.71%"</t>
  </si>
  <si>
    <t>02/22/2011,"66,440","67,255","67,570","66,342","3.05M","-1.22%"</t>
  </si>
  <si>
    <t>02/21/2011,"67,259","68,067","68,067","67,085","1.45M","-1.19%"</t>
  </si>
  <si>
    <t>02/18/2011,"68,067","67,685","68,226","67,386","1.94M","0.56%"</t>
  </si>
  <si>
    <t>02/17/2011,"67,685","67,580","67,876","67,107","2.15M","0.16%"</t>
  </si>
  <si>
    <t>02/16/2011,"67,576","66,342","67,793","66,342","2.67M","1.86%"</t>
  </si>
  <si>
    <t>02/15/2011,"66,341","66,558","66,861","66,117","2.36M","-0.33%"</t>
  </si>
  <si>
    <t>02/14/2011,"66,558","65,751","66,743","65,462","1.95M","1.22%"</t>
  </si>
  <si>
    <t>02/11/2011,"65,756","64,582","65,890","64,562","2.40M","1.82%"</t>
  </si>
  <si>
    <t>02/10/2011,"64,578","64,217","65,106","64,185","2.36M","0.56%"</t>
  </si>
  <si>
    <t>02/09/2011,"64,218","65,767","65,767","64,016","2.81M","-2.36%"</t>
  </si>
  <si>
    <t>02/08/2011,"65,771","65,359","66,238","65,110","2.76M","0.63%"</t>
  </si>
  <si>
    <t>02/07/2011,"65,362","65,272","65,893","64,916","1.98M","0.14%"</t>
  </si>
  <si>
    <t>02/04/2011,"65,269","66,752","66,946","65,160","2.68M","-2.24%"</t>
  </si>
  <si>
    <t>02/03/2011,"66,765","66,688","66,849","66,091","2.38M","0.12%"</t>
  </si>
  <si>
    <t>02/02/2011,"66,688","67,844","68,012","66,643","2.55M","-1.71%"</t>
  </si>
  <si>
    <t>02/01/2011,"67,847","66,575","67,922","66,575","2.11M","1.91%"</t>
  </si>
  <si>
    <t>01/31/2011,"66,575","66,697","67,166","66,271","2.25M","-0.18%"</t>
  </si>
  <si>
    <t>01/28/2011,"66,698","68,051","68,182","65,898","2.54M","-1.99%"</t>
  </si>
  <si>
    <t>01/27/2011,"68,051","68,717","69,108","67,775","2.30M","-0.96%"</t>
  </si>
  <si>
    <t>01/26/2011,"68,709","69,427","69,556","68,515","2.54M","-1.03%"</t>
  </si>
  <si>
    <t>01/24/2011,"69,427","69,134","69,513","68,786","1.47M","0.43%"</t>
  </si>
  <si>
    <t>01/21/2011,"69,133","69,560","70,027","69,095","2.07M","-0.62%"</t>
  </si>
  <si>
    <t>01/20/2011,"69,562","70,056","70,083","69,177","2.17M","-0.71%"</t>
  </si>
  <si>
    <t>01/19/2011,"70,058","70,921","71,190","69,966","1.88M","-1.22%"</t>
  </si>
  <si>
    <t>01/18/2011,"70,920","70,612","71,094","70,612","1.88M","0.44%"</t>
  </si>
  <si>
    <t>01/17/2011,"70,609","70,940","70,940","70,544","1.54M","-0.47%"</t>
  </si>
  <si>
    <t>01/14/2011,"70,940","70,723","71,184","70,397","1.81M","0.31%"</t>
  </si>
  <si>
    <t>01/13/2011,"70,721","71,631","71,924","70,719","2.24M","-1.27%"</t>
  </si>
  <si>
    <t>01/12/2011,"71,633","70,429","71,633","70,429","2.52M","1.72%"</t>
  </si>
  <si>
    <t>01/11/2011,"70,423","70,146","70,647","70,145","2.14M","0.42%"</t>
  </si>
  <si>
    <t>01/10/2011,"70,127","70,056","70,133","69,666","1.61M","0.10%"</t>
  </si>
  <si>
    <t>01/07/2011,"70,057","70,580","70,783","69,718","1.76M","-0.74%"</t>
  </si>
  <si>
    <t>01/06/2011,"70,579","71,092","71,167","70,469","2.55M","-0.72%"</t>
  </si>
  <si>
    <t>01/05/2011,"71,091","70,311","71,173","69,802","2.31M","1.10%"</t>
  </si>
  <si>
    <t>01/04/2011,"70,318","69,962","70,318","69,560","2.43M","0.51%"</t>
  </si>
  <si>
    <t>01/03/2011,"69,962","69,310","70,471","69,305","1.86M","0.95%"</t>
  </si>
  <si>
    <t>12/30/2010,"69,305","68,953","69,527","68,940","2.10M","0.51%"</t>
  </si>
  <si>
    <t>12/29/2010,"68,952","68,043","69,040","68,043","1.31M","1.34%"</t>
  </si>
  <si>
    <t>12/28/2010,"68,041","67,810","68,104","67,810","1.40M","0.35%"</t>
  </si>
  <si>
    <t>12/27/2010,"67,803","68,476","68,476","67,803","1.04M","-1.00%"</t>
  </si>
  <si>
    <t>12/23/2010,"68,486","68,470","68,562","68,250","1.23M","0.02%"</t>
  </si>
  <si>
    <t>12/22/2010,"68,471","68,218","68,472","67,727","1.66M","0.38%"</t>
  </si>
  <si>
    <t>12/21/2010,"68,215","67,261","68,461","67,261","1.90M","1.41%"</t>
  </si>
  <si>
    <t>12/20/2010,"67,264","67,979","68,196","67,264","2.35M","-1.05%"</t>
  </si>
  <si>
    <t>12/17/2010,"67,981","67,304","67,981","66,948","1.98M","1.00%"</t>
  </si>
  <si>
    <t>12/16/2010,"67,306","67,875","68,377","67,138","2.40M","-0.83%"</t>
  </si>
  <si>
    <t>12/15/2010,"67,870","68,741","68,741","67,711","1.35M","-1.27%"</t>
  </si>
  <si>
    <t>12/14/2010,"68,743","69,127","69,127","68,531","1.88M","-0.55%"</t>
  </si>
  <si>
    <t>12/13/2010,"69,126","68,342","69,221","68,342","2.46M","1.15%"</t>
  </si>
  <si>
    <t>12/10/2010,"68,342","67,889","68,514","67,866","2.81M","0.68%"</t>
  </si>
  <si>
    <t>12/09/2010,"67,879","68,173","68,561","67,563","2.45M","-0.43%"</t>
  </si>
  <si>
    <t>12/08/2010,"68,175","69,338","69,354","68,046","2.67M","-1.68%"</t>
  </si>
  <si>
    <t>12/07/2010,"69,338","69,563","70,589","69,338","2.59M","-0.31%"</t>
  </si>
  <si>
    <t>12/06/2010,"69,552","69,759","69,932","69,378","1.89M","-0.31%"</t>
  </si>
  <si>
    <t>12/03/2010,"69,766","69,529","69,963","68,943","2.83M","0.34%"</t>
  </si>
  <si>
    <t>12/02/2010,"69,527","69,341","69,943","69,219","2.11M","0.26%"</t>
  </si>
  <si>
    <t>12/01/2010,"69,346","67,731","69,605","67,731","2.09M","2.42%"</t>
  </si>
  <si>
    <t>11/30/2010,"67,705","67,901","68,476","67,271","2.16M","-0.30%"</t>
  </si>
  <si>
    <t>11/29/2010,"67,908","68,218","68,422","67,103","1.78M","-0.47%"</t>
  </si>
  <si>
    <t>11/26/2010,"68,226","69,349","69,349","68,219","1.56M","-1.64%"</t>
  </si>
  <si>
    <t>11/25/2010,"69,362","69,634","69,780","69,362","981.63K","-0.38%"</t>
  </si>
  <si>
    <t>11/24/2010,"69,629","67,955","69,746","67,955","1.99M","2.47%"</t>
  </si>
  <si>
    <t>11/23/2010,"67,953","69,629","69,629","67,728","2.08M","-2.41%"</t>
  </si>
  <si>
    <t>11/22/2010,"69,632","70,898","70,898","69,202","1.74M","-1.79%"</t>
  </si>
  <si>
    <t>11/19/2010,"70,898","70,774","70,898","70,236","1.51M","0.17%"</t>
  </si>
  <si>
    <t>11/18/2010,"70,781","69,716","70,904","69,716","1.88M","1.54%"</t>
  </si>
  <si>
    <t>11/17/2010,"69,709","69,189","70,080","69,187","1.99M","0.75%"</t>
  </si>
  <si>
    <t>11/16/2010,"69,192","70,364","70,364","68,662","2.24M","-1.67%"</t>
  </si>
  <si>
    <t>11/12/2010,"70,367","71,191","71,191","70,004","1.19M","-1.16%"</t>
  </si>
  <si>
    <t>11/11/2010,"71,195","71,639","71,639","70,941","1.35M","-0.62%"</t>
  </si>
  <si>
    <t>11/10/2010,"71,638","71,674","71,854","70,868","1.49M","-0.06%"</t>
  </si>
  <si>
    <t>11/09/2010,"71,679","72,654","73,045","71,651","1.51M","-1.35%"</t>
  </si>
  <si>
    <t>11/08/2010,"72,657","72,607","72,875","72,336","1.08M","0.07%"</t>
  </si>
  <si>
    <t>11/05/2010,"72,607","72,987","72,987","72,534","1.73M","-0.53%"</t>
  </si>
  <si>
    <t>11/04/2010,"72,996","71,910","73,103","71,910","2.18M","1.52%"</t>
  </si>
  <si>
    <t>11/03/2010,"71,905","71,560","72,110","71,510","2.15M","0.48%"</t>
  </si>
  <si>
    <t>11/01/2010,"71,561","70,686","71,751","70,673","1.56M","1.26%"</t>
  </si>
  <si>
    <t>10/29/2010,"70,673","70,322","70,776","70,322","2.21M","0.50%"</t>
  </si>
  <si>
    <t>10/28/2010,"70,320","70,573","71,263","70,234","2.23M","-0.35%"</t>
  </si>
  <si>
    <t>10/27/2010,"70,569","70,735","70,844","70,059","2.20M","-0.24%"</t>
  </si>
  <si>
    <t>10/26/2010,"70,740","69,582","70,834","69,055","2.58M","1.67%"</t>
  </si>
  <si>
    <t>10/25/2010,"69,580","69,536","70,231","69,451","3.84M","0.07%"</t>
  </si>
  <si>
    <t>10/22/2010,"69,530","69,658","70,312","68,847","2.42M","-0.18%"</t>
  </si>
  <si>
    <t>10/21/2010,"69,652","70,406","70,958","68,952","2.59M","-1.07%"</t>
  </si>
  <si>
    <t>10/20/2010,"70,405","69,863","70,720","69,814","2.41M","0.77%"</t>
  </si>
  <si>
    <t>10/19/2010,"69,864","71,735","71,735","69,628","2.50M","-2.61%"</t>
  </si>
  <si>
    <t>10/18/2010,"71,736","71,830","71,884","71,341","2.11M","-0.13%"</t>
  </si>
  <si>
    <t>10/15/2010,"71,830","71,699","72,140","71,351","2.02M","0.19%"</t>
  </si>
  <si>
    <t>10/14/2010,"71,692","71,676","71,961","71,264","2.63M","0.02%"</t>
  </si>
  <si>
    <t>10/13/2010,"71,675","70,950","71,995","70,950","2.98M","1.03%"</t>
  </si>
  <si>
    <t>10/11/2010,"70,946","70,810","71,111","70,810","1.17M","0.19%"</t>
  </si>
  <si>
    <t>10/08/2010,"70,809","69,921","70,828","69,698","2.14M","1.27%"</t>
  </si>
  <si>
    <t>10/07/2010,"69,918","70,545","70,739","69,314","2.59M","-0.88%"</t>
  </si>
  <si>
    <t>10/06/2010,"70,541","71,284","71,290","70,343","2.78M","-1.04%"</t>
  </si>
  <si>
    <t>10/05/2010,"71,283","70,390","71,285","70,390","2.71M","1.28%"</t>
  </si>
  <si>
    <t>10/04/2010,"70,385","70,230","70,551","70,089","1.88M","0.22%"</t>
  </si>
  <si>
    <t>10/01/2010,"70,229","69,438","70,243","69,228","2.45M","1.15%"</t>
  </si>
  <si>
    <t>09/30/2010,"69,430","69,230","69,737","68,924","2.47M","0.29%"</t>
  </si>
  <si>
    <t>09/29/2010,"69,228","69,225","69,420","68,958","3.07M","0.00%"</t>
  </si>
  <si>
    <t>09/28/2010,"69,228","68,817","69,431","68,455","1.85M","0.60%"</t>
  </si>
  <si>
    <t>09/27/2010,"68,816","68,197","68,926","68,011","2.14M","0.91%"</t>
  </si>
  <si>
    <t>09/24/2010,"68,196","68,800","69,571","68,021","3.44M","-0.87%"</t>
  </si>
  <si>
    <t>09/23/2010,"68,794","68,321","69,601","67,892","3.31M","0.69%"</t>
  </si>
  <si>
    <t>09/22/2010,"68,325","67,711","68,549","67,346","2.50M","0.89%"</t>
  </si>
  <si>
    <t>09/21/2010,"67,719","68,189","68,255","67,528","1.73M","-0.69%"</t>
  </si>
  <si>
    <t>09/20/2010,"68,190","67,087","68,241","67,009","1.78M","1.64%"</t>
  </si>
  <si>
    <t>09/17/2010,"67,089","67,665","67,773","66,993","1.63M","-0.85%"</t>
  </si>
  <si>
    <t>09/16/2010,"67,663","68,103","68,103","67,507","1.46M","-0.65%"</t>
  </si>
  <si>
    <t>09/15/2010,"68,107","67,690","68,107","67,119","2.23M","0.61%"</t>
  </si>
  <si>
    <t>09/14/2010,"67,692","68,030","68,093","67,561","2.59M","-0.50%"</t>
  </si>
  <si>
    <t>09/13/2010,"68,031","66,807","68,142","66,807","2.14M","1.83%"</t>
  </si>
  <si>
    <t>09/10/2010,"66,807","66,622","66,920","66,459","1.56M","0.27%"</t>
  </si>
  <si>
    <t>09/09/2010,"66,624","66,411","66,806","66,353","1.44M","0.33%"</t>
  </si>
  <si>
    <t>09/08/2010,"66,407","66,739","66,739","66,101","1.72M","-0.51%"</t>
  </si>
  <si>
    <t>09/06/2010,"66,747","66,679","66,949","66,380","651.48K","0.10%"</t>
  </si>
  <si>
    <t>09/03/2010,"66,679","66,812","67,673","66,541","2.02M","-0.19%"</t>
  </si>
  <si>
    <t>09/02/2010,"66,808","67,073","67,168","66,405","1.60M","-0.40%"</t>
  </si>
  <si>
    <t>09/01/2010,"67,073","65,154","67,073","65,154","2.51M","2.96%"</t>
  </si>
  <si>
    <t>08/31/2010,"65,145","64,262","65,182","64,202","3.28M","1.38%"</t>
  </si>
  <si>
    <t>08/30/2010,"64,261","65,585","65,585","64,255","1.29M","-2.02%"</t>
  </si>
  <si>
    <t>08/27/2010,"65,585","63,875","65,589","63,848","1.76M","2.69%"</t>
  </si>
  <si>
    <t>08/26/2010,"63,867","64,802","65,271","63,804","1.77M","-1.44%"</t>
  </si>
  <si>
    <t>08/25/2010,"64,803","65,156","65,156","64,164","1.75M","-0.54%"</t>
  </si>
  <si>
    <t>08/24/2010,"65,156","65,946","65,946","65,013","1.60M","-1.25%"</t>
  </si>
  <si>
    <t>08/23/2010,"65,982","66,678","67,175","65,982","1.38M","-1.04%"</t>
  </si>
  <si>
    <t>08/20/2010,"66,677","66,892","66,892","66,337","1.41M","-0.31%"</t>
  </si>
  <si>
    <t>08/19/2010,"66,887","67,641","67,713","66,824","1.92M","-1.11%"</t>
  </si>
  <si>
    <t>08/18/2010,"67,638","67,584","67,745","67,006","2.37M","0.08%"</t>
  </si>
  <si>
    <t>08/17/2010,"67,584","66,702","67,666","66,702","1.75M","1.32%"</t>
  </si>
  <si>
    <t>08/16/2010,"66,702","66,260","66,868","66,187","1.39M","0.66%"</t>
  </si>
  <si>
    <t>08/13/2010,"66,264","65,964","66,590","65,921","1.84M","0.45%"</t>
  </si>
  <si>
    <t>08/12/2010,"65,966","65,788","66,027","65,257","1.55M","0.27%"</t>
  </si>
  <si>
    <t>08/11/2010,"65,790","67,217","67,217","65,690","1.73M","-2.13%"</t>
  </si>
  <si>
    <t>08/10/2010,"67,223","67,836","67,836","66,946","1.63M","-0.94%"</t>
  </si>
  <si>
    <t>08/09/2010,"67,862","68,096","68,513","67,749","1.25M","-0.34%"</t>
  </si>
  <si>
    <t>08/06/2010,"68,095","68,416","68,509","67,686","1.51M","-0.46%"</t>
  </si>
  <si>
    <t>08/05/2010,"68,412","68,271","68,471","68,002","1.61M","0.21%"</t>
  </si>
  <si>
    <t>08/04/2010,"68,272","67,996","68,534","67,577","1.88M","0.40%"</t>
  </si>
  <si>
    <t>08/03/2010,"67,997","68,517","68,561","67,942","1.90M","-0.76%"</t>
  </si>
  <si>
    <t>08/02/2010,"68,517","67,524","68,754","67,524","1.77M","1.48%"</t>
  </si>
  <si>
    <t>07/30/2010,"67,515","66,951","67,608","66,218","2.09M","0.84%"</t>
  </si>
  <si>
    <t>07/29/2010,"66,954","66,796","67,428","66,596","2.16M","0.22%"</t>
  </si>
  <si>
    <t>07/28/2010,"66,808","66,670","67,051","66,427","1.94M","0.20%"</t>
  </si>
  <si>
    <t>07/27/2010,"66,674","66,449","67,102","66,293","1.60M","0.35%"</t>
  </si>
  <si>
    <t>07/26/2010,"66,443","66,322","66,619","66,151","1.23M","0.18%"</t>
  </si>
  <si>
    <t>07/23/2010,"66,323","65,748","66,323","65,427","1.54M","0.87%"</t>
  </si>
  <si>
    <t>07/22/2010,"65,748","64,504","66,213","64,504","2.32M","1.97%"</t>
  </si>
  <si>
    <t>07/21/2010,"64,477","64,468","65,136","64,209","1.82M","0.02%"</t>
  </si>
  <si>
    <t>07/20/2010,"64,462","63,290","64,481","62,902","2.43M","1.84%"</t>
  </si>
  <si>
    <t>07/19/2010,"63,297","62,351","63,300","62,351","1.28M","1.54%"</t>
  </si>
  <si>
    <t>07/16/2010,"62,339","63,487","63,492","62,298","1.33M","-1.81%"</t>
  </si>
  <si>
    <t>07/15/2010,"63,489","63,482","63,612","62,960","1.56M","0.02%"</t>
  </si>
  <si>
    <t>07/14/2010,"63,479","63,686","63,688","63,015","1.45M","-0.33%"</t>
  </si>
  <si>
    <t>07/13/2010,"63,686","62,964","63,777","62,964","1.58M","1.15%"</t>
  </si>
  <si>
    <t>07/12/2010,"62,960","63,477","63,972","62,750","1.23M","-0.81%"</t>
  </si>
  <si>
    <t>07/08/2010,"63,476","63,282","63,596","62,895","1.66M","0.30%"</t>
  </si>
  <si>
    <t>07/07/2010,"63,284","62,067","63,313","62,004","1.73M","1.96%"</t>
  </si>
  <si>
    <t>07/06/2010,"62,065","60,870","62,451","60,870","1.79M","1.97%"</t>
  </si>
  <si>
    <t>07/05/2010,"60,865","61,436","61,667","60,796","759.93K","-0.92%"</t>
  </si>
  <si>
    <t>07/02/2010,"61,430","61,236","61,812","60,764","1.14M","0.32%"</t>
  </si>
  <si>
    <t>07/01/2010,"61,236","60,935","61,381","60,056","2.13M","0.49%"</t>
  </si>
  <si>
    <t>06/30/2010,"60,936","61,972","62,645","60,936","1.96M","-1.68%"</t>
  </si>
  <si>
    <t>06/29/2010,"61,978","64,216","64,216","61,670","2.20M","-3.50%"</t>
  </si>
  <si>
    <t>06/28/2010,"64,225","64,825","65,105","64,225","943.30K","-0.92%"</t>
  </si>
  <si>
    <t>06/25/2010,"64,824","63,937","64,869","63,806","1.26M","1.39%"</t>
  </si>
  <si>
    <t>06/24/2010,"63,937","65,154","65,154","63,736","1.79M","-1.88%"</t>
  </si>
  <si>
    <t>06/23/2010,"65,160","64,812","65,161","64,247","1.76M","0.54%"</t>
  </si>
  <si>
    <t>06/22/2010,"64,811","64,834","65,831","64,690","1.93M","-0.03%"</t>
  </si>
  <si>
    <t>06/21/2010,"64,829","64,442","65,517","64,442","1.62M","0.61%"</t>
  </si>
  <si>
    <t>06/18/2010,"64,438","64,542","64,941","64,239","1.87M","-0.16%"</t>
  </si>
  <si>
    <t>06/17/2010,"64,541","64,745","65,182","64,115","1.89M","-0.32%"</t>
  </si>
  <si>
    <t>06/16/2010,"64,751","64,442","65,097","63,974","2.44M","0.48%"</t>
  </si>
  <si>
    <t>06/15/2010,"64,442","63,534","64,554","63,534","1.27M","1.43%"</t>
  </si>
  <si>
    <t>06/14/2010,"63,533","63,613","64,296","63,529","1.79M","-0.11%"</t>
  </si>
  <si>
    <t>06/11/2010,"63,605","63,044","63,766","62,371","1.35M","0.88%"</t>
  </si>
  <si>
    <t>06/10/2010,"63,049","61,484","63,146","61,484","1.72M","2.55%"</t>
  </si>
  <si>
    <t>06/09/2010,"61,479","61,799","62,684","61,479","1.74M","-0.51%"</t>
  </si>
  <si>
    <t>06/08/2010,"61,794","61,187","62,000","61,187","1.61M","1.00%"</t>
  </si>
  <si>
    <t>06/07/2010,"61,183","61,675","62,119","61,099","1.63M","-0.80%"</t>
  </si>
  <si>
    <t>06/04/2010,"61,676","62,940","62,940","61,422","1.69M","-2.01%"</t>
  </si>
  <si>
    <t>06/02/2010,"62,943","61,836","63,198","61,814","1.88M","1.78%"</t>
  </si>
  <si>
    <t>06/01/2010,"61,841","63,033","63,033","61,605","2.25M","-1.91%"</t>
  </si>
  <si>
    <t>05/31/2010,"63,047","61,950","63,047","61,950","1.20M","1.78%"</t>
  </si>
  <si>
    <t>05/28/2010,"61,947","62,080","62,247","61,305","2.08M","-0.23%"</t>
  </si>
  <si>
    <t>05/27/2010,"62,092","60,191","62,262","60,189","2.39M","3.16%"</t>
  </si>
  <si>
    <t>05/26/2010,"60,190","59,182","60,701","59,179","3.64M","1.70%"</t>
  </si>
  <si>
    <t>05/25/2010,"59,184","59,912","59,912","57,876","2.48M","-1.22%"</t>
  </si>
  <si>
    <t>05/24/2010,"59,915","60,255","60,850","59,815","1.79M","-0.57%"</t>
  </si>
  <si>
    <t>05/21/2010,"60,259","58,192","60,303","57,997","2.56M","3.55%"</t>
  </si>
  <si>
    <t>05/20/2010,"58,192","59,684","59,684","57,634","3.37M","-2.51%"</t>
  </si>
  <si>
    <t>05/19/2010,"59,689","60,841","60,850","59,068","3.20M","-1.89%"</t>
  </si>
  <si>
    <t>05/18/2010,"60,841","62,871","63,529","60,810","2.79M","-3.22%"</t>
  </si>
  <si>
    <t>05/17/2010,"62,866","63,406","63,593","61,825","2.75M","-0.86%"</t>
  </si>
  <si>
    <t>05/14/2010,"63,412","64,787","64,787","63,050","2.22M","-2.12%"</t>
  </si>
  <si>
    <t>05/13/2010,"64,788","65,223","65,427","64,738","1.80M","-0.67%"</t>
  </si>
  <si>
    <t>05/12/2010,"65,224","64,438","65,351","64,438","1.98M","1.24%"</t>
  </si>
  <si>
    <t>05/11/2010,"64,425","65,449","65,733","64,425","2.40M","-1.57%"</t>
  </si>
  <si>
    <t>05/10/2010,"65,453","62,872","66,083","62,872","2.38M","4.11%"</t>
  </si>
  <si>
    <t>05/07/2010,"62,871","63,416","63,945","61,663","2.90M","-0.86%"</t>
  </si>
  <si>
    <t>05/06/2010,"63,414","64,915","65,533","60,774","3.21M","-2.31%"</t>
  </si>
  <si>
    <t>05/05/2010,"64,914","64,859","65,612","63,533","2.68M","0.07%"</t>
  </si>
  <si>
    <t>05/04/2010,"64,869","67,116","67,116","64,588","2.82M","-3.35%"</t>
  </si>
  <si>
    <t>05/03/2010,"67,119","67,534","67,969","66,723","1.78M","-0.61%"</t>
  </si>
  <si>
    <t>04/30/2010,"67,530","67,975","67,975","67,243","2.12M","-0.66%"</t>
  </si>
  <si>
    <t>04/29/2010,"67,978","66,661","68,012","66,661","1.61M","1.98%"</t>
  </si>
  <si>
    <t>04/28/2010,"66,656","66,513","67,253","65,914","1.86M","0.22%"</t>
  </si>
  <si>
    <t>04/27/2010,"66,511","68,868","68,868","66,499","2.06M","-3.43%"</t>
  </si>
  <si>
    <t>04/26/2010,"68,872","69,509","69,810","68,813","1.18M","-0.92%"</t>
  </si>
  <si>
    <t>04/23/2010,"69,509","69,388","69,709","68,832","1.37M","0.18%"</t>
  </si>
  <si>
    <t>04/22/2010,"69,386","69,313","69,528","68,081","1.79M","0.10%"</t>
  </si>
  <si>
    <t>04/20/2010,"69,318","69,101","69,702","69,101","1.75M","0.32%"</t>
  </si>
  <si>
    <t>04/19/2010,"69,098","69,418","69,431","68,378","1.72M","-0.47%"</t>
  </si>
  <si>
    <t>04/16/2010,"69,421","70,522","70,522","69,013","2.04M","-1.56%"</t>
  </si>
  <si>
    <t>04/15/2010,"70,524","71,036","71,066","70,429","2.26M","-0.72%"</t>
  </si>
  <si>
    <t>04/14/2010,"71,035","70,794","71,207","70,628","1.76M","0.34%"</t>
  </si>
  <si>
    <t>04/13/2010,"70,792","70,618","71,053","70,169","1.63M","0.25%"</t>
  </si>
  <si>
    <t>04/12/2010,"70,614","71,414","71,607","70,505","1.47M","-1.12%"</t>
  </si>
  <si>
    <t>04/09/2010,"71,417","71,783","71,989","71,307","1.68M","-0.51%"</t>
  </si>
  <si>
    <t>04/08/2010,"71,785","70,793","71,805","70,462","1.70M","1.40%"</t>
  </si>
  <si>
    <t>04/07/2010,"70,793","71,092","71,257","70,531","1.72M","-0.43%"</t>
  </si>
  <si>
    <t>04/06/2010,"71,096","71,290","71,711","70,823","1.70M","-0.27%"</t>
  </si>
  <si>
    <t>04/05/2010,"71,290","71,148","71,645","71,148","1.32M","0.22%"</t>
  </si>
  <si>
    <t>04/01/2010,"71,136","70,375","71,401","70,373","1.55M","1.09%"</t>
  </si>
  <si>
    <t>03/31/2010,"70,372","69,960","70,392","69,573","1.68M","0.59%"</t>
  </si>
  <si>
    <t>03/30/2010,"69,960","69,942","70,451","69,750","1.49M","0.03%"</t>
  </si>
  <si>
    <t>03/29/2010,"69,939","68,681","69,943","68,681","1.53M","1.83%"</t>
  </si>
  <si>
    <t>03/26/2010,"68,683","68,442","68,910","68,024","1.77M","0.35%"</t>
  </si>
  <si>
    <t>03/25/2010,"68,442","68,916","69,572","68,377","1.48M","-0.68%"</t>
  </si>
  <si>
    <t>03/24/2010,"68,913","69,382","69,677","68,744","1.60M","-0.68%"</t>
  </si>
  <si>
    <t>03/23/2010,"69,387","69,049","69,613","68,913","1.61M","0.50%"</t>
  </si>
  <si>
    <t>03/22/2010,"69,042","68,814","69,121","67,899","1.40M","0.31%"</t>
  </si>
  <si>
    <t>03/19/2010,"68,829","69,701","69,998","68,773","1.96M","-1.25%"</t>
  </si>
  <si>
    <t>03/18/2010,"69,697","69,726","70,128","68,972","1.66M","-0.04%"</t>
  </si>
  <si>
    <t>03/17/2010,"69,723","69,945","70,424","69,376","1.37M","-0.31%"</t>
  </si>
  <si>
    <t>03/16/2010,"69,942","69,023","69,949","69,022","1.30M","1.33%"</t>
  </si>
  <si>
    <t>03/15/2010,"69,024","69,340","69,384","68,623","1.45M","-0.46%"</t>
  </si>
  <si>
    <t>03/12/2010,"69,341","69,901","70,486","69,341","1.57M","-0.78%"</t>
  </si>
  <si>
    <t>03/11/2010,"69,885","69,981","70,183","69,411","1.63M","-0.13%"</t>
  </si>
  <si>
    <t>03/10/2010,"69,979","69,578","70,476","69,578","1.91M","0.58%"</t>
  </si>
  <si>
    <t>03/09/2010,"69,576","68,573","70,144","68,255","2.46M","1.46%"</t>
  </si>
  <si>
    <t>03/08/2010,"68,575","68,851","69,070","68,318","1.43M","-0.39%"</t>
  </si>
  <si>
    <t>03/05/2010,"68,846","67,823","68,930","67,823","1.95M","1.52%"</t>
  </si>
  <si>
    <t>03/04/2010,"67,815","67,643","68,198","66,924","1.40M","0.26%"</t>
  </si>
  <si>
    <t>03/03/2010,"67,641","67,780","68,813","67,482","2.11M","-0.20%"</t>
  </si>
  <si>
    <t>03/02/2010,"67,779","67,228","68,250","67,228","1.71M","0.82%"</t>
  </si>
  <si>
    <t>03/01/2010,"67,228","66,511","67,397","66,511","1.36M","1.09%"</t>
  </si>
  <si>
    <t>02/26/2010,"66,503","66,118","66,510","65,607","1.73M","0.58%"</t>
  </si>
  <si>
    <t>02/25/2010,"66,121","65,765","66,325","64,429","1.79M","0.50%"</t>
  </si>
  <si>
    <t>02/24/2010,"65,795","66,110","66,514","65,534","1.57M","-0.47%"</t>
  </si>
  <si>
    <t>02/23/2010,"66,108","67,179","67,179","65,660","1.64M","-1.60%"</t>
  </si>
  <si>
    <t>02/22/2010,"67,184","67,598","68,120","67,035","1.40M","-0.61%"</t>
  </si>
  <si>
    <t>02/19/2010,"67,597","67,811","67,935","67,210","1.25M","-0.35%"</t>
  </si>
  <si>
    <t>02/18/2010,"67,836","67,285","67,836","66,550","1.29M","0.82%"</t>
  </si>
  <si>
    <t>02/17/2010,"67,285","65,863","67,542","65,863","1.04M","2.17%"</t>
  </si>
  <si>
    <t>02/12/2010,"65,855","66,129","66,133","65,123","873.28K","-0.41%"</t>
  </si>
  <si>
    <t>02/11/2010,"66,129","65,050","66,145","64,344","1.26M","1.66%"</t>
  </si>
  <si>
    <t>02/10/2010,"65,051","64,721","65,170","64,320","891.04K","0.51%"</t>
  </si>
  <si>
    <t>02/09/2010,"64,718","63,164","65,526","63,164","1.36M","2.48%"</t>
  </si>
  <si>
    <t>02/08/2010,"63,153","62,760","63,923","62,728","1.88M","0.62%"</t>
  </si>
  <si>
    <t>02/05/2010,"62,763","63,934","64,001","61,341","3.05M","-1.83%"</t>
  </si>
  <si>
    <t>02/04/2010,"63,934","67,100","67,100","63,750","2.26M","-4.73%"</t>
  </si>
  <si>
    <t>02/03/2010,"67,109","67,163","67,347","66,774","1.76M","-0.08%"</t>
  </si>
  <si>
    <t>02/02/2010,"67,163","66,589","67,321","66,539","1.59M","0.89%"</t>
  </si>
  <si>
    <t>02/01/2010,"66,572","65,402","66,763","65,362","1.49M","1.79%"</t>
  </si>
  <si>
    <t>01/29/2010,"65,402","65,591","66,576","65,140","1.82M","-0.28%"</t>
  </si>
  <si>
    <t>01/28/2010,"65,588","65,071","66,049","64,541","1.65M","0.80%"</t>
  </si>
  <si>
    <t>01/27/2010,"65,070","65,527","65,663","64,553","1.81M","-0.69%"</t>
  </si>
  <si>
    <t>01/26/2010,"65,524","66,213","66,213","64,719","1.99M","-1.05%"</t>
  </si>
  <si>
    <t>01/22/2010,"66,220","66,264","66,660","65,445","1.30M","-0.08%"</t>
  </si>
  <si>
    <t>01/21/2010,"66,270","68,200","68,458","65,996","2.26M","-2.83%"</t>
  </si>
  <si>
    <t>01/20/2010,"68,200","69,901","69,901","67,546","1.99M","-2.44%"</t>
  </si>
  <si>
    <t>01/19/2010,"69,909","69,396","70,036","68,867","1.32M","0.73%"</t>
  </si>
  <si>
    <t>01/18/2010,"69,401","68,983","69,748","68,983","1.14M","0.61%"</t>
  </si>
  <si>
    <t>01/15/2010,"68,978","69,780","69,788","68,695","1.65M","-1.18%"</t>
  </si>
  <si>
    <t>01/14/2010,"69,801","70,377","70,508","69,661","1.83M","-0.83%"</t>
  </si>
  <si>
    <t>01/13/2010,"70,385","70,081","70,626","69,535","1.82M","0.44%"</t>
  </si>
  <si>
    <t>01/12/2010,"70,076","70,429","70,429","69,284","1.63M","-0.51%"</t>
  </si>
  <si>
    <t>01/11/2010,"70,433","70,267","71,068","70,158","1.57M","0.24%"</t>
  </si>
  <si>
    <t>01/08/2010,"70,263","70,455","70,766","70,158","1.63M","-0.27%"</t>
  </si>
  <si>
    <t>01/07/2010,"70,451","70,723","70,723","70,045","1.55M","-0.39%"</t>
  </si>
  <si>
    <t>01/06/2010,"70,729","70,236","70,937","70,016","2.24M","0.70%"</t>
  </si>
  <si>
    <t>01/05/2010,"70,240","70,046","70,595","69,928","1.98M","0.28%"</t>
  </si>
  <si>
    <t>01/04/2010,"70,045","68,587","70,081","68,587","1.66M","2.12%"</t>
  </si>
  <si>
    <t>12/30/2009,"68,588","68,277","68,588","67,749","1.18M","0.43%"</t>
  </si>
  <si>
    <t>12/29/2009,"68,296","67,902","68,309","67,902","669.25K","0.58%"</t>
  </si>
  <si>
    <t>12/28/2009,"67,902","67,591","68,277","67,591","556.35K","0.46%"</t>
  </si>
  <si>
    <t>12/23/2009,"67,589","67,418","67,810","66,943","904.33K","0.25%"</t>
  </si>
  <si>
    <t>12/22/2009,"67,418","65,940","67,421","65,940","1.27M","2.26%"</t>
  </si>
  <si>
    <t>12/21/2009,"65,925","66,806","67,671","65,925","1.41M","-1.30%"</t>
  </si>
  <si>
    <t>12/18/2009,"66,794","67,068","67,281","66,322","1.08M","-0.41%"</t>
  </si>
  <si>
    <t>12/17/2009,"67,068","68,619","68,619","66,792","1.34M","-2.26%"</t>
  </si>
  <si>
    <t>12/16/2009,"68,622","69,310","69,622","68,466","1.71M","-0.99%"</t>
  </si>
  <si>
    <t>12/15/2009,"69,311","69,345","69,515","68,822","1.28M","-0.05%"</t>
  </si>
  <si>
    <t>12/14/2009,"69,349","69,273","69,785","69,193","1.29M","0.12%"</t>
  </si>
  <si>
    <t>12/11/2009,"69,267","68,750","69,502","68,750","1.49M","0.78%"</t>
  </si>
  <si>
    <t>12/10/2009,"68,728","68,021","68,912","68,021","1.47M","1.05%"</t>
  </si>
  <si>
    <t>12/09/2009,"68,012","67,736","68,272","67,484","1.14M","0.42%"</t>
  </si>
  <si>
    <t>12/08/2009,"67,729","68,511","68,511","67,470","1.55M","-1.14%"</t>
  </si>
  <si>
    <t>12/07/2009,"68,512","67,611","68,866","67,611","1.19M","1.34%"</t>
  </si>
  <si>
    <t>12/04/2009,"67,604","68,316","69,361","67,328","1.41M","-1.04%"</t>
  </si>
  <si>
    <t>12/03/2009,"68,315","68,622","69,336","68,308","1.22M","-0.44%"</t>
  </si>
  <si>
    <t>12/02/2009,"68,615","68,412","69,139","68,412","1.36M","0.30%"</t>
  </si>
  <si>
    <t>12/01/2009,"68,408","67,051","68,757","67,051","2.33M","2.03%"</t>
  </si>
  <si>
    <t>11/30/2009,"67,044","67,082","67,545","66,876","2.22M","-0.06%"</t>
  </si>
  <si>
    <t>11/27/2009,"67,082","66,371","67,086","65,737","1.17M","1.04%"</t>
  </si>
  <si>
    <t>11/26/2009,"66,392","67,911","67,911","66,236","825.67K","-2.25%"</t>
  </si>
  <si>
    <t>11/25/2009,"67,917","67,319","67,997","67,241","1.39M","0.89%"</t>
  </si>
  <si>
    <t>11/24/2009,"67,317","66,812","67,317","65,969","1.35M","0.76%"</t>
  </si>
  <si>
    <t>11/23/2009,"66,809","66,335","67,365","66,335","1.58M","0.73%"</t>
  </si>
  <si>
    <t>11/19/2009,"66,327","66,514","66,564","65,547","1.47M","-0.28%"</t>
  </si>
  <si>
    <t>11/18/2009,"66,516","67,430","68,060","66,494","1.59M","-1.32%"</t>
  </si>
  <si>
    <t>11/17/2009,"67,406","66,632","67,409","66,232","1.73M","1.17%"</t>
  </si>
  <si>
    <t>11/16/2009,"66,627","65,326","66,896","65,326","1.76M","1.99%"</t>
  </si>
  <si>
    <t>11/13/2009,"65,326","64,452","65,788","64,229","1.86M","1.36%"</t>
  </si>
  <si>
    <t>11/12/2009,"64,448","66,427","66,614","64,319","1.91M","-2.99%"</t>
  </si>
  <si>
    <t>11/11/2009,"66,431","66,303","67,170","66,028","1.81M","0.19%"</t>
  </si>
  <si>
    <t>11/10/2009,"66,303","66,214","66,709","65,706","1.65M","0.13%"</t>
  </si>
  <si>
    <t>11/09/2009,"66,214","64,475","66,236","64,475","1.60M","2.71%"</t>
  </si>
  <si>
    <t>11/06/2009,"64,466","64,820","65,094","63,587","1.66M","-0.54%"</t>
  </si>
  <si>
    <t>11/05/2009,"64,816","63,907","64,830","63,700","1.58M","1.41%"</t>
  </si>
  <si>
    <t>11/04/2009,"63,913","62,650","64,142","62,650","1.89M","2.03%"</t>
  </si>
  <si>
    <t>11/03/2009,"62,643","61,539","63,237","60,724","1.90M","1.78%"</t>
  </si>
  <si>
    <t>10/30/2009,"61,546","63,721","64,226","60,913","2.00M","-3.41%"</t>
  </si>
  <si>
    <t>10/29/2009,"63,721","60,167","63,907","60,167","1.75M","5.92%"</t>
  </si>
  <si>
    <t>10/28/2009,"60,162","63,161","63,173","60,146","2.24M","-4.75%"</t>
  </si>
  <si>
    <t>10/27/2009,"63,161","65,090","65,498","63,161","1.50M","-2.96%"</t>
  </si>
  <si>
    <t>10/26/2009,"65,086","65,056","65,901","64,501","1.38M","0.04%"</t>
  </si>
  <si>
    <t>10/23/2009,"65,059","66,144","66,982","64,988","1.39M","-1.63%"</t>
  </si>
  <si>
    <t>10/22/2009,"66,135","65,490","66,502","65,454","1.27M","0.99%"</t>
  </si>
  <si>
    <t>10/21/2009,"65,486","65,302","67,157","65,221","1.79M","0.28%"</t>
  </si>
  <si>
    <t>10/20/2009,"65,303","67,231","67,231","64,076","2.65M","-2.88%"</t>
  </si>
  <si>
    <t>10/19/2009,"67,239","66,200","67,530","66,194","1.40M","1.57%"</t>
  </si>
  <si>
    <t>10/16/2009,"66,200","66,703","66,703","65,499","1.48M","-0.75%"</t>
  </si>
  <si>
    <t>10/15/2009,"66,703","66,199","66,703","65,837","1.33M","0.76%"</t>
  </si>
  <si>
    <t>10/14/2009,"66,201","64,653","66,393","64,653","2.10M","2.41%"</t>
  </si>
  <si>
    <t>10/13/2009,"64,646","64,075","64,646","63,967","1.19M","0.90%"</t>
  </si>
  <si>
    <t>10/09/2009,"64,071","63,772","64,177","63,493","1.15M","0.49%"</t>
  </si>
  <si>
    <t>10/08/2009,"63,760","62,640","63,816","62,640","1.77M","1.79%"</t>
  </si>
  <si>
    <t>10/07/2009,"62,638","62,666","63,015","62,104","1.41M","-0.05%"</t>
  </si>
  <si>
    <t>10/06/2009,"62,671","62,378","63,291","62,002","1.67M","0.48%"</t>
  </si>
  <si>
    <t>10/05/2009,"62,369","61,178","62,460","61,178","1.34M","1.96%"</t>
  </si>
  <si>
    <t>10/02/2009,"61,172","60,453","61,333","59,678","1.74M","1.18%"</t>
  </si>
  <si>
    <t>10/01/2009,"60,459","61,519","61,519","60,306","1.40M","-1.72%"</t>
  </si>
  <si>
    <t>09/30/2009,"61,518","61,241","61,926","60,978","1.54M","0.46%"</t>
  </si>
  <si>
    <t>09/29/2009,"61,235","61,316","61,599","60,750","1.18M","-0.13%"</t>
  </si>
  <si>
    <t>09/28/2009,"61,317","60,357","61,317","60,357","955.74K","1.59%"</t>
  </si>
  <si>
    <t>09/25/2009,"60,356","60,045","60,472","59,755","989.79K","0.52%"</t>
  </si>
  <si>
    <t>09/24/2009,"60,046","60,496","60,978","59,600","1.31M","-0.74%"</t>
  </si>
  <si>
    <t>09/23/2009,"60,496","61,489","61,630","60,478","1.52M","-1.62%"</t>
  </si>
  <si>
    <t>09/22/2009,"61,493","60,938","62,017","60,938","1.59M","0.93%"</t>
  </si>
  <si>
    <t>09/21/2009,"60,928","60,703","61,066","60,014","1.36M","0.37%"</t>
  </si>
  <si>
    <t>09/18/2009,"60,703","60,236","60,710","60,158","1.29M","0.78%"</t>
  </si>
  <si>
    <t>09/17/2009,"60,236","60,409","61,027","60,116","1.59M","-0.29%"</t>
  </si>
  <si>
    <t>09/16/2009,"60,411","59,265","60,526","59,265","1.81M","1.94%"</t>
  </si>
  <si>
    <t>09/15/2009,"59,264","58,868","59,401","58,691","1.13M","0.67%"</t>
  </si>
  <si>
    <t>09/14/2009,"58,868","58,363","58,868","57,753","990.51K","0.86%"</t>
  </si>
  <si>
    <t>09/11/2009,"58,366","58,537","58,834","58,145","1.12M","-0.29%"</t>
  </si>
  <si>
    <t>09/10/2009,"58,536","57,908","58,538","57,615","1.40M","1.08%"</t>
  </si>
  <si>
    <t>09/09/2009,"57,910","57,844","58,089","57,534","1.36M","0.10%"</t>
  </si>
  <si>
    <t>09/08/2009,"57,855","56,655","57,855","56,655","1.37M","2.12%"</t>
  </si>
  <si>
    <t>09/04/2009,"56,652","55,707","56,729","55,656","1.20M","1.70%"</t>
  </si>
  <si>
    <t>09/03/2009,"55,707","55,389","55,888","55,339","1.27M","0.58%"</t>
  </si>
  <si>
    <t>09/02/2009,"55,386","55,813","55,948","55,386","1.64M","-0.77%"</t>
  </si>
  <si>
    <t>09/01/2009,"55,815","56,489","57,002","55,764","1.44M","-1.19%"</t>
  </si>
  <si>
    <t>08/31/2009,"56,489","57,698","57,698","56,170","1.50M","-2.10%"</t>
  </si>
  <si>
    <t>08/28/2009,"57,701","57,704","58,136","57,344","1.18M","-0.01%"</t>
  </si>
  <si>
    <t>08/27/2009,"57,704","57,769","57,878","56,845","1.35M","-0.11%"</t>
  </si>
  <si>
    <t>08/26/2009,"57,766","57,425","57,791","57,106","1.24M","0.60%"</t>
  </si>
  <si>
    <t>08/25/2009,"57,421","57,778","58,311","57,401","1.25M","-0.61%"</t>
  </si>
  <si>
    <t>08/24/2009,"57,775","57,731","58,634","57,698","1.43M","0.08%"</t>
  </si>
  <si>
    <t>08/21/2009,"57,729","56,836","57,782","56,836","1.24M","1.58%"</t>
  </si>
  <si>
    <t>08/20/2009,"56,831","56,173","56,897","56,143","1.07M","1.20%"</t>
  </si>
  <si>
    <t>08/19/2009,"56,156","55,748","56,212","54,918","1.28M","0.73%"</t>
  </si>
  <si>
    <t>08/18/2009,"55,749","55,219","55,891","55,216","1.13M","0.96%"</t>
  </si>
  <si>
    <t>08/17/2009,"55,218","56,636","56,636","54,881","1.40M","-2.51%"</t>
  </si>
  <si>
    <t>08/14/2009,"56,638","57,048","57,190","55,979","1.50M","-0.72%"</t>
  </si>
  <si>
    <t>08/13/2009,"57,048","56,588","57,367","56,533","1.51M","0.81%"</t>
  </si>
  <si>
    <t>08/12/2009,"56,588","55,761","56,696","55,714","1.66M","1.48%"</t>
  </si>
  <si>
    <t>08/11/2009,"55,761","56,816","56,816","55,568","1.41M","-1.88%"</t>
  </si>
  <si>
    <t>08/10/2009,"56,830","56,329","56,830","56,151","1.19M","0.89%"</t>
  </si>
  <si>
    <t>08/07/2009,"56,330","55,758","56,644","55,758","1.26M","1.03%"</t>
  </si>
  <si>
    <t>08/06/2009,"55,755","56,385","56,780","55,361","1.33M","-1.12%"</t>
  </si>
  <si>
    <t>08/05/2009,"56,384","56,041","56,586","55,407","1.24M","0.62%"</t>
  </si>
  <si>
    <t>08/04/2009,"56,038","55,998","56,656","55,727","1.51M","0.07%"</t>
  </si>
  <si>
    <t>08/03/2009,"55,998","54,766","56,200","54,766","1.26M","2.25%"</t>
  </si>
  <si>
    <t>07/31/2009,"54,766","54,474","54,980","54,206","1.23M","0.53%"</t>
  </si>
  <si>
    <t>07/30/2009,"54,478","53,735","55,083","53,735","1.25M","1.38%"</t>
  </si>
  <si>
    <t>07/29/2009,"53,735","54,470","54,470","53,256","1.23M","-1.35%"</t>
  </si>
  <si>
    <t>07/28/2009,"54,472","54,547","54,547","53,779","1.30M","-0.14%"</t>
  </si>
  <si>
    <t>07/27/2009,"54,549","54,458","54,886","53,943","1.11M","0.17%"</t>
  </si>
  <si>
    <t>07/24/2009,"54,457","54,249","54,600","54,037","1.13M","0.38%"</t>
  </si>
  <si>
    <t>07/23/2009,"54,249","53,074","54,629","53,065","2.06M","2.22%"</t>
  </si>
  <si>
    <t>07/22/2009,"53,073","53,232","53,664","52,543","1.36M","-0.30%"</t>
  </si>
  <si>
    <t>07/21/2009,"53,234","53,155","53,716","52,520","1.40M","0.15%"</t>
  </si>
  <si>
    <t>07/20/2009,"53,155","52,073","53,262","52,073","1.50M","2.08%"</t>
  </si>
  <si>
    <t>07/17/2009,"52,072","51,918","52,352","51,736","1.23M","0.30%"</t>
  </si>
  <si>
    <t>07/16/2009,"51,918","51,292","52,338","50,703","1.55M","1.21%"</t>
  </si>
  <si>
    <t>07/15/2009,"51,297","48,876","51,488","48,876","1.89M","4.96%"</t>
  </si>
  <si>
    <t>07/14/2009,"48,873","49,186","49,647","48,573","1.43M","-0.64%"</t>
  </si>
  <si>
    <t>07/13/2009,"49,187","49,221","49,644","48,262","1.33M","-0.07%"</t>
  </si>
  <si>
    <t>07/10/2009,"49,221","49,175","49,326","48,714","1.04M","0.09%"</t>
  </si>
  <si>
    <t>07/08/2009,"49,178","49,460","49,846","48,456","1.55M","-0.56%"</t>
  </si>
  <si>
    <t>07/07/2009,"49,457","50,619","50,621","49,400","1.64M","-2.30%"</t>
  </si>
  <si>
    <t>07/06/2009,"50,622","50,932","50,932","49,691","1.38M","-0.61%"</t>
  </si>
  <si>
    <t>07/03/2009,"50,935","51,026","51,167","50,915","487.81K","-0.18%"</t>
  </si>
  <si>
    <t>07/02/2009,"51,025","51,538","51,538","50,608","1.01M","-1.01%"</t>
  </si>
  <si>
    <t>07/01/2009,"51,544","51,464","52,383","51,464","1.37M","0.15%"</t>
  </si>
  <si>
    <t>06/30/2009,"51,465","52,143","52,435","51,102","1.32M","-1.29%"</t>
  </si>
  <si>
    <t>06/29/2009,"52,138","51,488","52,275","51,488","1.05M","1.27%"</t>
  </si>
  <si>
    <t>06/26/2009,"51,486","51,516","51,935","51,341","1.22M","-0.06%"</t>
  </si>
  <si>
    <t>06/25/2009,"51,515","49,668","51,515","49,327","1.59M","3.71%"</t>
  </si>
  <si>
    <t>06/24/2009,"49,672","49,819","50,758","49,520","1.37M","-0.29%"</t>
  </si>
  <si>
    <t>06/23/2009,"49,814","49,496","49,902","49,130","1.40M","0.64%"</t>
  </si>
  <si>
    <t>06/22/2009,"49,495","51,367","51,367","49,411","1.60M","-3.66%"</t>
  </si>
  <si>
    <t>06/19/2009,"51,374","50,908","51,665","50,908","1.23M","0.93%"</t>
  </si>
  <si>
    <t>06/18/2009,"50,903","51,050","51,275","50,510","1.16M","-0.28%"</t>
  </si>
  <si>
    <t>06/17/2009,"51,046","51,197","51,197","50,265","1.64M","-0.31%"</t>
  </si>
  <si>
    <t>06/16/2009,"51,206","52,035","52,494","51,166","1.33M","-1.59%"</t>
  </si>
  <si>
    <t>06/15/2009,"52,034","53,558","53,558","51,252","1.66M","-2.85%"</t>
  </si>
  <si>
    <t>06/12/2009,"53,558","53,411","53,936","53,143","1.42M","0.28%"</t>
  </si>
  <si>
    <t>06/10/2009,"53,411","53,159","54,048","52,819","1.44M","0.48%"</t>
  </si>
  <si>
    <t>06/09/2009,"53,157","53,633","54,102","52,845","1.23M","-0.88%"</t>
  </si>
  <si>
    <t>06/08/2009,"53,630","53,340","53,905","52,483","1.18M","0.54%"</t>
  </si>
  <si>
    <t>06/05/2009,"53,341","53,474","54,627","53,050","1.44M","-0.23%"</t>
  </si>
  <si>
    <t>06/04/2009,"53,464","52,094","53,464","51,745","1.40M","2.64%"</t>
  </si>
  <si>
    <t>06/03/2009,"52,087","53,999","54,001","51,643","2.04M","-3.54%"</t>
  </si>
  <si>
    <t>06/02/2009,"54,000","54,486","54,955","53,850","1.92M","-0.89%"</t>
  </si>
  <si>
    <t>06/01/2009,"54,486","53,202","54,857","53,202","1.80M","2.42%"</t>
  </si>
  <si>
    <t>05/29/2009,"53,198","53,047","53,806","52,432","2.84M","0.30%"</t>
  </si>
  <si>
    <t>05/28/2009,"53,041","51,795","53,041","51,795","1.52M","2.41%"</t>
  </si>
  <si>
    <t>05/27/2009,"51,792","51,840","53,092","51,637","1.73M","-0.09%"</t>
  </si>
  <si>
    <t>05/26/2009,"51,841","50,817","51,934","50,074","1.46M","2.02%"</t>
  </si>
  <si>
    <t>05/25/2009,"50,816","50,558","50,969","50,558","490.96K","0.49%"</t>
  </si>
  <si>
    <t>05/22/2009,"50,568","50,089","50,893","49,989","1.31M","0.96%"</t>
  </si>
  <si>
    <t>05/21/2009,"50,087","51,244","51,244","49,565","1.68M","-2.26%"</t>
  </si>
  <si>
    <t>05/20/2009,"51,245","51,349","52,640","51,143","2.06M","-0.20%"</t>
  </si>
  <si>
    <t>05/19/2009,"51,347","51,465","52,145","50,987","2.00M","-0.23%"</t>
  </si>
  <si>
    <t>05/18/2009,"51,463","49,012","51,490","49,012","1.73M","5.01%"</t>
  </si>
  <si>
    <t>05/15/2009,"49,007","49,447","49,552","48,796","1.51M","-0.89%"</t>
  </si>
  <si>
    <t>05/14/2009,"49,446","48,671","49,461","48,284","1.42M","1.58%"</t>
  </si>
  <si>
    <t>05/13/2009,"48,679","50,317","50,317","48,430","1.71M","-3.27%"</t>
  </si>
  <si>
    <t>05/12/2009,"50,326","50,980","51,565","49,808","1.85M","-1.28%"</t>
  </si>
  <si>
    <t>05/11/2009,"50,976","51,389","51,389","50,060","1.29M","-0.82%"</t>
  </si>
  <si>
    <t>05/08/2009,"51,396","50,066","51,396","50,051","1.69M","2.67%"</t>
  </si>
  <si>
    <t>05/07/2009,"50,058","51,499","52,079","49,743","2.03M","-2.80%"</t>
  </si>
  <si>
    <t>05/06/2009,"51,499","50,675","52,096","50,672","2.47M","1.64%"</t>
  </si>
  <si>
    <t>05/05/2009,"50,670","50,404","50,909","50,013","1.95M","0.53%"</t>
  </si>
  <si>
    <t>05/04/2009,"50,405","47,290","50,405","47,290","2.50M","6.59%"</t>
  </si>
  <si>
    <t>04/30/2009,"47,290","47,235","48,126","47,235","2.14M","0.13%"</t>
  </si>
  <si>
    <t>04/29/2009,"47,227","45,825","47,410","45,825","2.05M","3.07%"</t>
  </si>
  <si>
    <t>04/28/2009,"45,821","45,819","46,138","44,966","1.79M","0.00%"</t>
  </si>
  <si>
    <t>04/27/2009,"45,820","46,772","46,772","45,662","1.69M","-2.04%"</t>
  </si>
  <si>
    <t>04/24/2009,"46,772","45,801","46,946","45,801","1.53M","2.12%"</t>
  </si>
  <si>
    <t>04/23/2009,"45,801","44,888","45,804","44,888","1.24M","2.03%"</t>
  </si>
  <si>
    <t>04/22/2009,"44,888","44,434","45,369","44,434","1.36M","1.02%"</t>
  </si>
  <si>
    <t>04/20/2009,"44,433","45,778","45,778","44,275","1.27M","-2.94%"</t>
  </si>
  <si>
    <t>04/17/2009,"45,778","46,018","46,187","45,723","1.47M","-0.54%"</t>
  </si>
  <si>
    <t>04/16/2009,"46,025","45,277","46,211","45,277","1.77M","1.66%"</t>
  </si>
  <si>
    <t>04/15/2009,"45,273","45,420","45,453","44,811","1.76M","-0.32%"</t>
  </si>
  <si>
    <t>04/14/2009,"45,418","45,989","46,591","45,284","2.13M","-1.25%"</t>
  </si>
  <si>
    <t>04/13/2009,"45,992","45,536","46,179","45,226","1.55M","0.99%"</t>
  </si>
  <si>
    <t>04/09/2009,"45,539","44,183","45,702","44,183","1.92M","3.07%"</t>
  </si>
  <si>
    <t>04/08/2009,"44,182","43,828","44,390","43,706","1.78M","0.81%"</t>
  </si>
  <si>
    <t>04/07/2009,"43,825","44,163","44,471","43,593","1.71M","-0.77%"</t>
  </si>
  <si>
    <t>04/06/2009,"44,167","44,385","44,385","43,429","1.47M","-0.50%"</t>
  </si>
  <si>
    <t>04/03/2009,"44,391","43,738","44,610","43,520","1.88M","1.50%"</t>
  </si>
  <si>
    <t>04/02/2009,"43,736","41,977","44,286","41,977","2.36M","4.19%"</t>
  </si>
  <si>
    <t>04/01/2009,"41,976","40,918","42,005","40,256","1.67M","2.57%"</t>
  </si>
  <si>
    <t>03/31/2009,"40,926","40,661","41,610","40,661","1.59M","0.67%"</t>
  </si>
  <si>
    <t>03/30/2009,"40,653","41,909","41,909","40,351","1.51M","-2.99%"</t>
  </si>
  <si>
    <t>03/27/2009,"41,907","42,589","42,589","41,586","1.34M","-1.60%"</t>
  </si>
  <si>
    <t>03/26/2009,"42,589","41,801","42,680","41,801","1.64M","1.89%"</t>
  </si>
  <si>
    <t>03/25/2009,"41,799","41,478","42,623","41,114","1.96M","0.78%"</t>
  </si>
  <si>
    <t>03/24/2009,"41,476","42,439","42,439","41,476","1.83M","-2.27%"</t>
  </si>
  <si>
    <t>03/23/2009,"42,439","40,077","42,509","40,077","1.88M","5.90%"</t>
  </si>
  <si>
    <t>03/20/2009,"40,076","40,453","41,053","40,076","1.39M","-0.93%"</t>
  </si>
  <si>
    <t>03/19/2009,"40,453","40,146","41,137","40,146","1.90M","0.77%"</t>
  </si>
  <si>
    <t>03/18/2009,"40,142","39,508","40,551","38,850","1.73M","1.60%"</t>
  </si>
  <si>
    <t>03/17/2009,"39,511","38,608","39,511","38,080","1.46M","2.34%"</t>
  </si>
  <si>
    <t>03/16/2009,"38,607","39,018","39,713","38,467","1.53M","-1.05%"</t>
  </si>
  <si>
    <t>03/13/2009,"39,015","39,152","39,707","38,580","1.60M","-0.35%"</t>
  </si>
  <si>
    <t>03/12/2009,"39,152","38,806","39,304","38,286","1.63M","0.89%"</t>
  </si>
  <si>
    <t>03/11/2009,"38,805","38,795","39,310","38,238","1.40M","0.03%"</t>
  </si>
  <si>
    <t>03/10/2009,"38,795","36,745","38,804","36,745","1.79M","5.59%"</t>
  </si>
  <si>
    <t>03/09/2009,"36,741","37,103","37,464","36,392","1.07M","-0.98%"</t>
  </si>
  <si>
    <t>03/06/2009,"37,105","37,367","38,309","36,476","1.48M","-0.71%"</t>
  </si>
  <si>
    <t>03/05/2009,"37,369","38,391","38,391","36,973","1.35M","-2.69%"</t>
  </si>
  <si>
    <t>03/04/2009,"38,402","36,468","38,554","36,468","1.80M","5.30%"</t>
  </si>
  <si>
    <t>03/03/2009,"36,468","36,236","37,085","35,722","1.73M","0.64%"</t>
  </si>
  <si>
    <t>03/02/2009,"36,235","38,180","38,180","36,196","1.73M","-5.10%"</t>
  </si>
  <si>
    <t>02/27/2009,"38,183","38,178","38,801","37,324","1.65M","0.01%"</t>
  </si>
  <si>
    <t>02/26/2009,"38,180","38,234","39,219","38,180","1.52M","-0.14%"</t>
  </si>
  <si>
    <t>02/25/2009,"38,232","38,712","38,933","37,694","1.22M","-1.25%"</t>
  </si>
  <si>
    <t>02/20/2009,"38,715","39,725","39,725","38,103","1.71M","-2.55%"</t>
  </si>
  <si>
    <t>02/19/2009,"39,730","39,675","40,433","39,630","1.16M","0.14%"</t>
  </si>
  <si>
    <t>02/18/2009,"39,674","39,848","40,434","39,209","1.65M","-0.43%"</t>
  </si>
  <si>
    <t>02/17/2009,"39,847","41,838","41,838","39,817","1.73M","-4.77%"</t>
  </si>
  <si>
    <t>02/16/2009,"41,841","41,672","41,841","41,026","1.09M","0.40%"</t>
  </si>
  <si>
    <t>02/13/2009,"41,674","40,512","41,833","40,512","1.45M","2.90%"</t>
  </si>
  <si>
    <t>02/12/2009,"40,501","40,827","41,082","39,992","1.78M","-0.84%"</t>
  </si>
  <si>
    <t>02/11/2009,"40,846","41,207","42,032","40,286","1.67M","-0.88%"</t>
  </si>
  <si>
    <t>02/10/2009,"41,207","42,101","42,819","40,960","2.28M","-2.12%"</t>
  </si>
  <si>
    <t>02/09/2009,"42,100","42,755","43,441","41,977","1.75M","-1.53%"</t>
  </si>
  <si>
    <t>02/06/2009,"42,756","41,110","42,873","41,110","2.18M","4.01%"</t>
  </si>
  <si>
    <t>02/05/2009,"41,109","40,120","41,373","39,791","1.93M","2.44%"</t>
  </si>
  <si>
    <t>02/04/2009,"40,129","39,746","41,490","39,746","2.41M","0.96%"</t>
  </si>
  <si>
    <t>02/03/2009,"39,747","38,665","39,765","38,655","1.55M","2.80%"</t>
  </si>
  <si>
    <t>02/02/2009,"38,666","39,296","39,364","38,453","1.33M","-1.62%"</t>
  </si>
  <si>
    <t>01/30/2009,"39,301","39,637","40,273","39,185","1.48M","-0.85%"</t>
  </si>
  <si>
    <t>01/29/2009,"39,638","40,229","40,229","39,369","1.33M","-1.46%"</t>
  </si>
  <si>
    <t>01/28/2009,"40,227","38,704","40,438","38,704","2.13M","3.95%"</t>
  </si>
  <si>
    <t>01/27/2009,"38,699","38,511","39,025","38,422","1.42M","0.49%"</t>
  </si>
  <si>
    <t>01/26/2009,"38,509","38,130","39,065","37,831","1.49M","0.99%"</t>
  </si>
  <si>
    <t>01/23/2009,"38,132","37,891","38,660","36,744","1.43M","0.63%"</t>
  </si>
  <si>
    <t>01/22/2009,"37,894","38,543","38,845","37,255","1.74M","-1.68%"</t>
  </si>
  <si>
    <t>01/21/2009,"38,543","37,279","38,543","37,279","1.67M","3.41%"</t>
  </si>
  <si>
    <t>01/20/2009,"37,272","38,828","39,174","37,272","1.42M","-4.01%"</t>
  </si>
  <si>
    <t>01/19/2009,"38,828","39,351","39,570","38,700","791.08K","-1.31%"</t>
  </si>
  <si>
    <t>01/16/2009,"39,342","39,149","39,904","38,578","1.73M","0.49%"</t>
  </si>
  <si>
    <t>01/15/2009,"39,151","37,993","39,197","36,806","2.03M","3.08%"</t>
  </si>
  <si>
    <t>01/14/2009,"37,982","39,537","39,570","37,658","2.20M","-3.95%"</t>
  </si>
  <si>
    <t>01/13/2009,"39,544","39,397","40,323","38,623","1.80M","0.36%"</t>
  </si>
  <si>
    <t>01/12/2009,"39,403","41,585","41,585","39,345","1.55M","-5.24%"</t>
  </si>
  <si>
    <t>01/09/2009,"41,583","41,992","42,525","41,181","1.57M","-0.97%"</t>
  </si>
  <si>
    <t>01/08/2009,"41,991","40,819","41,991","40,251","1.56M","2.87%"</t>
  </si>
  <si>
    <t>01/07/2009,"40,820","42,308","42,308","40,563","1.38M","-3.53%"</t>
  </si>
  <si>
    <t>01/06/2009,"42,312","41,520","42,363","41,520","1.79M","1.91%"</t>
  </si>
  <si>
    <t>01/05/2009,"41,519","40,243","41,889","39,526","1.91M","3.17%"</t>
  </si>
  <si>
    <t>01/02/2009,"40,244","37,550","40,265","37,550","1.06M","7.17%"</t>
  </si>
  <si>
    <t>12/30/2008,"37,550","37,070","37,783","37,065","1.57M","1.32%"</t>
  </si>
  <si>
    <t>12/29/2008,"37,060","36,864","37,631","36,638","984.71K","0.53%"</t>
  </si>
  <si>
    <t>12/26/2008,"36,864","36,470","37,136","36,334","508.53K","1.08%"</t>
  </si>
  <si>
    <t>12/23/2008,"36,471","37,617","38,005","36,452","859.92K","-3.05%"</t>
  </si>
  <si>
    <t>12/22/2008,"37,618","39,140","39,452","37,478","1.28M","-3.87%"</t>
  </si>
  <si>
    <t>12/19/2008,"39,131","39,535","39,785","38,728","1.22M","-1.02%"</t>
  </si>
  <si>
    <t>12/18/2008,"39,536","39,947","40,498","38,995","1.70M","-1.03%"</t>
  </si>
  <si>
    <t>12/17/2008,"39,947","39,993","40,361","39,121","2.28M","-0.12%"</t>
  </si>
  <si>
    <t>12/16/2008,"39,993","38,324","39,993","38,324","1.61M","4.37%"</t>
  </si>
  <si>
    <t>12/15/2008,"38,320","39,368","39,735","38,320","1.63M","-2.68%"</t>
  </si>
  <si>
    <t>12/12/2008,"39,374","38,517","39,374","37,014","1.69M","2.22%"</t>
  </si>
  <si>
    <t>12/11/2008,"38,519","39,009","39,880","38,515","1.95M","-1.24%"</t>
  </si>
  <si>
    <t>12/10/2008,"39,004","37,972","39,748","37,972","2.23M","2.73%"</t>
  </si>
  <si>
    <t>12/09/2008,"37,968","38,285","38,863","37,653","2.01M","-0.83%"</t>
  </si>
  <si>
    <t>12/08/2008,"38,285","35,347","38,426","35,347","2.42M","8.31%"</t>
  </si>
  <si>
    <t>12/05/2008,"35,347","35,125","35,435","34,013","1.93M","0.62%"</t>
  </si>
  <si>
    <t>12/04/2008,"35,128","35,311","35,944","35,128","1.26M","-0.48%"</t>
  </si>
  <si>
    <t>12/03/2008,"35,297","35,001","35,476","33,798","2.24M","0.85%"</t>
  </si>
  <si>
    <t>12/02/2008,"35,001","34,743","35,734","34,743","1.60M","0.75%"</t>
  </si>
  <si>
    <t>12/01/2008,"34,740","36,596","36,596","34,396","1.46M","-5.07%"</t>
  </si>
  <si>
    <t>11/28/2008,"36,596","36,216","37,217","35,944","1.55M","1.06%"</t>
  </si>
  <si>
    <t>11/27/2008,"36,213","36,470","36,817","36,114","878.65K","-0.70%"</t>
  </si>
  <si>
    <t>11/26/2008,"36,470","34,814","36,877","34,319","2.08M","4.76%"</t>
  </si>
  <si>
    <t>11/25/2008,"34,813","34,189","35,532","33,620","1.71M","1.83%"</t>
  </si>
  <si>
    <t>11/24/2008,"34,189","31,255","34,382","31,255","2.00M","9.40%"</t>
  </si>
  <si>
    <t>11/21/2008,"31,251","33,403","33,403","31,081","1.89M","-6.45%"</t>
  </si>
  <si>
    <t>11/19/2008,"33,405","34,098","34,786","33,275","1.57M","-2.02%"</t>
  </si>
  <si>
    <t>11/18/2008,"34,095","35,698","35,698","33,882","1.75M","-4.54%"</t>
  </si>
  <si>
    <t>11/17/2008,"35,717","35,777","36,373","34,427","1.39M","-0.20%"</t>
  </si>
  <si>
    <t>11/14/2008,"35,789","36,003","36,697","35,016","1.63M","-0.57%"</t>
  </si>
  <si>
    <t>11/13/2008,"35,993","34,374","36,244","33,645","1.89M","4.71%"</t>
  </si>
  <si>
    <t>11/12/2008,"34,374","37,261","37,261","34,221","2.41M","-7.75%"</t>
  </si>
  <si>
    <t>11/11/2008,"37,262","36,775","37,629","35,499","1.54M","1.32%"</t>
  </si>
  <si>
    <t>11/10/2008,"36,776","36,672","38,725","36,298","1.47M","0.30%"</t>
  </si>
  <si>
    <t>11/07/2008,"36,665","36,362","37,716","36,297","1.76M","0.83%"</t>
  </si>
  <si>
    <t>11/06/2008,"36,362","37,786","37,786","35,387","2.00M","-3.77%"</t>
  </si>
  <si>
    <t>11/05/2008,"37,786","40,245","40,245","37,711","2.13M","-6.13%"</t>
  </si>
  <si>
    <t>11/04/2008,"40,255","38,256","41,003","38,256","2.13M","5.24%"</t>
  </si>
  <si>
    <t>11/03/2008,"38,249","37,261","38,545","36,938","1.68M","2.66%"</t>
  </si>
  <si>
    <t>10/31/2008,"37,257","37,447","37,945","35,858","2.00M","-0.51%"</t>
  </si>
  <si>
    <t>10/30/2008,"37,449","34,852","37,590","34,852","2.49M","7.47%"</t>
  </si>
  <si>
    <t>10/29/2008,"34,845","33,387","35,766","33,387","2.18M","4.37%"</t>
  </si>
  <si>
    <t>10/28/2008,"33,387","29,438","33,387","29,438","2.34M","13.43%"</t>
  </si>
  <si>
    <t>10/27/2008,"29,435","31,480","31,480","29,435","1.70M","-6.50%"</t>
  </si>
  <si>
    <t>10/24/2008,"31,482","33,809","33,809","30,788","2.25M","-6.91%"</t>
  </si>
  <si>
    <t>10/23/2008,"33,818","35,069","35,777","32,706","1.96M","-3.57%"</t>
  </si>
  <si>
    <t>10/22/2008,"35,070","39,043","39,043","35,028","1.65M","-10.18%"</t>
  </si>
  <si>
    <t>10/21/2008,"39,043","39,440","39,980","38,083","1.53M","-1.01%"</t>
  </si>
  <si>
    <t>10/20/2008,"39,441","36,401","39,453","36,401","1.55M","8.36%"</t>
  </si>
  <si>
    <t>10/17/2008,"36,399","36,440","38,342","35,834","1.85M","-0.12%"</t>
  </si>
  <si>
    <t>10/16/2008,"36,442","36,835","37,394","33,752","2.28M","-1.06%"</t>
  </si>
  <si>
    <t>10/15/2008,"36,833","41,567","41,567","35,411","2.15M","-11.39%"</t>
  </si>
  <si>
    <t>10/14/2008,"41,569","40,833","43,753","40,218","2.26M","1.81%"</t>
  </si>
  <si>
    <t>10/13/2008,"40,829","35,609","40,829","35,609","1.97M","14.66%"</t>
  </si>
  <si>
    <t>10/10/2008,"35,610","37,079","37,079","33,238","2.44M","-3.96%"</t>
  </si>
  <si>
    <t>10/09/2008,"37,080","38,594","40,479","36,832","2.18M","-3.92%"</t>
  </si>
  <si>
    <t>10/08/2008,"38,594","40,137","40,439","37,597","2.83M","-3.85%"</t>
  </si>
  <si>
    <t>10/07/2008,"40,140","42,104","43,167","39,583","1.97M","-4.66%"</t>
  </si>
  <si>
    <t>10/06/2008,"42,101","44,502","44,502","37,617","2.08M","-5.43%"</t>
  </si>
  <si>
    <t>10/03/2008,"44,517","46,155","48,075","44,158","1.58M","-3.53%"</t>
  </si>
  <si>
    <t>10/02/2008,"46,145","49,805","49,805","45,113","1.68M","-7.34%"</t>
  </si>
  <si>
    <t>10/01/2008,"49,799","49,538","49,834","47,641","1.50M","0.52%"</t>
  </si>
  <si>
    <t>09/30/2008,"49,541","46,026","49,541","46,026","1.56M","7.63%"</t>
  </si>
  <si>
    <t>09/29/2008,"46,028","50,743","50,743","43,766","1.88M","-9.36%"</t>
  </si>
  <si>
    <t>09/26/2008,"50,783","51,824","51,824","49,902","1.99M","-2.02%"</t>
  </si>
  <si>
    <t>09/25/2008,"51,828","49,848","51,867","49,848","1.40M","3.98%"</t>
  </si>
  <si>
    <t>09/24/2008,"49,843","49,598","50,747","49,598","1.20M","0.50%"</t>
  </si>
  <si>
    <t>09/23/2008,"49,593","51,537","51,856","49,289","1.65M","-3.78%"</t>
  </si>
  <si>
    <t>09/22/2008,"51,541","53,055","53,455","51,530","1.45M","-2.85%"</t>
  </si>
  <si>
    <t>09/19/2008,"53,055","48,424","53,168","48,424","2.10M","9.57%"</t>
  </si>
  <si>
    <t>09/18/2008,"48,423","45,909","49,002","45,295","2.33M","5.48%"</t>
  </si>
  <si>
    <t>09/17/2008,"45,909","49,218","49,218","45,859","2.32M","-6.74%"</t>
  </si>
  <si>
    <t>09/16/2008,"49,229","48,404","49,313","46,261","2.05M","1.68%"</t>
  </si>
  <si>
    <t>09/15/2008,"48,416","52,386","52,386","48,409","1.59M","-7.59%"</t>
  </si>
  <si>
    <t>09/12/2008,"52,393","51,267","52,591","50,789","1.39M","2.19%"</t>
  </si>
  <si>
    <t>09/11/2008,"51,270","49,629","51,270","48,217","1.56M","3.30%"</t>
  </si>
  <si>
    <t>09/10/2008,"49,633","48,439","49,957","47,606","1.90M","2.47%"</t>
  </si>
  <si>
    <t>09/09/2008,"48,435","50,711","50,711","48,419","1.48M","-4.50%"</t>
  </si>
  <si>
    <t>09/08/2008,"50,718","51,940","53,706","50,646","1.47M","-2.35%"</t>
  </si>
  <si>
    <t>09/05/2008,"51,940","51,404","51,940","50,092","1.44M","1.03%"</t>
  </si>
  <si>
    <t>09/04/2008,"51,409","53,527","53,749","51,157","1.54M","-3.96%"</t>
  </si>
  <si>
    <t>09/03/2008,"53,527","54,414","55,241","52,891","1.44M","-1.61%"</t>
  </si>
  <si>
    <t>09/02/2008,"54,404","55,161","55,412","54,207","1.16M","-1.37%"</t>
  </si>
  <si>
    <t>09/01/2008,"55,162","55,665","55,665","54,933","520.00K","-0.93%"</t>
  </si>
  <si>
    <t>08/29/2008,"55,680","56,388","56,856","55,678","1.10M","-1.25%"</t>
  </si>
  <si>
    <t>08/28/2008,"56,382","55,516","56,524","55,516","1.06M","1.55%"</t>
  </si>
  <si>
    <t>08/27/2008,"55,519","54,366","55,591","54,366","881.67K","2.13%"</t>
  </si>
  <si>
    <t>08/26/2008,"54,359","54,477","55,088","54,153","836.27K","-0.22%"</t>
  </si>
  <si>
    <t>08/25/2008,"54,477","55,854","55,906","54,468","653.40K","-2.46%"</t>
  </si>
  <si>
    <t>08/22/2008,"55,850","55,933","56,430","55,202","823.43K","-0.15%"</t>
  </si>
  <si>
    <t>08/21/2008,"55,935","55,380","56,144","55,380","1.11M","1.01%"</t>
  </si>
  <si>
    <t>08/20/2008,"55,377","53,641","55,545","53,641","1.15M","3.24%"</t>
  </si>
  <si>
    <t>08/19/2008,"53,639","53,326","54,329","52,345","1.01M","0.59%"</t>
  </si>
  <si>
    <t>08/18/2008,"53,327","54,252","54,928","53,050","846.96K","-1.69%"</t>
  </si>
  <si>
    <t>08/15/2008,"54,244","55,137","55,307","53,831","945.79K","-1.62%"</t>
  </si>
  <si>
    <t>08/14/2008,"55,138","54,573","55,725","54,573","1.07M","1.04%"</t>
  </si>
  <si>
    <t>08/13/2008,"54,573","54,509","55,492","54,035","1.92M","0.13%"</t>
  </si>
  <si>
    <t>08/12/2008,"54,503","54,721","55,355","54,325","1.23M","-0.40%"</t>
  </si>
  <si>
    <t>08/11/2008,"54,720","56,590","56,974","54,569","1.21M","-3.29%"</t>
  </si>
  <si>
    <t>08/08/2008,"56,584","57,018","57,146","56,152","1.05M","-0.76%"</t>
  </si>
  <si>
    <t>08/07/2008,"57,018","57,546","57,942","56,960","1.12M","-0.91%"</t>
  </si>
  <si>
    <t>08/06/2008,"57,542","56,473","57,813","56,473","1.27M","1.90%"</t>
  </si>
  <si>
    <t>08/05/2008,"56,471","55,609","56,974","55,609","1.40M","1.55%"</t>
  </si>
  <si>
    <t>08/04/2008,"55,609","57,619","57,641","55,367","1.15M","-3.51%"</t>
  </si>
  <si>
    <t>08/01/2008,"57,630","59,505","59,505","57,492","999.46K","-3.15%"</t>
  </si>
  <si>
    <t>07/31/2008,"59,505","59,998","60,023","59,225","1.28M","-0.82%"</t>
  </si>
  <si>
    <t>07/30/2008,"59,998","58,069","59,998","58,069","1.53M","3.37%"</t>
  </si>
  <si>
    <t>07/29/2008,"58,043","56,869","58,043","56,869","1.12M","2.06%"</t>
  </si>
  <si>
    <t>07/28/2008,"56,869","57,207","58,176","56,839","887.59K","-0.58%"</t>
  </si>
  <si>
    <t>07/25/2008,"57,199","57,420","57,711","56,418","1.18M","-0.41%"</t>
  </si>
  <si>
    <t>07/24/2008,"57,434","59,425","59,641","57,334","1.78M","-3.34%"</t>
  </si>
  <si>
    <t>07/23/2008,"59,421","59,646","60,242","59,313","1.42M","-0.38%"</t>
  </si>
  <si>
    <t>07/22/2008,"59,647","60,772","60,780","59,231","1.20M","-1.85%"</t>
  </si>
  <si>
    <t>07/21/2008,"60,772","60,002","61,275","60,002","1.23M","1.31%"</t>
  </si>
  <si>
    <t>07/18/2008,"59,988","60,106","61,299","59,479","1.23M","-0.20%"</t>
  </si>
  <si>
    <t>07/17/2008,"60,109","62,063","62,606","59,985","1.89M","-3.14%"</t>
  </si>
  <si>
    <t>07/16/2008,"62,056","61,018","62,183","60,863","1.58M","1.71%"</t>
  </si>
  <si>
    <t>07/15/2008,"61,015","60,715","61,679","58,790","1.47M","0.48%"</t>
  </si>
  <si>
    <t>07/14/2008,"60,721","60,156","61,306","60,156","970.37K","0.95%"</t>
  </si>
  <si>
    <t>07/11/2008,"60,148","60,256","61,053","59,603","1.05M","-0.17%"</t>
  </si>
  <si>
    <t>07/10/2008,"60,253","59,528","60,589","58,338","1.49M","1.20%"</t>
  </si>
  <si>
    <t>07/08/2008,"59,536","59,081","59,536","57,945","1.24M","0.76%"</t>
  </si>
  <si>
    <t>07/07/2008,"59,088","59,372","60,795","58,731","1.08M","-0.47%"</t>
  </si>
  <si>
    <t>07/04/2008,"59,365","59,266","59,779","58,786","642.07K","0.16%"</t>
  </si>
  <si>
    <t>07/03/2008,"59,273","61,094","61,601","59,243","1.21M","-3.00%"</t>
  </si>
  <si>
    <t>07/02/2008,"61,106","63,397","63,945","61,028","1.31M","-3.61%"</t>
  </si>
  <si>
    <t>07/01/2008,"63,396","65,018","65,018","62,911","1.26M","-2.49%"</t>
  </si>
  <si>
    <t>06/30/2008,"65,018","64,326","65,353","64,326","970.44K","1.08%"</t>
  </si>
  <si>
    <t>06/27/2008,"64,321","63,951","64,624","63,881","1.10M","0.58%"</t>
  </si>
  <si>
    <t>06/26/2008,"63,947","65,804","65,804","63,689","1.27M","-2.89%"</t>
  </si>
  <si>
    <t>06/25/2008,"65,853","64,173","66,308","64,173","1.35M","2.63%"</t>
  </si>
  <si>
    <t>06/24/2008,"64,168","64,636","65,084","63,713","1.13M","-0.73%"</t>
  </si>
  <si>
    <t>06/23/2008,"64,640","64,622","65,401","64,440","858.52K","0.04%"</t>
  </si>
  <si>
    <t>06/20/2008,"64,614","66,584","66,611","64,602","1.14M","-2.97%"</t>
  </si>
  <si>
    <t>06/19/2008,"66,590","67,090","67,339","66,182","1.17M","-0.75%"</t>
  </si>
  <si>
    <t>06/18/2008,"67,090","68,431","68,431","66,917","1.36M","-1.97%"</t>
  </si>
  <si>
    <t>06/17/2008,"68,438","67,284","69,029","67,284","1.20M","1.71%"</t>
  </si>
  <si>
    <t>06/16/2008,"67,285","67,206","67,618","66,430","1.04M","0.12%"</t>
  </si>
  <si>
    <t>06/13/2008,"67,204","67,326","67,885","66,906","917.32K","-0.17%"</t>
  </si>
  <si>
    <t>06/12/2008,"67,320","66,798","67,958","66,798","1.14M","0.79%"</t>
  </si>
  <si>
    <t>06/11/2008,"66,795","67,775","68,061","66,715","1.25M","-1.45%"</t>
  </si>
  <si>
    <t>06/10/2008,"67,775","69,275","69,275","67,067","1.26M","-2.17%"</t>
  </si>
  <si>
    <t>06/09/2008,"69,281","69,786","69,990","68,534","1.03M","-0.72%"</t>
  </si>
  <si>
    <t>06/06/2008,"69,786","71,208","71,211","69,515","1.20M","-2.00%"</t>
  </si>
  <si>
    <t>06/05/2008,"71,209","68,674","71,248","68,674","1.22M","3.69%"</t>
  </si>
  <si>
    <t>06/04/2008,"68,673","70,012","70,012","68,465","1.44M","-1.91%"</t>
  </si>
  <si>
    <t>06/03/2008,"70,012","71,897","72,019","69,602","1.30M","-2.62%"</t>
  </si>
  <si>
    <t>06/02/2008,"71,897","72,592","72,592","71,352","1.17M","-0.96%"</t>
  </si>
  <si>
    <t>05/30/2008,"72,592","71,798","72,862","71,766","1.77M","1.11%"</t>
  </si>
  <si>
    <t>05/29/2008,"71,798","73,154","73,920","71,695","1.54M","-1.85%"</t>
  </si>
  <si>
    <t>05/28/2008,"73,153","70,995","73,180","70,734","1.46M","3.04%"</t>
  </si>
  <si>
    <t>05/27/2008,"70,992","71,629","71,659","70,335","1.41M","-0.89%"</t>
  </si>
  <si>
    <t>05/26/2008,"71,629","71,452","71,988","71,423","503.20K","0.25%"</t>
  </si>
  <si>
    <t>05/23/2008,"71,452","72,295","72,295","70,774","1.09M","-1.17%"</t>
  </si>
  <si>
    <t>05/21/2008,"72,295","73,508","73,780","72,150","1.46M","-1.66%"</t>
  </si>
  <si>
    <t>05/20/2008,"73,517","73,445","73,522","72,146","1.26M","0.11%"</t>
  </si>
  <si>
    <t>05/19/2008,"73,439","72,767","73,794","72,458","1.49M","0.92%"</t>
  </si>
  <si>
    <t>05/16/2008,"72,767","71,496","72,767","71,496","1.35M","1.78%"</t>
  </si>
  <si>
    <t>05/15/2008,"71,492","70,031","71,492","70,031","1.14M","2.09%"</t>
  </si>
  <si>
    <t>05/14/2008,"70,027","70,495","70,966","70,027","1.20M","-0.68%"</t>
  </si>
  <si>
    <t>05/13/2008,"70,503","70,422","71,084","70,108","1.21M","0.12%"</t>
  </si>
  <si>
    <t>05/12/2008,"70,416","69,646","70,420","69,068","966.70K","1.11%"</t>
  </si>
  <si>
    <t>05/09/2008,"69,646","69,722","69,722","68,764","841.25K","-0.11%"</t>
  </si>
  <si>
    <t>05/08/2008,"69,722","69,021","69,877","69,014","975.06K","1.02%"</t>
  </si>
  <si>
    <t>05/07/2008,"69,018","70,201","70,545","68,599","1.34M","-1.68%"</t>
  </si>
  <si>
    <t>05/06/2008,"70,195","70,175","70,215","69,561","1.52M","0.03%"</t>
  </si>
  <si>
    <t>05/05/2008,"70,175","69,366","70,435","69,366","1.35M","1.17%"</t>
  </si>
  <si>
    <t>05/02/2008,"69,366","67,869","70,973","67,865","1.98M","2.21%"</t>
  </si>
  <si>
    <t>04/30/2008,"67,868","63,826","68,038","63,826","2.11M","6.33%"</t>
  </si>
  <si>
    <t>04/29/2008,"63,826","65,678","65,678","63,706","1.11M","-2.82%"</t>
  </si>
  <si>
    <t>04/28/2008,"65,678","65,191","66,025","65,191","1.18M","0.75%"</t>
  </si>
  <si>
    <t>04/25/2008,"65,187","64,576","65,253","64,172","1.11M","0.95%"</t>
  </si>
  <si>
    <t>04/24/2008,"64,576","64,946","65,086","64,223","971.55K","-0.57%"</t>
  </si>
  <si>
    <t>04/23/2008,"64,948","65,413","65,689","64,914","862.85K","-0.71%"</t>
  </si>
  <si>
    <t>04/22/2008,"65,413","64,922","65,689","64,922","965.74K","0.75%"</t>
  </si>
  <si>
    <t>04/18/2008,"64,923","64,554","65,384","64,554","856.82K","0.57%"</t>
  </si>
  <si>
    <t>04/17/2008,"64,552","64,150","64,945","63,599","908.42K","0.62%"</t>
  </si>
  <si>
    <t>04/16/2008,"64,152","62,625","64,314","62,625","1.24M","2.45%"</t>
  </si>
  <si>
    <t>04/15/2008,"62,618","62,151","62,825","62,151","841.67K","0.75%"</t>
  </si>
  <si>
    <t>04/14/2008,"62,153","62,592","62,733","61,466","926.68K","-0.69%"</t>
  </si>
  <si>
    <t>04/11/2008,"62,585","63,526","63,526","62,459","696.84K","-1.48%"</t>
  </si>
  <si>
    <t>04/10/2008,"63,527","63,475","63,646","62,712","909.31K","0.08%"</t>
  </si>
  <si>
    <t>04/09/2008,"63,477","64,540","64,621","63,167","863.32K","-1.65%"</t>
  </si>
  <si>
    <t>04/08/2008,"64,540","64,180","64,833","63,453","877.99K","0.57%"</t>
  </si>
  <si>
    <t>04/07/2008,"64,176","64,447","65,409","63,919","909.33K","-0.42%"</t>
  </si>
  <si>
    <t>04/04/2008,"64,446","64,177","64,630","63,906","812.76K","0.42%"</t>
  </si>
  <si>
    <t>04/03/2008,"64,175","63,367","64,731","62,793","1.04M","1.28%"</t>
  </si>
  <si>
    <t>04/02/2008,"63,364","62,775","63,816","62,775","1.08M","0.94%"</t>
  </si>
  <si>
    <t>04/01/2008,"62,775","60,965","62,788","60,965","1.21M","2.96%"</t>
  </si>
  <si>
    <t>03/31/2008,"60,968","60,449","60,982","59,917","2.17M","0.85%"</t>
  </si>
  <si>
    <t>03/28/2008,"60,452","60,762","61,062","60,192","1.67M","-0.51%"</t>
  </si>
  <si>
    <t>03/27/2008,"60,762","61,418","62,200","60,679","1.64M","-1.06%"</t>
  </si>
  <si>
    <t>03/26/2008,"61,415","61,234","61,849","60,759","2.35M","0.30%"</t>
  </si>
  <si>
    <t>03/25/2008,"61,234","59,820","61,616","59,820","2.52M","2.38%"</t>
  </si>
  <si>
    <t>03/24/2008,"59,813","58,994","61,083","58,994","2.29M","1.40%"</t>
  </si>
  <si>
    <t>03/20/2008,"58,987","58,818","59,170","57,824","2.72M","0.27%"</t>
  </si>
  <si>
    <t>03/19/2008,"58,827","61,936","62,372","58,805","2.23M","-5.02%"</t>
  </si>
  <si>
    <t>03/18/2008,"61,933","60,040","61,933","60,040","3.08M","3.20%"</t>
  </si>
  <si>
    <t>03/17/2008,"60,012","61,987","61,987","59,342","2.13M","-3.19%"</t>
  </si>
  <si>
    <t>03/14/2008,"61,991","62,280","63,028","60,710","2.81M","-0.46%"</t>
  </si>
  <si>
    <t>03/13/2008,"62,280","62,175","62,413","60,168","3.85M","0.17%"</t>
  </si>
  <si>
    <t>03/12/2008,"62,177","62,378","63,036","62,022","2.32M","-0.31%"</t>
  </si>
  <si>
    <t>03/11/2008,"62,368","60,006","62,368","60,006","3.22M","3.95%"</t>
  </si>
  <si>
    <t>03/10/2008,"59,999","61,869","61,923","59,996","1.90M","-3.02%"</t>
  </si>
  <si>
    <t>03/07/2008,"61,868","62,973","62,973","61,382","2.49M","-1.76%"</t>
  </si>
  <si>
    <t>03/06/2008,"62,975","64,631","64,676","62,975","2.25M","-2.56%"</t>
  </si>
  <si>
    <t>03/05/2008,"64,629","63,653","65,045","63,653","2.32M","1.53%"</t>
  </si>
  <si>
    <t>03/04/2008,"63,656","64,486","64,530","62,745","2.14M","-1.29%"</t>
  </si>
  <si>
    <t>03/03/2008,"64,490","63,496","64,644","63,159","2.27M","1.58%"</t>
  </si>
  <si>
    <t>02/29/2008,"63,489","65,553","65,553","63,482","2.82M","-3.15%"</t>
  </si>
  <si>
    <t>02/28/2008,"65,555","65,495","66,005","65,248","3.69M","0.09%"</t>
  </si>
  <si>
    <t>02/27/2008,"65,495","65,178","65,968","64,647","4.84M","0.48%"</t>
  </si>
  <si>
    <t>02/26/2008,"65,183","64,994","65,399","63,983","3.56M","0.28%"</t>
  </si>
  <si>
    <t>02/25/2008,"65,001","64,605","65,013","64,060","2.37M","0.61%"</t>
  </si>
  <si>
    <t>02/22/2008,"64,609","63,780","64,609","63,360","2.08M","1.28%"</t>
  </si>
  <si>
    <t>02/21/2008,"63,792","63,748","64,631","63,620","2.42M","0.07%"</t>
  </si>
  <si>
    <t>02/20/2008,"63,747","62,292","63,780","61,634","2.76M","2.33%"</t>
  </si>
  <si>
    <t>02/19/2008,"62,297","62,801","63,590","62,180","2.09M","-0.80%"</t>
  </si>
  <si>
    <t>02/18/2008,"62,801","61,292","62,883","61,292","1.50M","2.50%"</t>
  </si>
  <si>
    <t>02/15/2008,"61,272","61,803","61,803","60,717","2.35M","-0.88%"</t>
  </si>
  <si>
    <t>02/14/2008,"61,819","62,595","63,224","61,737","2.36M","-1.23%"</t>
  </si>
  <si>
    <t>02/13/2008,"62,591","61,802","63,002","61,802","4.42M","1.27%"</t>
  </si>
  <si>
    <t>02/12/2008,"61,805","60,645","62,828","60,645","13.47M","1.92%"</t>
  </si>
  <si>
    <t>02/11/2008,"60,643","59,081","60,805","59,081","2.57M","2.65%"</t>
  </si>
  <si>
    <t>02/08/2008,"59,076","58,967","59,520","58,843","2.02M","0.19%"</t>
  </si>
  <si>
    <t>02/07/2008,"58,965","58,965","59,581","58,030","3.99M","-0.01%"</t>
  </si>
  <si>
    <t>02/06/2008,"58,969","61,076","61,076","58,742","2.05M","-3.46%"</t>
  </si>
  <si>
    <t>02/01/2008,"61,080","59,491","61,187","59,491","3.60M","2.67%"</t>
  </si>
  <si>
    <t>01/31/2008,"59,490","60,288","60,288","57,886","6.16M","-1.33%"</t>
  </si>
  <si>
    <t>01/30/2008,"60,289","59,522","60,289","58,752","4.31M","1.27%"</t>
  </si>
  <si>
    <t>01/29/2008,"59,530","58,597","59,715","58,597","3.44M","1.60%"</t>
  </si>
  <si>
    <t>01/28/2008,"58,594","57,457","58,721","56,360","3.93M","1.97%"</t>
  </si>
  <si>
    <t>01/24/2008,"57,463","54,242","57,675","54,242","3.80M","5.95%"</t>
  </si>
  <si>
    <t>01/23/2008,"54,235","56,098","56,098","53,011","3.72M","-3.32%"</t>
  </si>
  <si>
    <t>01/22/2008,"56,097","53,705","56,541","53,610","3.65M","4.45%"</t>
  </si>
  <si>
    <t>01/21/2008,"53,709","57,503","57,503","53,487","3.57M","-6.60%"</t>
  </si>
  <si>
    <t>01/18/2008,"57,506","57,039","58,291","56,241","5.81M","0.82%"</t>
  </si>
  <si>
    <t>01/17/2008,"57,037","58,773","59,643","56,734","3.59M","-2.96%"</t>
  </si>
  <si>
    <t>01/16/2008,"58,777","59,906","59,906","58,077","3.46M","-1.89%"</t>
  </si>
  <si>
    <t>01/15/2008,"59,907","62,180","62,180","59,897","4.08M","-3.67%"</t>
  </si>
  <si>
    <t>01/14/2008,"62,188","61,950","62,536","61,643","2.83M","0.40%"</t>
  </si>
  <si>
    <t>01/11/2008,"61,942","63,514","63,514","61,942","2.92M","-2.48%"</t>
  </si>
  <si>
    <t>01/10/2008,"63,515","62,677","63,615","62,594","3.23M","1.34%"</t>
  </si>
  <si>
    <t>01/09/2008,"62,674","62,078","62,674","61,487","3.48M","0.96%"</t>
  </si>
  <si>
    <t>01/08/2008,"62,081","60,771","62,650","60,771","3.31M","2.15%"</t>
  </si>
  <si>
    <t>01/07/2008,"60,772","61,054","61,505","60,092","2.22M","-0.43%"</t>
  </si>
  <si>
    <t>01/04/2008,"61,037","62,898","63,436","60,574","2.61M","-2.95%"</t>
  </si>
  <si>
    <t>01/03/2008,"62,892","62,814","63,129","62,556","1.90M","0.12%"</t>
  </si>
  <si>
    <t>01/02/2008,"62,815","63,885","63,906","62,659","2.98M","-1.68%"</t>
  </si>
  <si>
    <t>12/28/2007,"63,886","63,776","64,124","63,598","2.59M","0.18%"</t>
  </si>
  <si>
    <t>12/27/2007,"63,774","64,287","64,584","63,590","2.04M","-0.80%"</t>
  </si>
  <si>
    <t>12/26/2007,"64,288","63,101","64,304","63,101","1.82M","1.89%"</t>
  </si>
  <si>
    <t>12/21/2007,"63,098","61,725","63,398","61,725","2.45M","2.24%"</t>
  </si>
  <si>
    <t>12/20/2007,"61,716","61,724","62,467","61,416","4.80M","-0.01%"</t>
  </si>
  <si>
    <t>12/19/2007,"61,722","61,108","61,734","60,915","3.74M","1.02%"</t>
  </si>
  <si>
    <t>12/18/2007,"61,096","59,832","61,421","59,414","3.62M","2.12%"</t>
  </si>
  <si>
    <t>12/17/2007,"59,828","62,445","62,445","59,820","2.24M","-4.19%"</t>
  </si>
  <si>
    <t>12/14/2007,"62,445","62,868","63,455","62,445","3.05M","-0.66%"</t>
  </si>
  <si>
    <t>12/13/2007,"62,861","64,735","64,735","62,466","2.94M","-2.91%"</t>
  </si>
  <si>
    <t>12/12/2007,"64,742","64,512","66,171","64,502","3.12M","0.36%"</t>
  </si>
  <si>
    <t>12/11/2007,"64,512","65,448","66,451","64,127","4.64M","-1.43%"</t>
  </si>
  <si>
    <t>12/10/2007,"65,446","65,642","65,874","65,228","3.68M","-0.29%"</t>
  </si>
  <si>
    <t>12/07/2007,"65,639","65,789","66,529","65,278","2.29M","-0.23%"</t>
  </si>
  <si>
    <t>12/06/2007,"65,791","64,929","65,791","64,692","3.11M","1.33%"</t>
  </si>
  <si>
    <t>12/05/2007,"64,928","63,483","65,204","63,483","2.59M","2.28%"</t>
  </si>
  <si>
    <t>12/04/2007,"63,482","63,203","63,722","62,373","1.95M","0.45%"</t>
  </si>
  <si>
    <t>12/03/2007,"63,200","63,018","63,682","62,729","1.71M","0.31%"</t>
  </si>
  <si>
    <t>11/30/2007,"63,006","62,157","63,701","62,157","4.85M","1.37%"</t>
  </si>
  <si>
    <t>11/29/2007,"62,156","61,720","63,190","61,465","5.98M","0.71%"</t>
  </si>
  <si>
    <t>11/28/2007,"61,715","59,432","61,858","59,432","6.12M","3.84%"</t>
  </si>
  <si>
    <t>11/27/2007,"59,432","59,067","59,971","58,096","6.15M","0.61%"</t>
  </si>
  <si>
    <t>11/26/2007,"59,069","60,973","61,560","59,067","6.20M","-3.12%"</t>
  </si>
  <si>
    <t>11/23/2007,"60,971","60,662","61,334","60,662","8.92M","0.52%"</t>
  </si>
  <si>
    <t>11/22/2007,"60,653","60,582","61,102","60,124","2.22M","0.12%"</t>
  </si>
  <si>
    <t>11/21/2007,"60,582","62,335","62,335","59,847","6.54M","-2.81%"</t>
  </si>
  <si>
    <t>11/19/2007,"62,336","64,609","64,609","62,321","3.82M","-3.52%"</t>
  </si>
  <si>
    <t>11/16/2007,"64,609","64,634","64,802","63,627","4.45M","-0.03%"</t>
  </si>
  <si>
    <t>11/14/2007,"64,631","62,919","64,896","62,919","10.89M","2.71%"</t>
  </si>
  <si>
    <t>11/13/2007,"62,927","61,526","62,933","61,034","5.98M","2.28%"</t>
  </si>
  <si>
    <t>11/12/2007,"61,527","64,321","64,321","61,452","5.39M","-4.34%"</t>
  </si>
  <si>
    <t>11/09/2007,"64,321","63,571","65,281","62,279","6.87M","1.19%"</t>
  </si>
  <si>
    <t>11/08/2007,"63,562","63,503","65,283","63,140","7.20M","0.10%"</t>
  </si>
  <si>
    <t>11/07/2007,"63,501","64,503","64,603","63,223","112.10K","-1.55%"</t>
  </si>
  <si>
    <t>11/06/2007,"64,503","62,967","64,524","62,967","4.56M","2.45%"</t>
  </si>
  <si>
    <t>11/05/2007,"62,960","64,049","64,049","62,720","9.28M","-1.70%"</t>
  </si>
  <si>
    <t>11/01/2007,"64,050","65,317","65,317","63,774","6.19M","-1.94%"</t>
  </si>
  <si>
    <t>10/31/2007,"65,318","64,385","65,949","64,385","4.32M","1.45%"</t>
  </si>
  <si>
    <t>10/30/2007,"64,383","65,044","65,147","64,264","7.82M","-1.02%"</t>
  </si>
  <si>
    <t>10/29/2007,"65,044","64,275","65,670","64,275","7.74M","1.19%"</t>
  </si>
  <si>
    <t>10/26/2007,"64,276","62,346","64,320","62,346","6.24M","3.10%"</t>
  </si>
  <si>
    <t>10/25/2007,"62,341","62,628","63,206","61,968","6.49M","-0.45%"</t>
  </si>
  <si>
    <t>10/24/2007,"62,625","62,693","62,816","61,448","7.75M","-0.11%"</t>
  </si>
  <si>
    <t>10/23/2007,"62,697","61,214","62,773","61,214","7.59M","2.42%"</t>
  </si>
  <si>
    <t>10/22/2007,"61,215","60,884","61,379","59,473","4.19M","0.53%"</t>
  </si>
  <si>
    <t>10/19/2007,"60,894","63,270","63,349","60,883","5.45M","-3.74%"</t>
  </si>
  <si>
    <t>10/18/2007,"63,261","63,192","63,322","61,943","4.54M","0.11%"</t>
  </si>
  <si>
    <t>10/17/2007,"63,194","61,720","63,194","61,460","7.64M","2.39%"</t>
  </si>
  <si>
    <t>10/16/2007,"61,718","62,965","62,965","61,565","4.90M","-1.99%"</t>
  </si>
  <si>
    <t>10/15/2007,"62,969","62,455","63,841","62,411","520.87K","0.82%"</t>
  </si>
  <si>
    <t>10/11/2007,"62,456","63,197","64,169","61,487","5.27M","-1.17%"</t>
  </si>
  <si>
    <t>10/10/2007,"63,197","63,550","63,565","62,894","4.72M","-0.55%"</t>
  </si>
  <si>
    <t>10/09/2007,"63,549","62,661","63,658","62,661","7.51M","1.42%"</t>
  </si>
  <si>
    <t>10/08/2007,"62,661","62,319","62,725","61,841","4.08M","0.55%"</t>
  </si>
  <si>
    <t>10/05/2007,"62,319","60,408","62,704","60,408","9.08M","3.17%"</t>
  </si>
  <si>
    <t>10/04/2007,"60,407","60,102","61,080","59,536","8.71M","0.51%"</t>
  </si>
  <si>
    <t>10/03/2007,"60,099","62,021","62,021","60,094","6.85M","-3.09%"</t>
  </si>
  <si>
    <t>10/02/2007,"62,017","62,341","62,356","61,241","6.10M","-0.52%"</t>
  </si>
  <si>
    <t>10/01/2007,"62,340","60,465","62,355","60,465","15.39M","3.10%"</t>
  </si>
  <si>
    <t>09/28/2007,"60,465","61,054","61,054","60,086","5.43M","-0.96%"</t>
  </si>
  <si>
    <t>09/27/2007,"61,052","59,713","61,052","59,713","6.39M","2.24%"</t>
  </si>
  <si>
    <t>09/26/2007,"59,715","58,859","59,825","58,859","6.10M","1.46%"</t>
  </si>
  <si>
    <t>09/25/2007,"58,858","58,717","58,862","57,969","3.46M","0.24%"</t>
  </si>
  <si>
    <t>09/24/2007,"58,719","57,799","58,719","57,799","5.82M","1.59%"</t>
  </si>
  <si>
    <t>09/21/2007,"57,799","56,919","57,899","56,919","7.36M","1.57%"</t>
  </si>
  <si>
    <t>09/20/2007,"56,906","57,263","57,609","56,607","4.66M","-0.63%"</t>
  </si>
  <si>
    <t>09/19/2007,"57,264","56,675","58,079","56,675","7.79M","1.06%"</t>
  </si>
  <si>
    <t>09/18/2007,"56,666","54,351","56,844","54,351","7.55M","4.28%"</t>
  </si>
  <si>
    <t>09/17/2007,"54,341","54,671","54,733","53,691","4.18M","-0.60%"</t>
  </si>
  <si>
    <t>09/14/2007,"54,671","54,909","55,465","54,378","5.84M","-0.43%"</t>
  </si>
  <si>
    <t>09/13/2007,"54,908","53,883","55,087","53,883","3.63M","1.90%"</t>
  </si>
  <si>
    <t>09/12/2007,"53,883","53,922","54,622","53,718","5.60M","-0.07%"</t>
  </si>
  <si>
    <t>09/11/2007,"53,921","52,660","53,954","52,660","4.89M","2.41%"</t>
  </si>
  <si>
    <t>09/10/2007,"52,653","54,554","54,554","52,321","4.08M","-3.51%"</t>
  </si>
  <si>
    <t>09/06/2007,"54,569","54,413","55,094","54,413","5.90M","0.30%"</t>
  </si>
  <si>
    <t>09/05/2007,"54,408","55,243","55,243","54,156","2.83M","-1.52%"</t>
  </si>
  <si>
    <t>09/04/2007,"55,250","54,834","55,566","54,588","9.58M","0.76%"</t>
  </si>
  <si>
    <t>09/03/2007,"54,833","54,641","54,998","54,519","5.24M","0.36%"</t>
  </si>
  <si>
    <t>08/31/2007,"54,637","52,874","54,715","52,874","46.50M","3.37%"</t>
  </si>
  <si>
    <t>08/30/2007,"52,858","52,728","53,645","52,223","28.67M","0.23%"</t>
  </si>
  <si>
    <t>08/29/2007,"52,735","51,648","52,810","51,647","20.05M","2.11%"</t>
  </si>
  <si>
    <t>08/28/2007,"51,645","53,072","53,072","51,390","20.72M","-2.70%"</t>
  </si>
  <si>
    <t>08/27/2007,"53,078","52,995","53,396","52,502","23.48M","0.15%"</t>
  </si>
  <si>
    <t>08/24/2007,"52,998","51,845","52,998","51,390","48.70M","2.22%"</t>
  </si>
  <si>
    <t>08/23/2007,"51,848","51,745","52,351","51,082","18.68M","0.20%"</t>
  </si>
  <si>
    <t>08/22/2007,"51,745","49,815","51,749","49,815","26.17M","3.87%"</t>
  </si>
  <si>
    <t>08/21/2007,"49,815","49,208","50,064","48,739","25.61M","1.24%"</t>
  </si>
  <si>
    <t>08/20/2007,"49,206","48,561","49,574","48,561","40.15M","1.33%"</t>
  </si>
  <si>
    <t>08/17/2007,"48,559","48,026","49,588","46,877","69.14M","1.13%"</t>
  </si>
  <si>
    <t>08/16/2007,"48,016","49,281","49,281","44,938","94.94M","-2.57%"</t>
  </si>
  <si>
    <t>08/15/2007,"49,285","50,912","51,286","49,106","108.09M","-3.20%"</t>
  </si>
  <si>
    <t>08/14/2007,"50,912","52,434","52,945","50,912","49.40M","-2.90%"</t>
  </si>
  <si>
    <t>08/13/2007,"52,434","52,647","53,670","52,202","48.39M","-0.39%"</t>
  </si>
  <si>
    <t>08/10/2007,"52,638","53,431","53,431","51,682","58.81M","-1.48%"</t>
  </si>
  <si>
    <t>08/09/2007,"53,431","55,213","55,213","53,324","50.74M","-3.28%"</t>
  </si>
  <si>
    <t>08/08/2007,"55,241","53,804","55,616","53,804","64.40M","2.67%"</t>
  </si>
  <si>
    <t>08/07/2007,"53,802","53,092","54,113","52,746","37.27M","1.34%"</t>
  </si>
  <si>
    <t>08/06/2007,"53,091","52,846","53,207","51,317","81.61M","0.46%"</t>
  </si>
  <si>
    <t>08/03/2007,"52,846","54,697","54,725","52,575","83.12M","-3.37%"</t>
  </si>
  <si>
    <t>08/02/2007,"54,691","54,245","54,959","54,202","46.54M","0.84%"</t>
  </si>
  <si>
    <t>08/01/2007,"54,234","54,170","54,234","53,036","60.58M","0.10%"</t>
  </si>
  <si>
    <t>07/31/2007,"54,182","54,602","55,662","54,169","60.29M","-0.72%"</t>
  </si>
  <si>
    <t>07/30/2007,"54,573","52,925","54,790","52,925","46.19M","3.12%"</t>
  </si>
  <si>
    <t>07/27/2007,"52,922","53,893","54,407","52,922","64.17M","-1.80%"</t>
  </si>
  <si>
    <t>07/26/2007,"53,893","55,998","55,998","52,627","80.24M","-3.76%"</t>
  </si>
  <si>
    <t>07/25/2007,"56,001","55,797","56,409","54,520","79.98M","0.37%"</t>
  </si>
  <si>
    <t>07/24/2007,"55,795","58,036","58,057","55,165","61.82M","-3.86%"</t>
  </si>
  <si>
    <t>07/23/2007,"58,037","57,443","58,070","57,443","40.73M","1.03%"</t>
  </si>
  <si>
    <t>07/20/2007,"57,443","58,125","58,125","57,103","36.50M","-1.17%"</t>
  </si>
  <si>
    <t>07/19/2007,"58,125","57,556","58,293","57,556","47.26M","0.99%"</t>
  </si>
  <si>
    <t>07/18/2007,"57,556","57,660","57,660","56,903","33.93M","-0.18%"</t>
  </si>
  <si>
    <t>07/17/2007,"57,660","57,376","57,799","57,307","49.24M","0.50%"</t>
  </si>
  <si>
    <t>07/16/2007,"57,374","57,644","57,666","57,035","51.59M","-0.47%"</t>
  </si>
  <si>
    <t>07/13/2007,"57,644","57,613","57,983","57,327","49.97M","0.05%"</t>
  </si>
  <si>
    <t>07/12/2007,"57,613","56,380","57,676","56,378","43.54M","2.23%"</t>
  </si>
  <si>
    <t>07/11/2007,"56,356","55,882","56,495","55,628","42.58M","0.85%"</t>
  </si>
  <si>
    <t>07/10/2007,"55,883","56,444","56,544","55,678","50.77M","-0.99%"</t>
  </si>
  <si>
    <t>07/06/2007,"56,444","55,932","56,444","55,932","39.11M","0.92%"</t>
  </si>
  <si>
    <t>07/05/2007,"55,932","55,696","55,932","55,345","54.02M","0.42%"</t>
  </si>
  <si>
    <t>07/04/2007,"55,696","55,698","56,000","55,598","23.83M","-0.01%"</t>
  </si>
  <si>
    <t>07/03/2007,"55,700","55,371","55,783","55,259","33.76M","0.59%"</t>
  </si>
  <si>
    <t>07/02/2007,"55,371","54,396","55,386","54,396","67.22M","1.80%"</t>
  </si>
  <si>
    <t>06/29/2007,"54,392","54,150","54,783","53,958","85.40M","0.45%"</t>
  </si>
  <si>
    <t>06/28/2007,"54,147","54,154","54,648","54,147","89.19M","0.01%"</t>
  </si>
  <si>
    <t>06/27/2007,"54,143","53,852","54,164","53,202","86.42M","0.54%"</t>
  </si>
  <si>
    <t>06/26/2007,"53,852","54,045","54,413","53,842","68.43M","-0.35%"</t>
  </si>
  <si>
    <t>06/25/2007,"54,042","54,270","54,605","53,605","84.71M","-0.41%"</t>
  </si>
  <si>
    <t>06/22/2007,"54,267","54,644","54,644","53,952","94.64M","-0.71%"</t>
  </si>
  <si>
    <t>06/21/2007,"54,657","54,030","54,844","53,911","103.58M","1.16%"</t>
  </si>
  <si>
    <t>06/20/2007,"54,029","54,644","55,003","54,029","120.53M","-1.13%"</t>
  </si>
  <si>
    <t>06/19/2007,"54,644","54,730","54,797","54,450","99.30M","-0.16%"</t>
  </si>
  <si>
    <t>06/18/2007,"54,730","54,519","55,000","54,355","115.68M","0.39%"</t>
  </si>
  <si>
    <t>06/15/2007,"54,519","53,723","54,726","53,723","123.50M","1.50%"</t>
  </si>
  <si>
    <t>06/14/2007,"53,713","53,011","53,798","53,009","97.86M","1.36%"</t>
  </si>
  <si>
    <t>06/13/2007,"52,994","51,799","53,226","51,799","175.65M","2.31%"</t>
  </si>
  <si>
    <t>06/12/2007,"51,797","52,776","52,776","51,643","75.77M","-1.86%"</t>
  </si>
  <si>
    <t>06/11/2007,"52,777","52,324","52,952","52,184","81.57M","0.85%"</t>
  </si>
  <si>
    <t>06/08/2007,"52,330","52,045","52,500","50,884","84.33M","0.54%"</t>
  </si>
  <si>
    <t>06/06/2007,"52,049","53,162","53,162","51,869","92.94M","-2.09%"</t>
  </si>
  <si>
    <t>06/05/2007,"53,162","53,245","53,271","52,673","89.87M","-0.15%"</t>
  </si>
  <si>
    <t>06/04/2007,"53,243","53,423","53,423","52,651","90.06M","-0.34%"</t>
  </si>
  <si>
    <t>06/01/2007,"53,423","52,271","53,423","52,271","148.69M","2.21%"</t>
  </si>
  <si>
    <t>05/31/2007,"52,268","52,536","52,877","52,098","125.17M","-0.49%"</t>
  </si>
  <si>
    <t>05/30/2007,"52,528","51,706","52,595","50,607","140.48M","1.58%"</t>
  </si>
  <si>
    <t>05/29/2007,"51,713","52,121","52,545","51,271","158.10M","-0.78%"</t>
  </si>
  <si>
    <t>05/28/2007,"52,120","51,616","52,209","51,616","58.69M","0.97%"</t>
  </si>
  <si>
    <t>05/25/2007,"51,618","50,541","51,633","50,541","93.92M","2.15%"</t>
  </si>
  <si>
    <t>05/24/2007,"50,531","51,813","51,891","50,214","104.11M","-2.47%"</t>
  </si>
  <si>
    <t>05/23/2007,"51,812","52,210","52,505","51,670","177.39M","-0.76%"</t>
  </si>
  <si>
    <t>05/22/2007,"52,208","52,424","52,560","52,039","54.60M","-0.41%"</t>
  </si>
  <si>
    <t>05/21/2007,"52,423","52,078","52,691","52,078","128.96M","0.66%"</t>
  </si>
  <si>
    <t>05/18/2007,"52,078","51,633","52,088","51,499","103.17M","0.87%"</t>
  </si>
  <si>
    <t>05/17/2007,"51,631","51,741","51,959","51,374","100.34M","-0.21%"</t>
  </si>
  <si>
    <t>05/16/2007,"51,738","50,518","51,738","50,518","154.95M","2.41%"</t>
  </si>
  <si>
    <t>05/15/2007,"50,518","50,511","51,042","50,370","88.11M","0.01%"</t>
  </si>
  <si>
    <t>05/14/2007,"50,511","50,910","51,066","50,298","82.39M","-0.77%"</t>
  </si>
  <si>
    <t>05/11/2007,"50,902","50,235","51,083","50,235","146.07M","1.33%"</t>
  </si>
  <si>
    <t>05/10/2007,"50,235","51,298","51,298","50,205","183.38M","-2.08%"</t>
  </si>
  <si>
    <t>05/09/2007,"51,300","50,277","51,369","50,149","129.55M","2.03%"</t>
  </si>
  <si>
    <t>05/08/2007,"50,278","50,276","50,369","49,526","58.60M","-0.01%"</t>
  </si>
  <si>
    <t>05/07/2007,"50,282","50,591","50,618","50,154","30.58M","-0.62%"</t>
  </si>
  <si>
    <t>05/04/2007,"50,598","50,218","50,898","50,218","48.75M","0.76%"</t>
  </si>
  <si>
    <t>05/03/2007,"50,218","49,472","50,318","49,472","61.50M","1.51%"</t>
  </si>
  <si>
    <t>05/02/2007,"49,472","48,955","49,630","48,953","82.44M","1.05%"</t>
  </si>
  <si>
    <t>04/30/2007,"48,956","49,222","49,482","48,744","155.71M","-0.56%"</t>
  </si>
  <si>
    <t>04/27/2007,"49,230","49,067","49,232","48,311","97.45M","0.33%"</t>
  </si>
  <si>
    <t>04/26/2007,"49,068","49,678","49,856","49,060","130.52M","-1.22%"</t>
  </si>
  <si>
    <t>04/25/2007,"49,676","49,072","49,816","49,072","139.46M","1.23%"</t>
  </si>
  <si>
    <t>04/24/2007,"49,071","49,162","49,259","48,602","85.15M","-0.19%"</t>
  </si>
  <si>
    <t>04/23/2007,"49,162","49,409","49,477","49,097","84.80M","-0.50%"</t>
  </si>
  <si>
    <t>04/20/2007,"49,408","48,763","49,459","48,763","155.98M","1.32%"</t>
  </si>
  <si>
    <t>04/19/2007,"48,762","48,705","48,837","47,917","168.34M","0.11%"</t>
  </si>
  <si>
    <t>04/18/2007,"48,710","48,760","49,339","48,456","190.93M","-0.09%"</t>
  </si>
  <si>
    <t>04/17/2007,"48,755","48,923","49,156","48,631","140.11M","-0.34%"</t>
  </si>
  <si>
    <t>04/16/2007,"48,921","47,925","49,022","47,925","155.06M","2.08%"</t>
  </si>
  <si>
    <t>04/13/2007,"47,926","47,347","47,968","47,267","122.91M","1.22%"</t>
  </si>
  <si>
    <t>04/12/2007,"47,347","46,941","47,389","46,506","117.21M","0.87%"</t>
  </si>
  <si>
    <t>04/11/2007,"46,939","47,173","47,573","46,680","169.05M","-0.50%"</t>
  </si>
  <si>
    <t>04/10/2007,"47,174","46,855","47,234","46,822","165.43M","0.68%"</t>
  </si>
  <si>
    <t>04/09/2007,"46,855","46,650","47,239","46,650","124.57M","0.45%"</t>
  </si>
  <si>
    <t>04/05/2007,"46,647","46,555","46,767","46,418","113.83M","0.20%"</t>
  </si>
  <si>
    <t>04/04/2007,"46,554","46,290","46,692","46,113","121.56M","0.57%"</t>
  </si>
  <si>
    <t>04/03/2007,"46,288","45,601","46,481","45,601","208.96M","1.52%"</t>
  </si>
  <si>
    <t>04/02/2007,"45,597","45,805","45,805","45,225","141.63M","-0.45%"</t>
  </si>
  <si>
    <t>03/30/2007,"45,805","45,355","45,805","45,138","124.97M","0.99%"</t>
  </si>
  <si>
    <t>03/29/2007,"45,355","44,493","45,570","44,493","134.40M","1.96%"</t>
  </si>
  <si>
    <t>03/28/2007,"44,484","45,204","45,204","44,315","132.18M","-1.60%"</t>
  </si>
  <si>
    <t>03/27/2007,"45,207","45,646","45,646","45,143","95.10M","-0.96%"</t>
  </si>
  <si>
    <t>03/26/2007,"45,645","45,533","45,712","44,965","78.42M","0.25%"</t>
  </si>
  <si>
    <t>03/23/2007,"45,533","45,425","45,759","45,168","82.31M","0.24%"</t>
  </si>
  <si>
    <t>03/22/2007,"45,424","45,631","45,950","45,272","139.70M","-0.45%"</t>
  </si>
  <si>
    <t>03/21/2007,"45,631","44,350","45,631","44,350","201.40M","2.89%"</t>
  </si>
  <si>
    <t>03/20/2007,"44,351","43,713","44,353","43,679","165.68M","1.46%"</t>
  </si>
  <si>
    <t>03/19/2007,"43,713","42,734","43,714","42,734","142.70M","2.30%"</t>
  </si>
  <si>
    <t>03/16/2007,"42,730","43,278","43,568","42,598","112.35M","-1.27%"</t>
  </si>
  <si>
    <t>03/15/2007,"43,278","43,289","43,573","42,951","136.95M","-0.02%"</t>
  </si>
  <si>
    <t>03/14/2007,"43,288","42,749","43,290","42,051","160.33M","1.26%"</t>
  </si>
  <si>
    <t>03/13/2007,"42,749","44,249","44,249","42,724","159.22M","-3.39%"</t>
  </si>
  <si>
    <t>03/12/2007,"44,249","44,133","44,406","43,845","116.19M","0.26%"</t>
  </si>
  <si>
    <t>03/09/2007,"44,133","43,466","44,173","43,466","129.01M","1.53%"</t>
  </si>
  <si>
    <t>03/08/2007,"43,466","42,672","43,726","42,672","85.35M","1.87%"</t>
  </si>
  <si>
    <t>03/07/2007,"42,667","43,224","43,396","42,660","128.35M","-1.27%"</t>
  </si>
  <si>
    <t>03/06/2007,"43,218","41,192","43,218","41,192","119.20M","4.95%"</t>
  </si>
  <si>
    <t>03/05/2007,"41,179","42,370","42,370","41,117","123.68M","-2.81%"</t>
  </si>
  <si>
    <t>03/02/2007,"42,370","43,518","43,518","42,297","199.57M","-2.64%"</t>
  </si>
  <si>
    <t>03/01/2007,"43,517","43,886","43,886","42,037","131.23M","-0.85%"</t>
  </si>
  <si>
    <t>02/28/2007,"43,892","43,150","43,923","43,122","176.10M","1.73%"</t>
  </si>
  <si>
    <t>02/27/2007,"43,145","46,190","46,190","42,571","189.35M","-6.63%"</t>
  </si>
  <si>
    <t>02/26/2007,"46,207","46,021","46,450","45,885","94.90M","0.42%"</t>
  </si>
  <si>
    <t>02/23/2007,"46,016","46,452","46,517","45,813","76.53M","-0.94%"</t>
  </si>
  <si>
    <t>02/22/2007,"46,452","46,097","46,752","46,097","121.58M","0.79%"</t>
  </si>
  <si>
    <t>02/21/2007,"46,090","45,849","46,095","45,558","73.07M","0.53%"</t>
  </si>
  <si>
    <t>02/20/2007,"45,849","45,955","45,966","45,614","107.39M","0.00%"</t>
  </si>
  <si>
    <t>02/16/2007,"45,849","45,955","45,966","45,614","107.39M","-0.23%"</t>
  </si>
  <si>
    <t>02/15/2007,"45,955","45,996","46,178","45,734","140.01M","-0.09%"</t>
  </si>
  <si>
    <t>02/14/2007,"45,996","45,198","46,106","45,198","232.27M","1.77%"</t>
  </si>
  <si>
    <t>02/13/2007,"45,197","43,932","45,197","43,932","116.71M","2.87%"</t>
  </si>
  <si>
    <t>02/12/2007,"43,935","44,286","44,464","43,850","94.84M","-0.79%"</t>
  </si>
  <si>
    <t>02/09/2007,"44,284","44,894","45,050","44,180","133.30M","-1.35%"</t>
  </si>
  <si>
    <t>02/08/2007,"44,892","44,585","44,892","44,070","124.66M","0.68%"</t>
  </si>
  <si>
    <t>02/07/2007,"44,588","45,352","45,425","44,488","114.29M","-1.68%"</t>
  </si>
  <si>
    <t>02/06/2007,"45,352","45,287","45,486","45,038","109.40M","0.15%"</t>
  </si>
  <si>
    <t>02/05/2007,"45,286","44,999","45,286","44,851","79.48M","0.64%"</t>
  </si>
  <si>
    <t>02/02/2007,"44,998","44,815","45,204","44,597","106.51M","0.41%"</t>
  </si>
  <si>
    <t>02/01/2007,"44,815","44,642","45,212","44,642","120.50M","0.39%"</t>
  </si>
  <si>
    <t>01/31/2007,"44,642","44,046","44,643","43,824","131.51M","1.36%"</t>
  </si>
  <si>
    <t>01/30/2007,"44,044","43,573","44,065","43,508","110.70M","1.08%"</t>
  </si>
  <si>
    <t>01/29/2007,"43,573","44,414","44,435","43,555","95.14M","-1.89%"</t>
  </si>
  <si>
    <t>01/26/2007,"44,412","44,687","44,687","43,870","102.46M","-0.62%"</t>
  </si>
  <si>
    <t>01/24/2007,"44,687","44,177","44,808","44,041","114.65M","1.15%"</t>
  </si>
  <si>
    <t>01/23/2007,"44,177","43,549","44,243","43,432","109.92M","1.43%"</t>
  </si>
  <si>
    <t>01/22/2007,"43,553","43,431","43,879","43,183","70.80M","0.29%"</t>
  </si>
  <si>
    <t>01/19/2007,"43,428","42,477","43,428","42,477","651.00M","2.24%"</t>
  </si>
  <si>
    <t>01/18/2007,"42,478","42,741","43,402","42,407","97.20M","-0.60%"</t>
  </si>
  <si>
    <t>01/17/2007,"42,735","42,626","42,930","42,252","73.00M","0.26%"</t>
  </si>
  <si>
    <t>01/16/2007,"42,624","42,916","42,916","42,415","93.09M","-0.69%"</t>
  </si>
  <si>
    <t>01/15/2007,"42,919","43,095","43,473","42,875","45.03M","-0.41%"</t>
  </si>
  <si>
    <t>01/12/2007,"43,095","42,669","43,188","42,526","96.84M","1.00%"</t>
  </si>
  <si>
    <t>01/11/2007,"42,670","42,336","43,128","41,940","84.17M","0.79%"</t>
  </si>
  <si>
    <t>01/10/2007,"42,336","42,001","42,336","41,266","110.76M","0.78%"</t>
  </si>
  <si>
    <t>01/09/2007,"42,007","42,831","43,001","41,438","112.99M","-1.92%"</t>
  </si>
  <si>
    <t>01/08/2007,"42,830","42,249","42,926","42,144","114.01M","1.38%"</t>
  </si>
  <si>
    <t>01/05/2007,"42,245","44,019","44,081","42,160","164.06M","-4.03%"</t>
  </si>
  <si>
    <t>01/04/2007,"44,020","44,442","44,442","43,623","86.58M","-0.96%"</t>
  </si>
  <si>
    <t>01/03/2007,"44,445","45,379","45,379","44,284","122.37M","-2.07%"</t>
  </si>
  <si>
    <t>01/02/2007,"45,383","44,476","45,388","44,476","75.56M","2.04%"</t>
  </si>
  <si>
    <t>02. DRE</t>
  </si>
  <si>
    <t>1T18</t>
  </si>
  <si>
    <t>2T18</t>
  </si>
  <si>
    <t>3T18</t>
  </si>
  <si>
    <t>4T18</t>
  </si>
  <si>
    <t>1T19</t>
  </si>
  <si>
    <t>2T19</t>
  </si>
  <si>
    <t>3T19</t>
  </si>
  <si>
    <t>4T19</t>
  </si>
  <si>
    <t>1T20</t>
  </si>
  <si>
    <t>2T20</t>
  </si>
  <si>
    <t>3T20</t>
  </si>
  <si>
    <t>4T20</t>
  </si>
  <si>
    <t>1T21</t>
  </si>
  <si>
    <t>2T21</t>
  </si>
  <si>
    <t>3T21</t>
  </si>
  <si>
    <t>4T21</t>
  </si>
  <si>
    <t>1T22</t>
  </si>
  <si>
    <t>2T22</t>
  </si>
  <si>
    <t>3T22</t>
  </si>
  <si>
    <t>4T22</t>
  </si>
  <si>
    <t>1T23</t>
  </si>
  <si>
    <t>2T23</t>
  </si>
  <si>
    <t>3T23</t>
  </si>
  <si>
    <t>4T23</t>
  </si>
  <si>
    <t>1T24</t>
  </si>
  <si>
    <t>2T24</t>
  </si>
  <si>
    <t>3T24</t>
  </si>
  <si>
    <t>4T24</t>
  </si>
  <si>
    <t>1T25</t>
  </si>
  <si>
    <t>2T25</t>
  </si>
  <si>
    <t>3T25</t>
  </si>
  <si>
    <t>4T25</t>
  </si>
  <si>
    <t>1T26</t>
  </si>
  <si>
    <t>2T26</t>
  </si>
  <si>
    <t>VIBRA ENERGIA - Consolidado</t>
  </si>
  <si>
    <t>(milhões)</t>
  </si>
  <si>
    <t>Receita de vendas de produtos e serviços prestados</t>
  </si>
  <si>
    <t>Marcação a mercado</t>
  </si>
  <si>
    <t>Custo dos produtos vendidos e serviços prestados</t>
  </si>
  <si>
    <t>Lucro bruto</t>
  </si>
  <si>
    <t>Despesas operacionais</t>
  </si>
  <si>
    <t>Vendas</t>
  </si>
  <si>
    <t>Perdas de crédito esperadas</t>
  </si>
  <si>
    <t>Gerais e administrativas</t>
  </si>
  <si>
    <t>Tributárias</t>
  </si>
  <si>
    <t>Outras receitas (despesas), líquidas</t>
  </si>
  <si>
    <t xml:space="preserve">Lucro antes do resultado financeiro, participação e impostos </t>
  </si>
  <si>
    <t>Financeiras</t>
  </si>
  <si>
    <t>Despesas</t>
  </si>
  <si>
    <t>Receitas</t>
  </si>
  <si>
    <t xml:space="preserve">Variações cambiais e monetárias, líquidas </t>
  </si>
  <si>
    <t>Resultado de participações em investimentos</t>
  </si>
  <si>
    <t>Lucro antes dos impostos</t>
  </si>
  <si>
    <t>Imposto de renda e contribuição social</t>
  </si>
  <si>
    <t>Corrente</t>
  </si>
  <si>
    <t>Diferido</t>
  </si>
  <si>
    <t>Lucro líquido do período</t>
  </si>
  <si>
    <t>Resultado, básico e diluído por ação  - R$</t>
  </si>
  <si>
    <t>Variação do valor justo dos contratos futuros de comercialização de energia e Trading (a)</t>
  </si>
  <si>
    <t>Opções de compra</t>
  </si>
  <si>
    <t>MtM de Instrumentos financeiros (Hedge Cambial) (b)</t>
  </si>
  <si>
    <t>Derivativos embutidos</t>
  </si>
  <si>
    <t>Outras Despesas Não recorrentes (c)</t>
  </si>
  <si>
    <t>Efeito IR/CSLL s/ Ajustes</t>
  </si>
  <si>
    <t>Lucro Líquido Ajustado</t>
  </si>
  <si>
    <t>04. DFC</t>
  </si>
  <si>
    <t>Atividade Operacional</t>
  </si>
  <si>
    <t>Lucro Líquido do período</t>
  </si>
  <si>
    <t>Ajustes</t>
  </si>
  <si>
    <t>Depreciação e amortização</t>
  </si>
  <si>
    <t>Perda no valor de recuperação de ativos - Impairment</t>
  </si>
  <si>
    <t>Resultado com alienação / baixas de ativos</t>
  </si>
  <si>
    <t>Perdas de crédito esperadas, líquidas de reversão</t>
  </si>
  <si>
    <t>Apropriação/baixas das bonificações antecipadas concedidas a clientes</t>
  </si>
  <si>
    <t>Apropriação de seguros, aluguéis e outros</t>
  </si>
  <si>
    <t>Juros, variações cambiais e monetárias, líquidas</t>
  </si>
  <si>
    <t>Resultado valor justo instrumentos financeiros derivativos</t>
  </si>
  <si>
    <t>Reversão Earnout - Participação Societária</t>
  </si>
  <si>
    <t>Valor justo ativo mantido para venda</t>
  </si>
  <si>
    <t>Despesa com planos de pensão e saúde</t>
  </si>
  <si>
    <t>Provisão para processos judiciais e administrativos, líquida de reversão</t>
  </si>
  <si>
    <t>Provisão para incentivo ao desligamento voluntário</t>
  </si>
  <si>
    <t>Provisão abono por repactuação salarial</t>
  </si>
  <si>
    <t>Provisão para acordos extrajudiciais</t>
  </si>
  <si>
    <t>Reversão perda no valor de  recuperação de ativos - Impairment</t>
  </si>
  <si>
    <t>Provisão para Créditos de Descarbonização (CBIOS)</t>
  </si>
  <si>
    <t>Ganho em processo contra o Estado de Goiás</t>
  </si>
  <si>
    <t>Recuperação de PIS e COFINS - exclusão de ICMS da base de cálculo</t>
  </si>
  <si>
    <t>Créditos de ICMS - Fim da definitividade - Substituição Tributária</t>
  </si>
  <si>
    <t>Ganho com indenização contrato de concessão</t>
  </si>
  <si>
    <t>Provisão de prêmios e incentivos</t>
  </si>
  <si>
    <t>Créditos de PIS COFINS</t>
  </si>
  <si>
    <t>Crédito PIS Indébito tributário-semestralidade</t>
  </si>
  <si>
    <t>Crédito de PIS COFINS LC 192</t>
  </si>
  <si>
    <t>Provisão para perda de recuperabilidade de impostos</t>
  </si>
  <si>
    <t>Ganho decorrente de relação contratual preexistente (aquisição de controle)</t>
  </si>
  <si>
    <t>Remensuração de participação societária (aquisição de controle)</t>
  </si>
  <si>
    <t>Valor justo investimento mantido para venda</t>
  </si>
  <si>
    <t>Crédito de IPI sobre produtos imunes</t>
  </si>
  <si>
    <t>Outros ajustes</t>
  </si>
  <si>
    <t>Redução (aumento) de ativos e aumento (redução) de passivos</t>
  </si>
  <si>
    <t>Contas a receber</t>
  </si>
  <si>
    <t>Estoques</t>
  </si>
  <si>
    <t>Bonificações antecipadas concedidas a clientes</t>
  </si>
  <si>
    <t>Despesas antecipadas</t>
  </si>
  <si>
    <t>Depósitos Judiciais</t>
  </si>
  <si>
    <t>Aquisição de Créditos de Descarbonização (CBIOS)</t>
  </si>
  <si>
    <t>Fornecedores</t>
  </si>
  <si>
    <t>Imposto de renda e contribuição social pagos</t>
  </si>
  <si>
    <t>Impostos, taxas e contribuições</t>
  </si>
  <si>
    <t>Planos de pensão e de saúde</t>
  </si>
  <si>
    <t>Plano de incentivo ao desligamento voluntário</t>
  </si>
  <si>
    <t>Programas de desligamento e reestruturação</t>
  </si>
  <si>
    <t>Pagamento de prêmios e incentivos</t>
  </si>
  <si>
    <t>Pagamentos de processos judiciais e administrativos</t>
  </si>
  <si>
    <t>Adiantamentos de clientes</t>
  </si>
  <si>
    <t>Adiantamentos a fornecedores</t>
  </si>
  <si>
    <t>Pagamento para acordos extrajudiciais</t>
  </si>
  <si>
    <t>Outros ativos e passivos, líquidos</t>
  </si>
  <si>
    <t>Caixa líquido gerado pelas atividades operacionais</t>
  </si>
  <si>
    <t>Atividades de investimentos</t>
  </si>
  <si>
    <t>Desembolsos por aquisições de imobilizados e intangíveis</t>
  </si>
  <si>
    <t>Desembolsos por aquisições/aportes de participações societárias</t>
  </si>
  <si>
    <t>Recebimentos pela venda de ativos</t>
  </si>
  <si>
    <t>Investimentos em TVM</t>
  </si>
  <si>
    <t>Dividendos recebidos</t>
  </si>
  <si>
    <t>Recebimentos de empréstimos concedidos</t>
  </si>
  <si>
    <t>Empréstimos concedidos</t>
  </si>
  <si>
    <t>Ressarcimento de preço de compra Energea</t>
  </si>
  <si>
    <t>Redução de capital em participações societárias</t>
  </si>
  <si>
    <t>Outros Investimentos</t>
  </si>
  <si>
    <t>Aquisição de controlada, líquido do caixa adquirido no consolidado</t>
  </si>
  <si>
    <t>Disponibilidades no início do exercício de empresas incluídas no processo de consolidação</t>
  </si>
  <si>
    <t>Efeito caixa decorrente da perda de controle de participação</t>
  </si>
  <si>
    <t>Caixa líquido (utilizado) pelas atividades de investimentos</t>
  </si>
  <si>
    <t>Atividades de financiamentos</t>
  </si>
  <si>
    <t>Financiamentos</t>
  </si>
  <si>
    <t>Captações</t>
  </si>
  <si>
    <t>Amortizações de principal</t>
  </si>
  <si>
    <t>Amortizações de juros</t>
  </si>
  <si>
    <t>Dividendos e Juros sobre capital próprio pagos</t>
  </si>
  <si>
    <t>Arrendamentos</t>
  </si>
  <si>
    <t>Pagamentos de principal</t>
  </si>
  <si>
    <t>Pagamentos de juros</t>
  </si>
  <si>
    <t>Cessões de direitos creditórios - FIDC-NP/ Programa de Recompra Ações</t>
  </si>
  <si>
    <t>Depósitos e aplicações restritas</t>
  </si>
  <si>
    <t>Resgate depósitos e aplicações restritas</t>
  </si>
  <si>
    <t>Redução de capital de acionistas não controladores</t>
  </si>
  <si>
    <t>Contratos de swaps vinculados a operações de empréstimos</t>
  </si>
  <si>
    <t>Pagamentos de ajustes em contratos</t>
  </si>
  <si>
    <t>Recebimentos de ajustes em contratos</t>
  </si>
  <si>
    <t>Caixa líquido gerado (utilizado) nas atividades de financiamentos</t>
  </si>
  <si>
    <t>Efeito de variação cambial sobre caixas e equivalentes de Caixa</t>
  </si>
  <si>
    <t>Variação líquida de caixa e equivalentes de caixa no período</t>
  </si>
  <si>
    <t>Caixa e equivalentes de caixa no início do período</t>
  </si>
  <si>
    <t>Caixa e equivalentes de caixa no fim do período</t>
  </si>
  <si>
    <t>11. Endividamento</t>
  </si>
  <si>
    <t>Financiamento de fornecimento de produtos</t>
  </si>
  <si>
    <t>Arrendamentos mercantis</t>
  </si>
  <si>
    <t>Dívida Bruta Consolidada</t>
  </si>
  <si>
    <t>SWAP</t>
  </si>
  <si>
    <t>Dívida Bruta Ajustada</t>
  </si>
  <si>
    <t>Caixa e equivalentes de caixa</t>
  </si>
  <si>
    <t>Caixa e aplicações restritas</t>
  </si>
  <si>
    <t>Debêntures</t>
  </si>
  <si>
    <t>Dívida Líquida Consolidada</t>
  </si>
  <si>
    <t>Ebitda Ajustado LTM</t>
  </si>
  <si>
    <t>Dívida Líq. / Ebitda Ajustado</t>
  </si>
  <si>
    <t>Custo médio da dívida acum. (CDI+ %)</t>
  </si>
  <si>
    <t>Prazo médio da dívida (anos)</t>
  </si>
  <si>
    <t>CDI</t>
  </si>
  <si>
    <t>IPCA (m-1)*</t>
  </si>
  <si>
    <t>USDBRL</t>
  </si>
  <si>
    <t>* utilizado para cálculo do custo da dívida pois não há o índice realizado do mês vigente</t>
  </si>
  <si>
    <t>08. Investimentos (CAPEX)</t>
  </si>
  <si>
    <t>1T17</t>
  </si>
  <si>
    <t>2T17</t>
  </si>
  <si>
    <t>3T17</t>
  </si>
  <si>
    <t>4T17</t>
  </si>
  <si>
    <t>Capex</t>
  </si>
  <si>
    <t>Capex Comerc</t>
  </si>
  <si>
    <t>Número total de postos de serviços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</si>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</sst>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\(#,##0\);&quot;-&quot;"/>
    <numFmt numFmtId="165" formatCode="#,##0.00;\(#,##0.00\);&quot;-&quot;"/>
    <numFmt numFmtId="166" formatCode="#,##0.0\x;\(#,##0.0\x\);&quot;-&quot;"/>
    <numFmt numFmtId="167" formatCode="#,##0.0;\(#,##0.0\);&quot;-&quot;"/>
    <numFmt numFmtId="168" formatCode="0.0%"/>
    <numFmt numFmtId="169" formatCode="#,##0.0000;\(#,##0.0000\);&quot;-&quot;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0"/>
      <color theme="1" tint="0.499984740745262"/>
      <name val="Calibri"/>
      <family val="2"/>
      <scheme val="minor"/>
    </font>
    <font>
      <sz val="9"/>
      <color indexed="81"/>
      <name val="Segoe UI"/>
      <charset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14" fontId="0" fillId="0" borderId="0" xfId="0" applyNumberFormat="1"/>
    <xf numFmtId="0" fontId="0" fillId="2" borderId="0" xfId="0" applyFill="1"/>
    <xf numFmtId="0" fontId="2" fillId="3" borderId="0" xfId="0" applyFont="1" applyFill="1" applyAlignment="1">
      <alignment horizontal="left"/>
    </xf>
    <xf numFmtId="0" fontId="4" fillId="3" borderId="0" xfId="0" applyFont="1" applyFill="1" applyAlignment="1">
      <alignment horizontal="center"/>
    </xf>
    <xf numFmtId="0" fontId="5" fillId="2" borderId="0" xfId="0" applyFont="1" applyFill="1"/>
    <xf numFmtId="0" fontId="0" fillId="4" borderId="0" xfId="0" applyFill="1"/>
    <xf numFmtId="164" fontId="0" fillId="4" borderId="0" xfId="0" applyNumberFormat="1" applyFill="1" applyAlignment="1">
      <alignment horizontal="center"/>
    </xf>
    <xf numFmtId="0" fontId="0" fillId="2" borderId="0" xfId="0" applyFill="1" applyAlignment="1">
      <alignment horizontal="left"/>
    </xf>
    <xf numFmtId="164" fontId="0" fillId="2" borderId="0" xfId="0" applyNumberFormat="1" applyFill="1" applyAlignment="1">
      <alignment horizontal="center"/>
    </xf>
    <xf numFmtId="0" fontId="3" fillId="2" borderId="0" xfId="0" applyFont="1" applyFill="1" applyAlignment="1">
      <alignment horizontal="left"/>
    </xf>
    <xf numFmtId="164" fontId="3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left" indent="1"/>
    </xf>
    <xf numFmtId="0" fontId="0" fillId="2" borderId="0" xfId="0" applyFill="1" applyAlignment="1">
      <alignment horizontal="left" indent="2"/>
    </xf>
    <xf numFmtId="0" fontId="3" fillId="2" borderId="1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left"/>
    </xf>
    <xf numFmtId="164" fontId="3" fillId="5" borderId="1" xfId="0" applyNumberFormat="1" applyFont="1" applyFill="1" applyBorder="1" applyAlignment="1">
      <alignment horizontal="center"/>
    </xf>
    <xf numFmtId="165" fontId="0" fillId="4" borderId="0" xfId="0" applyNumberFormat="1" applyFill="1" applyAlignment="1">
      <alignment horizontal="center"/>
    </xf>
    <xf numFmtId="0" fontId="0" fillId="5" borderId="0" xfId="0" applyFill="1" applyAlignment="1">
      <alignment horizontal="left" indent="1"/>
    </xf>
    <xf numFmtId="164" fontId="0" fillId="5" borderId="0" xfId="0" applyNumberFormat="1" applyFill="1" applyAlignment="1">
      <alignment horizontal="center"/>
    </xf>
    <xf numFmtId="0" fontId="3" fillId="2" borderId="0" xfId="0" applyFont="1" applyFill="1" applyAlignment="1">
      <alignment horizontal="left" indent="1"/>
    </xf>
    <xf numFmtId="166" fontId="0" fillId="2" borderId="0" xfId="0" applyNumberFormat="1" applyFill="1" applyAlignment="1">
      <alignment horizontal="center"/>
    </xf>
    <xf numFmtId="0" fontId="0" fillId="5" borderId="0" xfId="0" applyFill="1"/>
    <xf numFmtId="10" fontId="3" fillId="5" borderId="1" xfId="1" applyNumberFormat="1" applyFont="1" applyFill="1" applyBorder="1" applyAlignment="1">
      <alignment horizontal="center"/>
    </xf>
    <xf numFmtId="167" fontId="3" fillId="2" borderId="1" xfId="0" applyNumberFormat="1" applyFont="1" applyFill="1" applyBorder="1" applyAlignment="1">
      <alignment horizontal="center"/>
    </xf>
    <xf numFmtId="168" fontId="0" fillId="2" borderId="0" xfId="1" applyNumberFormat="1" applyFont="1" applyFill="1" applyAlignment="1">
      <alignment horizontal="center"/>
    </xf>
    <xf numFmtId="169" fontId="0" fillId="2" borderId="0" xfId="0" applyNumberFormat="1" applyFill="1" applyAlignment="1">
      <alignment horizontal="center"/>
    </xf>
    <xf numFmtId="0" fontId="6" fillId="2" borderId="0" xfId="0" applyFont="1" applyFill="1" applyAlignment="1">
      <alignment horizontal="left" indent="1"/>
    </xf>
    <xf numFmtId="10" fontId="0" fillId="2" borderId="0" xfId="0" applyNumberFormat="1" applyFill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Capa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Capa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Capa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Capa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9525</xdr:colOff>
      <xdr:row>0</xdr:row>
      <xdr:rowOff>0</xdr:rowOff>
    </xdr:from>
    <xdr:to>
      <xdr:col>1</xdr:col>
      <xdr:colOff>960753</xdr:colOff>
      <xdr:row>1</xdr:row>
      <xdr:rowOff>82675</xdr:rowOff>
    </xdr:to>
    <xdr:pic>
      <xdr:nvPicPr>
        <xdr:cNvPr id="2" name="Imagem 1" descr="Radio Transmissor – 4-Botões c/ Flip – Acimatic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B4AB5E-A8F5-4B2E-9985-1A457E6C5E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0"/>
          <a:ext cx="951228" cy="27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38</xdr:col>
      <xdr:colOff>317500</xdr:colOff>
      <xdr:row>0</xdr:row>
      <xdr:rowOff>0</xdr:rowOff>
    </xdr:from>
    <xdr:ext cx="897878" cy="360000"/>
    <xdr:pic>
      <xdr:nvPicPr>
        <xdr:cNvPr id="3" name="Imagem 5">
          <a:extLst>
            <a:ext uri="{FF2B5EF4-FFF2-40B4-BE49-F238E27FC236}">
              <a16:creationId xmlns:a16="http://schemas.microsoft.com/office/drawing/2014/main" id="{2321164F-B238-4C17-A401-7BD3F124A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892375" y="0"/>
          <a:ext cx="897878" cy="3600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0</xdr:rowOff>
    </xdr:from>
    <xdr:to>
      <xdr:col>1</xdr:col>
      <xdr:colOff>944878</xdr:colOff>
      <xdr:row>1</xdr:row>
      <xdr:rowOff>85850</xdr:rowOff>
    </xdr:to>
    <xdr:pic>
      <xdr:nvPicPr>
        <xdr:cNvPr id="2" name="Imagem 1" descr="Radio Transmissor – 4-Botões c/ Flip – Acimatic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51747F-3400-4B12-AB89-8C473B42F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0"/>
          <a:ext cx="944878" cy="27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38</xdr:col>
      <xdr:colOff>298450</xdr:colOff>
      <xdr:row>0</xdr:row>
      <xdr:rowOff>0</xdr:rowOff>
    </xdr:from>
    <xdr:ext cx="916825" cy="360000"/>
    <xdr:pic>
      <xdr:nvPicPr>
        <xdr:cNvPr id="3" name="Imagem 5">
          <a:extLst>
            <a:ext uri="{FF2B5EF4-FFF2-40B4-BE49-F238E27FC236}">
              <a16:creationId xmlns:a16="http://schemas.microsoft.com/office/drawing/2014/main" id="{949D5AD5-4E6F-43CA-AE74-6BEBE6137E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406350" y="0"/>
          <a:ext cx="916825" cy="3600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0</xdr:rowOff>
    </xdr:from>
    <xdr:to>
      <xdr:col>1</xdr:col>
      <xdr:colOff>941703</xdr:colOff>
      <xdr:row>1</xdr:row>
      <xdr:rowOff>82675</xdr:rowOff>
    </xdr:to>
    <xdr:pic>
      <xdr:nvPicPr>
        <xdr:cNvPr id="2" name="Imagem 1" descr="Radio Transmissor – 4-Botões c/ Flip – Acimatic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F3AA54-8279-47B1-AF88-7D52F63B00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0"/>
          <a:ext cx="941703" cy="27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38</xdr:col>
      <xdr:colOff>311150</xdr:colOff>
      <xdr:row>0</xdr:row>
      <xdr:rowOff>0</xdr:rowOff>
    </xdr:from>
    <xdr:ext cx="907425" cy="363828"/>
    <xdr:pic>
      <xdr:nvPicPr>
        <xdr:cNvPr id="3" name="Imagem 5">
          <a:extLst>
            <a:ext uri="{FF2B5EF4-FFF2-40B4-BE49-F238E27FC236}">
              <a16:creationId xmlns:a16="http://schemas.microsoft.com/office/drawing/2014/main" id="{CC467939-F8A3-4103-B1E0-552CEE8EB7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714200" y="0"/>
          <a:ext cx="907425" cy="363828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6350</xdr:colOff>
      <xdr:row>0</xdr:row>
      <xdr:rowOff>0</xdr:rowOff>
    </xdr:from>
    <xdr:to>
      <xdr:col>1</xdr:col>
      <xdr:colOff>954403</xdr:colOff>
      <xdr:row>1</xdr:row>
      <xdr:rowOff>85850</xdr:rowOff>
    </xdr:to>
    <xdr:pic>
      <xdr:nvPicPr>
        <xdr:cNvPr id="2" name="Imagem 1" descr="Radio Transmissor – 4-Botões c/ Flip – Acimatic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CE1545-5674-42DF-A7D0-A01A4BE1E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850" y="0"/>
          <a:ext cx="948053" cy="27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35</xdr:col>
      <xdr:colOff>304800</xdr:colOff>
      <xdr:row>0</xdr:row>
      <xdr:rowOff>0</xdr:rowOff>
    </xdr:from>
    <xdr:ext cx="907425" cy="363828"/>
    <xdr:pic>
      <xdr:nvPicPr>
        <xdr:cNvPr id="3" name="Imagem 5">
          <a:extLst>
            <a:ext uri="{FF2B5EF4-FFF2-40B4-BE49-F238E27FC236}">
              <a16:creationId xmlns:a16="http://schemas.microsoft.com/office/drawing/2014/main" id="{AE10C475-D684-4E43-9F29-C670205054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193375" y="0"/>
          <a:ext cx="907425" cy="363828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cumentos/Planilhas%20por%20Segmento%202T26.xlsm" TargetMode="External"/><Relationship Id="rId2" Type="http://schemas.openxmlformats.org/officeDocument/2006/relationships/externalLinkPath" Target="file:///C:\python\valuation\documentos\Planilhas%20por%20Segmento%202T26.xlsm" TargetMode="External"/><Relationship Id="rId1" Type="http://schemas.openxmlformats.org/officeDocument/2006/relationships/externalLinkPath" Target="/python/valuation/documentos/Planilhas%20por%20Segmento%202T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apa"/>
      <sheetName val="01. Volume"/>
      <sheetName val="02. DRE"/>
      <sheetName val="03. Balanço Patrimonial"/>
      <sheetName val="04. DFC"/>
      <sheetName val="05. Resultado por Segmento"/>
      <sheetName val="06. Reconciliação"/>
      <sheetName val="07. Reconciliação EBITDA"/>
      <sheetName val="08. Investimentos (CAPEX)"/>
      <sheetName val="09. Despesas por natureza"/>
      <sheetName val="10. Reconciliação Despesas Oper"/>
      <sheetName val="11. Endividamento"/>
      <sheetName val="12. ESG"/>
      <sheetName val="13. Dividendos"/>
      <sheetName val="14. Consenso"/>
      <sheetName val="15. Ressalva"/>
    </sheetNames>
    <sheetDataSet>
      <sheetData sheetId="0"/>
      <sheetData sheetId="1"/>
      <sheetData sheetId="2"/>
      <sheetData sheetId="3">
        <row r="10">
          <cell r="AI10">
            <v>5473</v>
          </cell>
          <cell r="AJ10">
            <v>4351</v>
          </cell>
          <cell r="AK10">
            <v>5936</v>
          </cell>
          <cell r="AL10">
            <v>3647</v>
          </cell>
          <cell r="AM10">
            <v>5107</v>
          </cell>
          <cell r="AN10">
            <v>5784</v>
          </cell>
        </row>
        <row r="11">
          <cell r="AI11">
            <v>70</v>
          </cell>
          <cell r="AJ11">
            <v>17</v>
          </cell>
          <cell r="AK11">
            <v>57</v>
          </cell>
          <cell r="AL11">
            <v>26</v>
          </cell>
          <cell r="AM11">
            <v>72</v>
          </cell>
          <cell r="AN11">
            <v>17</v>
          </cell>
        </row>
        <row r="12">
          <cell r="AI12">
            <v>34</v>
          </cell>
          <cell r="AJ12">
            <v>11</v>
          </cell>
          <cell r="AK12">
            <v>17</v>
          </cell>
          <cell r="AL12">
            <v>12</v>
          </cell>
          <cell r="AM12">
            <v>18</v>
          </cell>
          <cell r="AN12">
            <v>111</v>
          </cell>
        </row>
        <row r="25">
          <cell r="AI25">
            <v>108</v>
          </cell>
          <cell r="AJ25">
            <v>109</v>
          </cell>
          <cell r="AK25">
            <v>106</v>
          </cell>
          <cell r="AL25">
            <v>110</v>
          </cell>
          <cell r="AM25">
            <v>112</v>
          </cell>
          <cell r="AN25">
            <v>116</v>
          </cell>
        </row>
        <row r="26">
          <cell r="AI26">
            <v>325</v>
          </cell>
          <cell r="AJ26">
            <v>345</v>
          </cell>
          <cell r="AK26">
            <v>351</v>
          </cell>
          <cell r="AL26">
            <v>351</v>
          </cell>
          <cell r="AM26">
            <v>360</v>
          </cell>
          <cell r="AN26">
            <v>266</v>
          </cell>
        </row>
        <row r="46">
          <cell r="AI46">
            <v>267</v>
          </cell>
          <cell r="AJ46">
            <v>277</v>
          </cell>
          <cell r="AK46">
            <v>0</v>
          </cell>
          <cell r="AL46">
            <v>0</v>
          </cell>
          <cell r="AM46">
            <v>738</v>
          </cell>
          <cell r="AN46">
            <v>0</v>
          </cell>
        </row>
        <row r="47">
          <cell r="AI47">
            <v>3462</v>
          </cell>
          <cell r="AJ47">
            <v>3130</v>
          </cell>
          <cell r="AK47">
            <v>2242</v>
          </cell>
          <cell r="AL47">
            <v>1132</v>
          </cell>
          <cell r="AM47">
            <v>1954</v>
          </cell>
          <cell r="AN47">
            <v>1128</v>
          </cell>
        </row>
        <row r="50">
          <cell r="AI50">
            <v>98</v>
          </cell>
          <cell r="AJ50">
            <v>99</v>
          </cell>
          <cell r="AM50">
            <v>109</v>
          </cell>
          <cell r="AN50">
            <v>123</v>
          </cell>
        </row>
        <row r="68">
          <cell r="AI68">
            <v>22222</v>
          </cell>
          <cell r="AJ68">
            <v>21580</v>
          </cell>
          <cell r="AK68">
            <v>22017</v>
          </cell>
          <cell r="AL68">
            <v>21233</v>
          </cell>
          <cell r="AM68">
            <v>20425</v>
          </cell>
          <cell r="AN68">
            <v>19839</v>
          </cell>
        </row>
        <row r="69">
          <cell r="AI69">
            <v>568</v>
          </cell>
          <cell r="AJ69">
            <v>610</v>
          </cell>
          <cell r="AM69">
            <v>771</v>
          </cell>
          <cell r="AN69">
            <v>836</v>
          </cell>
        </row>
      </sheetData>
      <sheetData sheetId="4">
        <row r="50">
          <cell r="AL50">
            <v>-229</v>
          </cell>
          <cell r="AM50">
            <v>-103</v>
          </cell>
          <cell r="AN50">
            <v>-113</v>
          </cell>
        </row>
        <row r="69">
          <cell r="AL69">
            <v>-359</v>
          </cell>
          <cell r="AM69">
            <v>-225</v>
          </cell>
          <cell r="AN69">
            <v>-235</v>
          </cell>
        </row>
      </sheetData>
      <sheetData sheetId="5">
        <row r="17">
          <cell r="AM17">
            <v>1472</v>
          </cell>
          <cell r="AN17">
            <v>1806</v>
          </cell>
          <cell r="AO17">
            <v>2620</v>
          </cell>
          <cell r="AP17">
            <v>3204</v>
          </cell>
          <cell r="AQ17">
            <v>4499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Vitor Filpo" id="{E38732A4-F393-449D-BBEB-036E313529E2}" userId="ca874364fcb6ddea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B25" dT="2026-09-07T00:26:33.47" personId="{E38732A4-F393-449D-BBEB-036E313529E2}" id="{14438BE6-2258-4742-88A1-C9350EDCFEDA}">
    <text>Kd Custo Contratual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4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1661A-3FDA-440D-9ABC-E84C23014141}">
  <sheetPr>
    <tabColor theme="5"/>
  </sheetPr>
  <dimension ref="A1:AN42"/>
  <sheetViews>
    <sheetView workbookViewId="0">
      <pane xSplit="2" ySplit="3" topLeftCell="AD22" activePane="bottomRight" state="frozen"/>
      <selection activeCell="AG12" sqref="AG12"/>
      <selection pane="topRight" activeCell="AG12" sqref="AG12"/>
      <selection pane="bottomLeft" activeCell="AG12" sqref="AG12"/>
      <selection pane="bottomRight" activeCell="AG12" sqref="AG12"/>
    </sheetView>
  </sheetViews>
  <sheetFormatPr defaultRowHeight="15" customHeight="1" zeroHeight="1" x14ac:dyDescent="0.25"/>
  <cols>
    <col min="1" max="1" width="2.85546875" bestFit="1" customWidth="1"/>
    <col min="2" max="2" width="81.5703125" bestFit="1" customWidth="1"/>
  </cols>
  <sheetData>
    <row r="1" spans="1:40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 x14ac:dyDescent="0.25">
      <c r="A3" s="2"/>
      <c r="B3" s="3" t="s">
        <v>7054</v>
      </c>
      <c r="C3" s="4">
        <v>2014</v>
      </c>
      <c r="D3" s="4">
        <v>2015</v>
      </c>
      <c r="E3" s="4">
        <v>2016</v>
      </c>
      <c r="F3" s="4">
        <v>2017</v>
      </c>
      <c r="G3" s="4" t="s">
        <v>7055</v>
      </c>
      <c r="H3" s="4" t="s">
        <v>7056</v>
      </c>
      <c r="I3" s="4" t="s">
        <v>7057</v>
      </c>
      <c r="J3" s="4" t="s">
        <v>7058</v>
      </c>
      <c r="K3" s="4" t="s">
        <v>7059</v>
      </c>
      <c r="L3" s="4" t="s">
        <v>7060</v>
      </c>
      <c r="M3" s="4" t="s">
        <v>7061</v>
      </c>
      <c r="N3" s="4" t="s">
        <v>7062</v>
      </c>
      <c r="O3" s="4" t="s">
        <v>7063</v>
      </c>
      <c r="P3" s="4" t="s">
        <v>7064</v>
      </c>
      <c r="Q3" s="4" t="s">
        <v>7065</v>
      </c>
      <c r="R3" s="4" t="s">
        <v>7066</v>
      </c>
      <c r="S3" s="4" t="s">
        <v>7067</v>
      </c>
      <c r="T3" s="4" t="s">
        <v>7068</v>
      </c>
      <c r="U3" s="4" t="s">
        <v>7069</v>
      </c>
      <c r="V3" s="4" t="s">
        <v>7070</v>
      </c>
      <c r="W3" s="4" t="s">
        <v>7071</v>
      </c>
      <c r="X3" s="4" t="s">
        <v>7072</v>
      </c>
      <c r="Y3" s="4" t="s">
        <v>7073</v>
      </c>
      <c r="Z3" s="4" t="s">
        <v>7074</v>
      </c>
      <c r="AA3" s="4" t="s">
        <v>7075</v>
      </c>
      <c r="AB3" s="4" t="s">
        <v>7076</v>
      </c>
      <c r="AC3" s="4" t="s">
        <v>7077</v>
      </c>
      <c r="AD3" s="4" t="s">
        <v>7078</v>
      </c>
      <c r="AE3" s="4" t="s">
        <v>7079</v>
      </c>
      <c r="AF3" s="4" t="s">
        <v>7080</v>
      </c>
      <c r="AG3" s="4" t="s">
        <v>7081</v>
      </c>
      <c r="AH3" s="4" t="s">
        <v>7082</v>
      </c>
      <c r="AI3" s="4" t="s">
        <v>7083</v>
      </c>
      <c r="AJ3" s="4" t="s">
        <v>7084</v>
      </c>
      <c r="AK3" s="4" t="s">
        <v>7085</v>
      </c>
      <c r="AL3" s="4" t="s">
        <v>7086</v>
      </c>
      <c r="AM3" s="4" t="s">
        <v>7087</v>
      </c>
      <c r="AN3" s="4" t="s">
        <v>7088</v>
      </c>
    </row>
    <row r="4" spans="1:40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</row>
    <row r="5" spans="1:40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</row>
    <row r="6" spans="1:40" x14ac:dyDescent="0.25">
      <c r="A6" s="2"/>
      <c r="B6" s="5" t="s">
        <v>7089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</row>
    <row r="7" spans="1:40" x14ac:dyDescent="0.25">
      <c r="A7" s="2"/>
      <c r="B7" s="6" t="s">
        <v>7090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</row>
    <row r="8" spans="1:40" ht="5.0999999999999996" customHeight="1" x14ac:dyDescent="0.25">
      <c r="A8" s="2"/>
      <c r="B8" s="8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</row>
    <row r="9" spans="1:40" x14ac:dyDescent="0.25">
      <c r="A9" s="2"/>
      <c r="B9" s="10" t="s">
        <v>7091</v>
      </c>
      <c r="C9" s="11">
        <v>98528</v>
      </c>
      <c r="D9" s="11">
        <v>97280</v>
      </c>
      <c r="E9" s="11">
        <v>86637</v>
      </c>
      <c r="F9" s="11">
        <v>84567</v>
      </c>
      <c r="G9" s="11">
        <v>22499</v>
      </c>
      <c r="H9" s="11">
        <v>23597</v>
      </c>
      <c r="I9" s="11">
        <v>26455</v>
      </c>
      <c r="J9" s="11">
        <v>25219</v>
      </c>
      <c r="K9" s="11">
        <v>22432</v>
      </c>
      <c r="L9" s="11">
        <v>24045</v>
      </c>
      <c r="M9" s="11">
        <v>24360</v>
      </c>
      <c r="N9" s="11">
        <v>24148</v>
      </c>
      <c r="O9" s="11">
        <v>21188</v>
      </c>
      <c r="P9" s="11">
        <v>14882</v>
      </c>
      <c r="Q9" s="11">
        <v>21137</v>
      </c>
      <c r="R9" s="11">
        <v>24294</v>
      </c>
      <c r="S9" s="11">
        <v>26133</v>
      </c>
      <c r="T9" s="11">
        <v>29023</v>
      </c>
      <c r="U9" s="11">
        <v>35694</v>
      </c>
      <c r="V9" s="11">
        <v>39271</v>
      </c>
      <c r="W9" s="11">
        <v>38381</v>
      </c>
      <c r="X9" s="11">
        <v>47154</v>
      </c>
      <c r="Y9" s="11">
        <v>50834</v>
      </c>
      <c r="Z9" s="11">
        <v>45077</v>
      </c>
      <c r="AA9" s="11">
        <v>39037</v>
      </c>
      <c r="AB9" s="11">
        <v>37184</v>
      </c>
      <c r="AC9" s="11">
        <v>43063</v>
      </c>
      <c r="AD9" s="11">
        <v>43663</v>
      </c>
      <c r="AE9" s="11">
        <v>39599</v>
      </c>
      <c r="AF9" s="11">
        <v>42109</v>
      </c>
      <c r="AG9" s="11">
        <v>46271</v>
      </c>
      <c r="AH9" s="11">
        <v>44293</v>
      </c>
      <c r="AI9" s="11">
        <v>44906</v>
      </c>
      <c r="AJ9" s="11">
        <v>45609</v>
      </c>
      <c r="AK9" s="11">
        <v>48423</v>
      </c>
      <c r="AL9" s="11">
        <v>50318</v>
      </c>
      <c r="AM9" s="11">
        <v>48100</v>
      </c>
      <c r="AN9" s="11">
        <v>57284</v>
      </c>
    </row>
    <row r="10" spans="1:40" x14ac:dyDescent="0.25">
      <c r="A10" s="2"/>
      <c r="B10" s="12" t="s">
        <v>7092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>
        <v>-47</v>
      </c>
      <c r="AJ10" s="9">
        <v>-64</v>
      </c>
      <c r="AK10" s="9">
        <v>-78</v>
      </c>
      <c r="AL10" s="9">
        <v>8</v>
      </c>
      <c r="AM10" s="9">
        <v>-96</v>
      </c>
      <c r="AN10" s="9">
        <v>15</v>
      </c>
    </row>
    <row r="11" spans="1:40" x14ac:dyDescent="0.25">
      <c r="A11" s="2"/>
      <c r="B11" s="13" t="s">
        <v>7093</v>
      </c>
      <c r="C11" s="9">
        <v>-91237</v>
      </c>
      <c r="D11" s="9">
        <v>-89967</v>
      </c>
      <c r="E11" s="9">
        <v>-80172</v>
      </c>
      <c r="F11" s="9">
        <v>-78200</v>
      </c>
      <c r="G11" s="9">
        <v>-20982</v>
      </c>
      <c r="H11" s="9">
        <v>-22281</v>
      </c>
      <c r="I11" s="9">
        <v>-24936</v>
      </c>
      <c r="J11" s="9">
        <v>-23715</v>
      </c>
      <c r="K11" s="9">
        <v>-20842</v>
      </c>
      <c r="L11" s="9">
        <v>-22756</v>
      </c>
      <c r="M11" s="9">
        <v>-22966</v>
      </c>
      <c r="N11" s="9">
        <v>-22463</v>
      </c>
      <c r="O11" s="9">
        <v>-20242</v>
      </c>
      <c r="P11" s="9">
        <v>-14286</v>
      </c>
      <c r="Q11" s="9">
        <v>-19751</v>
      </c>
      <c r="R11" s="9">
        <v>-22765</v>
      </c>
      <c r="S11" s="9">
        <v>-24260</v>
      </c>
      <c r="T11" s="9">
        <v>-27750</v>
      </c>
      <c r="U11" s="9">
        <v>-34161</v>
      </c>
      <c r="V11" s="9">
        <v>-37099</v>
      </c>
      <c r="W11" s="9">
        <v>-36168</v>
      </c>
      <c r="X11" s="9">
        <v>-44495</v>
      </c>
      <c r="Y11" s="9">
        <v>-49782</v>
      </c>
      <c r="Z11" s="9">
        <v>-43512</v>
      </c>
      <c r="AA11" s="9">
        <v>-37679</v>
      </c>
      <c r="AB11" s="9">
        <v>-35648</v>
      </c>
      <c r="AC11" s="9">
        <v>-40001</v>
      </c>
      <c r="AD11" s="9">
        <v>-41258</v>
      </c>
      <c r="AE11" s="9">
        <v>-37488</v>
      </c>
      <c r="AF11" s="9">
        <v>-40097</v>
      </c>
      <c r="AG11" s="9">
        <v>-44114</v>
      </c>
      <c r="AH11" s="9">
        <v>-42332</v>
      </c>
      <c r="AI11" s="9">
        <v>-42519</v>
      </c>
      <c r="AJ11" s="9">
        <v>-43655</v>
      </c>
      <c r="AK11" s="9">
        <v>-45983</v>
      </c>
      <c r="AL11" s="9">
        <v>-47700</v>
      </c>
      <c r="AM11" s="9">
        <v>-44925</v>
      </c>
      <c r="AN11" s="9">
        <v>-52203</v>
      </c>
    </row>
    <row r="12" spans="1:40" x14ac:dyDescent="0.25">
      <c r="A12" s="2"/>
      <c r="B12" s="14" t="s">
        <v>7094</v>
      </c>
      <c r="C12" s="15">
        <f t="shared" ref="C12:AI12" si="0">SUM(C9:C11)</f>
        <v>7291</v>
      </c>
      <c r="D12" s="15">
        <f t="shared" si="0"/>
        <v>7313</v>
      </c>
      <c r="E12" s="15">
        <f t="shared" si="0"/>
        <v>6465</v>
      </c>
      <c r="F12" s="15">
        <f t="shared" si="0"/>
        <v>6367</v>
      </c>
      <c r="G12" s="15">
        <f t="shared" si="0"/>
        <v>1517</v>
      </c>
      <c r="H12" s="15">
        <f t="shared" si="0"/>
        <v>1316</v>
      </c>
      <c r="I12" s="15">
        <f t="shared" si="0"/>
        <v>1519</v>
      </c>
      <c r="J12" s="15">
        <f t="shared" si="0"/>
        <v>1504</v>
      </c>
      <c r="K12" s="15">
        <f t="shared" si="0"/>
        <v>1590</v>
      </c>
      <c r="L12" s="15">
        <f t="shared" si="0"/>
        <v>1289</v>
      </c>
      <c r="M12" s="15">
        <f t="shared" si="0"/>
        <v>1394</v>
      </c>
      <c r="N12" s="15">
        <f t="shared" si="0"/>
        <v>1685</v>
      </c>
      <c r="O12" s="15">
        <f t="shared" si="0"/>
        <v>946</v>
      </c>
      <c r="P12" s="15">
        <f t="shared" si="0"/>
        <v>596</v>
      </c>
      <c r="Q12" s="15">
        <f t="shared" si="0"/>
        <v>1386</v>
      </c>
      <c r="R12" s="15">
        <f t="shared" si="0"/>
        <v>1529</v>
      </c>
      <c r="S12" s="15">
        <f t="shared" si="0"/>
        <v>1873</v>
      </c>
      <c r="T12" s="15">
        <f t="shared" si="0"/>
        <v>1273</v>
      </c>
      <c r="U12" s="15">
        <f t="shared" si="0"/>
        <v>1533</v>
      </c>
      <c r="V12" s="15">
        <f t="shared" si="0"/>
        <v>2172</v>
      </c>
      <c r="W12" s="15">
        <f t="shared" si="0"/>
        <v>2213</v>
      </c>
      <c r="X12" s="15">
        <f t="shared" si="0"/>
        <v>2659</v>
      </c>
      <c r="Y12" s="15">
        <f t="shared" si="0"/>
        <v>1052</v>
      </c>
      <c r="Z12" s="15">
        <f t="shared" si="0"/>
        <v>1565</v>
      </c>
      <c r="AA12" s="15">
        <f t="shared" si="0"/>
        <v>1358</v>
      </c>
      <c r="AB12" s="15">
        <f t="shared" si="0"/>
        <v>1536</v>
      </c>
      <c r="AC12" s="15">
        <f t="shared" si="0"/>
        <v>3062</v>
      </c>
      <c r="AD12" s="15">
        <f t="shared" si="0"/>
        <v>2405</v>
      </c>
      <c r="AE12" s="15">
        <f t="shared" si="0"/>
        <v>2111</v>
      </c>
      <c r="AF12" s="15">
        <f t="shared" si="0"/>
        <v>2012</v>
      </c>
      <c r="AG12" s="15">
        <f t="shared" si="0"/>
        <v>2157</v>
      </c>
      <c r="AH12" s="15">
        <f t="shared" si="0"/>
        <v>1961</v>
      </c>
      <c r="AI12" s="15">
        <f t="shared" si="0"/>
        <v>2340</v>
      </c>
      <c r="AJ12" s="15">
        <f>SUM(AJ9:AJ11)</f>
        <v>1890</v>
      </c>
      <c r="AK12" s="15">
        <f>SUM(AK9:AK11)</f>
        <v>2362</v>
      </c>
      <c r="AL12" s="15">
        <v>2626</v>
      </c>
      <c r="AM12" s="15">
        <v>3079</v>
      </c>
      <c r="AN12" s="15">
        <v>5096</v>
      </c>
    </row>
    <row r="13" spans="1:40" x14ac:dyDescent="0.25">
      <c r="A13" s="2"/>
      <c r="B13" s="10" t="s">
        <v>7095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</row>
    <row r="14" spans="1:40" x14ac:dyDescent="0.25">
      <c r="A14" s="2"/>
      <c r="B14" s="12" t="s">
        <v>7096</v>
      </c>
      <c r="C14" s="9">
        <v>-4524</v>
      </c>
      <c r="D14" s="9">
        <v>-6454</v>
      </c>
      <c r="E14" s="9">
        <v>-3845</v>
      </c>
      <c r="F14" s="9">
        <v>-2952</v>
      </c>
      <c r="G14" s="9">
        <v>-708</v>
      </c>
      <c r="H14" s="9">
        <v>-760</v>
      </c>
      <c r="I14" s="9">
        <v>-776</v>
      </c>
      <c r="J14" s="9">
        <v>-683</v>
      </c>
      <c r="K14" s="9">
        <v>-733</v>
      </c>
      <c r="L14" s="9">
        <v>-722</v>
      </c>
      <c r="M14" s="9">
        <v>-726</v>
      </c>
      <c r="N14" s="9">
        <v>-805</v>
      </c>
      <c r="O14" s="9">
        <v>-590</v>
      </c>
      <c r="P14" s="9">
        <v>-585</v>
      </c>
      <c r="Q14" s="9">
        <v>-535</v>
      </c>
      <c r="R14" s="9">
        <v>-592</v>
      </c>
      <c r="S14" s="9">
        <v>-556</v>
      </c>
      <c r="T14" s="9">
        <v>-585</v>
      </c>
      <c r="U14" s="9">
        <v>-615</v>
      </c>
      <c r="V14" s="9">
        <v>-618</v>
      </c>
      <c r="W14" s="9">
        <v>-588</v>
      </c>
      <c r="X14" s="9">
        <v>-642</v>
      </c>
      <c r="Y14" s="9">
        <v>-700</v>
      </c>
      <c r="Z14" s="9">
        <v>-716</v>
      </c>
      <c r="AA14" s="9">
        <v>-671</v>
      </c>
      <c r="AB14" s="9">
        <v>-671</v>
      </c>
      <c r="AC14" s="9">
        <v>-690</v>
      </c>
      <c r="AD14" s="9">
        <v>-682</v>
      </c>
      <c r="AE14" s="9">
        <v>-668</v>
      </c>
      <c r="AF14" s="9">
        <v>-674</v>
      </c>
      <c r="AG14" s="9">
        <v>-690</v>
      </c>
      <c r="AH14" s="9">
        <v>-727</v>
      </c>
      <c r="AI14" s="9">
        <v>-742</v>
      </c>
      <c r="AJ14" s="9">
        <v>-749</v>
      </c>
      <c r="AK14" s="9">
        <v>-792</v>
      </c>
      <c r="AL14" s="9">
        <v>-830</v>
      </c>
      <c r="AM14" s="9">
        <v>-753</v>
      </c>
      <c r="AN14" s="9">
        <v>-781</v>
      </c>
    </row>
    <row r="15" spans="1:40" x14ac:dyDescent="0.25">
      <c r="A15" s="2"/>
      <c r="B15" s="12" t="s">
        <v>7097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-7</v>
      </c>
      <c r="N15" s="9">
        <v>-24</v>
      </c>
      <c r="O15" s="9">
        <v>-33</v>
      </c>
      <c r="P15" s="9">
        <v>0</v>
      </c>
      <c r="Q15" s="9">
        <v>4</v>
      </c>
      <c r="R15" s="9">
        <v>39</v>
      </c>
      <c r="S15" s="9">
        <v>-173</v>
      </c>
      <c r="T15" s="9">
        <v>10</v>
      </c>
      <c r="U15" s="9">
        <v>-64</v>
      </c>
      <c r="V15" s="9">
        <v>-62</v>
      </c>
      <c r="W15" s="9">
        <v>8</v>
      </c>
      <c r="X15" s="9">
        <v>14</v>
      </c>
      <c r="Y15" s="9">
        <v>-38</v>
      </c>
      <c r="Z15" s="9">
        <v>24</v>
      </c>
      <c r="AA15" s="9">
        <v>-1</v>
      </c>
      <c r="AB15" s="9">
        <v>-26</v>
      </c>
      <c r="AC15" s="9">
        <v>-39</v>
      </c>
      <c r="AD15" s="9">
        <v>7</v>
      </c>
      <c r="AE15" s="9">
        <v>2</v>
      </c>
      <c r="AF15" s="9">
        <v>30</v>
      </c>
      <c r="AG15" s="9">
        <v>24</v>
      </c>
      <c r="AH15" s="9">
        <v>6</v>
      </c>
      <c r="AI15" s="9">
        <v>-14</v>
      </c>
      <c r="AJ15" s="9">
        <v>15</v>
      </c>
      <c r="AK15" s="9">
        <v>4</v>
      </c>
      <c r="AL15" s="9">
        <v>-17</v>
      </c>
      <c r="AM15" s="9">
        <v>-31</v>
      </c>
      <c r="AN15" s="9">
        <v>8</v>
      </c>
    </row>
    <row r="16" spans="1:40" x14ac:dyDescent="0.25">
      <c r="A16" s="2"/>
      <c r="B16" s="12" t="s">
        <v>7098</v>
      </c>
      <c r="C16" s="9">
        <v>-748</v>
      </c>
      <c r="D16" s="9">
        <v>-820</v>
      </c>
      <c r="E16" s="9">
        <v>-828</v>
      </c>
      <c r="F16" s="9">
        <v>-835</v>
      </c>
      <c r="G16" s="9">
        <v>-190</v>
      </c>
      <c r="H16" s="9">
        <v>-198</v>
      </c>
      <c r="I16" s="9">
        <v>-194</v>
      </c>
      <c r="J16" s="9">
        <v>-204</v>
      </c>
      <c r="K16" s="9">
        <v>-195</v>
      </c>
      <c r="L16" s="9">
        <v>-190</v>
      </c>
      <c r="M16" s="9">
        <v>-200</v>
      </c>
      <c r="N16" s="9">
        <v>-283</v>
      </c>
      <c r="O16" s="9">
        <v>-145</v>
      </c>
      <c r="P16" s="9">
        <v>-138</v>
      </c>
      <c r="Q16" s="9">
        <v>-152</v>
      </c>
      <c r="R16" s="9">
        <v>-22</v>
      </c>
      <c r="S16" s="9">
        <v>-149</v>
      </c>
      <c r="T16" s="9">
        <v>-168</v>
      </c>
      <c r="U16" s="9">
        <v>-187</v>
      </c>
      <c r="V16" s="9">
        <v>-130</v>
      </c>
      <c r="W16" s="9">
        <v>-160</v>
      </c>
      <c r="X16" s="9">
        <v>-183</v>
      </c>
      <c r="Y16" s="9">
        <v>-197</v>
      </c>
      <c r="Z16" s="9">
        <v>-203</v>
      </c>
      <c r="AA16" s="9">
        <v>-205</v>
      </c>
      <c r="AB16" s="9">
        <v>-170</v>
      </c>
      <c r="AC16" s="9">
        <v>-197</v>
      </c>
      <c r="AD16" s="9">
        <v>-232</v>
      </c>
      <c r="AE16" s="9">
        <v>-224</v>
      </c>
      <c r="AF16" s="9">
        <v>-238</v>
      </c>
      <c r="AG16" s="9">
        <v>-262</v>
      </c>
      <c r="AH16" s="9">
        <v>-275</v>
      </c>
      <c r="AI16" s="9">
        <v>-359</v>
      </c>
      <c r="AJ16" s="9">
        <v>-370</v>
      </c>
      <c r="AK16" s="9">
        <v>-345</v>
      </c>
      <c r="AL16" s="9">
        <v>-462</v>
      </c>
      <c r="AM16" s="9">
        <v>-363</v>
      </c>
      <c r="AN16" s="9">
        <v>-427</v>
      </c>
    </row>
    <row r="17" spans="1:40" x14ac:dyDescent="0.25">
      <c r="A17" s="2"/>
      <c r="B17" s="12" t="s">
        <v>7099</v>
      </c>
      <c r="C17" s="9">
        <v>-160</v>
      </c>
      <c r="D17" s="9">
        <v>-208</v>
      </c>
      <c r="E17" s="9">
        <v>-137</v>
      </c>
      <c r="F17" s="9">
        <v>-172</v>
      </c>
      <c r="G17" s="9">
        <v>-27</v>
      </c>
      <c r="H17" s="9">
        <v>-22</v>
      </c>
      <c r="I17" s="9">
        <v>-209</v>
      </c>
      <c r="J17" s="9">
        <v>-57</v>
      </c>
      <c r="K17" s="9">
        <v>-37</v>
      </c>
      <c r="L17" s="9">
        <v>-13</v>
      </c>
      <c r="M17" s="9">
        <v>-36</v>
      </c>
      <c r="N17" s="9">
        <v>-22</v>
      </c>
      <c r="O17" s="9">
        <v>-41</v>
      </c>
      <c r="P17" s="9">
        <v>-17</v>
      </c>
      <c r="Q17" s="9">
        <v>-58</v>
      </c>
      <c r="R17" s="9">
        <v>-31</v>
      </c>
      <c r="S17" s="9">
        <v>-65</v>
      </c>
      <c r="T17" s="9">
        <v>-22</v>
      </c>
      <c r="U17" s="9">
        <v>-224</v>
      </c>
      <c r="V17" s="9">
        <v>-34</v>
      </c>
      <c r="W17" s="9">
        <v>-35</v>
      </c>
      <c r="X17" s="9">
        <v>-16</v>
      </c>
      <c r="Y17" s="9">
        <v>-14</v>
      </c>
      <c r="Z17" s="9">
        <v>-35</v>
      </c>
      <c r="AA17" s="9">
        <v>-29</v>
      </c>
      <c r="AB17" s="9">
        <v>-19</v>
      </c>
      <c r="AC17" s="9">
        <v>-23</v>
      </c>
      <c r="AD17" s="9">
        <v>-67</v>
      </c>
      <c r="AE17" s="9">
        <v>-35</v>
      </c>
      <c r="AF17" s="9">
        <v>-25</v>
      </c>
      <c r="AG17" s="9">
        <v>-69</v>
      </c>
      <c r="AH17" s="9">
        <v>-26</v>
      </c>
      <c r="AI17" s="9">
        <v>-34</v>
      </c>
      <c r="AJ17" s="9">
        <v>-27</v>
      </c>
      <c r="AK17" s="9">
        <v>-32</v>
      </c>
      <c r="AL17" s="9">
        <v>-52</v>
      </c>
      <c r="AM17" s="9">
        <v>-59</v>
      </c>
      <c r="AN17" s="9">
        <v>-33</v>
      </c>
    </row>
    <row r="18" spans="1:40" x14ac:dyDescent="0.25">
      <c r="A18" s="2"/>
      <c r="B18" s="12" t="s">
        <v>7100</v>
      </c>
      <c r="C18" s="9">
        <v>-601</v>
      </c>
      <c r="D18" s="9">
        <v>-1470</v>
      </c>
      <c r="E18" s="9">
        <v>-1669</v>
      </c>
      <c r="F18" s="9">
        <v>-284</v>
      </c>
      <c r="G18" s="9">
        <v>-135</v>
      </c>
      <c r="H18" s="9">
        <v>-162</v>
      </c>
      <c r="I18" s="9">
        <v>1082</v>
      </c>
      <c r="J18" s="9">
        <v>-226</v>
      </c>
      <c r="K18" s="9">
        <v>-137</v>
      </c>
      <c r="L18" s="9">
        <v>-64</v>
      </c>
      <c r="M18" s="9">
        <v>72</v>
      </c>
      <c r="N18" s="9">
        <v>-525</v>
      </c>
      <c r="O18" s="9">
        <v>364</v>
      </c>
      <c r="P18" s="9">
        <v>400</v>
      </c>
      <c r="Q18" s="9">
        <v>-120</v>
      </c>
      <c r="R18" s="9">
        <v>2352</v>
      </c>
      <c r="S18" s="9">
        <v>-60</v>
      </c>
      <c r="T18" s="9">
        <v>165</v>
      </c>
      <c r="U18" s="9">
        <v>-20</v>
      </c>
      <c r="V18" s="9">
        <v>-800</v>
      </c>
      <c r="W18" s="9">
        <v>-464</v>
      </c>
      <c r="X18" s="9">
        <v>-167</v>
      </c>
      <c r="Y18" s="9">
        <v>145</v>
      </c>
      <c r="Z18" s="9">
        <v>443</v>
      </c>
      <c r="AA18" s="9">
        <v>-23</v>
      </c>
      <c r="AB18" s="9">
        <v>-100</v>
      </c>
      <c r="AC18" s="9">
        <v>19</v>
      </c>
      <c r="AD18" s="9">
        <v>3037</v>
      </c>
      <c r="AE18" s="9">
        <v>443</v>
      </c>
      <c r="AF18" s="9">
        <v>37</v>
      </c>
      <c r="AG18" s="9">
        <v>4534</v>
      </c>
      <c r="AH18" s="9">
        <v>-735</v>
      </c>
      <c r="AI18" s="9">
        <v>314</v>
      </c>
      <c r="AJ18" s="9">
        <v>274</v>
      </c>
      <c r="AK18" s="9">
        <v>8</v>
      </c>
      <c r="AL18" s="9">
        <v>-283</v>
      </c>
      <c r="AM18" s="9">
        <v>775</v>
      </c>
      <c r="AN18" s="9">
        <v>20</v>
      </c>
    </row>
    <row r="19" spans="1:40" x14ac:dyDescent="0.25">
      <c r="A19" s="2"/>
      <c r="B19" s="12"/>
      <c r="C19" s="9">
        <f t="shared" ref="C19:AL19" si="1">SUM(C14:C18)</f>
        <v>-6033</v>
      </c>
      <c r="D19" s="9">
        <f t="shared" si="1"/>
        <v>-8952</v>
      </c>
      <c r="E19" s="9">
        <f t="shared" si="1"/>
        <v>-6479</v>
      </c>
      <c r="F19" s="9">
        <f t="shared" si="1"/>
        <v>-4243</v>
      </c>
      <c r="G19" s="9">
        <f t="shared" si="1"/>
        <v>-1060</v>
      </c>
      <c r="H19" s="9">
        <f t="shared" si="1"/>
        <v>-1142</v>
      </c>
      <c r="I19" s="9">
        <f t="shared" si="1"/>
        <v>-97</v>
      </c>
      <c r="J19" s="9">
        <f t="shared" si="1"/>
        <v>-1170</v>
      </c>
      <c r="K19" s="9">
        <f t="shared" si="1"/>
        <v>-1102</v>
      </c>
      <c r="L19" s="9">
        <f t="shared" si="1"/>
        <v>-989</v>
      </c>
      <c r="M19" s="9">
        <f t="shared" si="1"/>
        <v>-897</v>
      </c>
      <c r="N19" s="9">
        <f t="shared" si="1"/>
        <v>-1659</v>
      </c>
      <c r="O19" s="9">
        <f t="shared" si="1"/>
        <v>-445</v>
      </c>
      <c r="P19" s="9">
        <f t="shared" si="1"/>
        <v>-340</v>
      </c>
      <c r="Q19" s="9">
        <f t="shared" si="1"/>
        <v>-861</v>
      </c>
      <c r="R19" s="9">
        <f t="shared" si="1"/>
        <v>1746</v>
      </c>
      <c r="S19" s="9">
        <f t="shared" si="1"/>
        <v>-1003</v>
      </c>
      <c r="T19" s="9">
        <f t="shared" si="1"/>
        <v>-600</v>
      </c>
      <c r="U19" s="9">
        <f t="shared" si="1"/>
        <v>-1110</v>
      </c>
      <c r="V19" s="9">
        <f t="shared" si="1"/>
        <v>-1644</v>
      </c>
      <c r="W19" s="9">
        <f t="shared" si="1"/>
        <v>-1239</v>
      </c>
      <c r="X19" s="9">
        <f t="shared" si="1"/>
        <v>-994</v>
      </c>
      <c r="Y19" s="9">
        <f t="shared" si="1"/>
        <v>-804</v>
      </c>
      <c r="Z19" s="9">
        <f t="shared" si="1"/>
        <v>-487</v>
      </c>
      <c r="AA19" s="9">
        <f t="shared" si="1"/>
        <v>-929</v>
      </c>
      <c r="AB19" s="9">
        <f t="shared" si="1"/>
        <v>-986</v>
      </c>
      <c r="AC19" s="9">
        <f t="shared" si="1"/>
        <v>-930</v>
      </c>
      <c r="AD19" s="9">
        <f t="shared" si="1"/>
        <v>2063</v>
      </c>
      <c r="AE19" s="9">
        <f t="shared" si="1"/>
        <v>-482</v>
      </c>
      <c r="AF19" s="9">
        <f t="shared" si="1"/>
        <v>-870</v>
      </c>
      <c r="AG19" s="9">
        <f t="shared" si="1"/>
        <v>3537</v>
      </c>
      <c r="AH19" s="9">
        <f t="shared" si="1"/>
        <v>-1757</v>
      </c>
      <c r="AI19" s="9">
        <f t="shared" si="1"/>
        <v>-835</v>
      </c>
      <c r="AJ19" s="9">
        <f t="shared" si="1"/>
        <v>-857</v>
      </c>
      <c r="AK19" s="9">
        <f t="shared" si="1"/>
        <v>-1157</v>
      </c>
      <c r="AL19" s="9">
        <f t="shared" si="1"/>
        <v>-1644</v>
      </c>
      <c r="AM19" s="9">
        <v>-431</v>
      </c>
      <c r="AN19" s="9">
        <v>-1213</v>
      </c>
    </row>
    <row r="20" spans="1:40" x14ac:dyDescent="0.25">
      <c r="A20" s="2"/>
      <c r="B20" s="16" t="s">
        <v>7101</v>
      </c>
      <c r="C20" s="15">
        <f t="shared" ref="C20:AL20" si="2">SUM(C12,C14:C18)</f>
        <v>1258</v>
      </c>
      <c r="D20" s="15">
        <f t="shared" si="2"/>
        <v>-1639</v>
      </c>
      <c r="E20" s="15">
        <f t="shared" si="2"/>
        <v>-14</v>
      </c>
      <c r="F20" s="15">
        <f t="shared" si="2"/>
        <v>2124</v>
      </c>
      <c r="G20" s="15">
        <f t="shared" si="2"/>
        <v>457</v>
      </c>
      <c r="H20" s="15">
        <f t="shared" si="2"/>
        <v>174</v>
      </c>
      <c r="I20" s="15">
        <f t="shared" si="2"/>
        <v>1422</v>
      </c>
      <c r="J20" s="15">
        <f t="shared" si="2"/>
        <v>334</v>
      </c>
      <c r="K20" s="15">
        <f t="shared" si="2"/>
        <v>488</v>
      </c>
      <c r="L20" s="15">
        <f t="shared" si="2"/>
        <v>300</v>
      </c>
      <c r="M20" s="15">
        <f t="shared" si="2"/>
        <v>497</v>
      </c>
      <c r="N20" s="15">
        <f t="shared" si="2"/>
        <v>26</v>
      </c>
      <c r="O20" s="15">
        <f t="shared" si="2"/>
        <v>501</v>
      </c>
      <c r="P20" s="15">
        <f t="shared" si="2"/>
        <v>256</v>
      </c>
      <c r="Q20" s="15">
        <f t="shared" si="2"/>
        <v>525</v>
      </c>
      <c r="R20" s="15">
        <f t="shared" si="2"/>
        <v>3275</v>
      </c>
      <c r="S20" s="15">
        <f t="shared" si="2"/>
        <v>870</v>
      </c>
      <c r="T20" s="15">
        <f t="shared" si="2"/>
        <v>673</v>
      </c>
      <c r="U20" s="15">
        <f t="shared" si="2"/>
        <v>423</v>
      </c>
      <c r="V20" s="15">
        <f t="shared" si="2"/>
        <v>528</v>
      </c>
      <c r="W20" s="15">
        <f t="shared" si="2"/>
        <v>974</v>
      </c>
      <c r="X20" s="15">
        <f t="shared" si="2"/>
        <v>1665</v>
      </c>
      <c r="Y20" s="15">
        <f t="shared" si="2"/>
        <v>248</v>
      </c>
      <c r="Z20" s="15">
        <f t="shared" si="2"/>
        <v>1078</v>
      </c>
      <c r="AA20" s="15">
        <f t="shared" si="2"/>
        <v>429</v>
      </c>
      <c r="AB20" s="15">
        <f t="shared" si="2"/>
        <v>550</v>
      </c>
      <c r="AC20" s="15">
        <f t="shared" si="2"/>
        <v>2132</v>
      </c>
      <c r="AD20" s="15">
        <f t="shared" si="2"/>
        <v>4468</v>
      </c>
      <c r="AE20" s="15">
        <f t="shared" si="2"/>
        <v>1629</v>
      </c>
      <c r="AF20" s="15">
        <f t="shared" si="2"/>
        <v>1142</v>
      </c>
      <c r="AG20" s="15">
        <f t="shared" si="2"/>
        <v>5694</v>
      </c>
      <c r="AH20" s="15">
        <f t="shared" si="2"/>
        <v>204</v>
      </c>
      <c r="AI20" s="15">
        <f t="shared" si="2"/>
        <v>1505</v>
      </c>
      <c r="AJ20" s="15">
        <f t="shared" si="2"/>
        <v>1033</v>
      </c>
      <c r="AK20" s="17">
        <f t="shared" si="2"/>
        <v>1205</v>
      </c>
      <c r="AL20" s="17">
        <f t="shared" si="2"/>
        <v>982</v>
      </c>
      <c r="AM20" s="17">
        <v>2648</v>
      </c>
      <c r="AN20" s="17">
        <v>3883</v>
      </c>
    </row>
    <row r="21" spans="1:40" x14ac:dyDescent="0.25">
      <c r="A21" s="2"/>
      <c r="B21" s="12" t="s">
        <v>7102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</row>
    <row r="22" spans="1:40" x14ac:dyDescent="0.25">
      <c r="A22" s="2"/>
      <c r="B22" s="13" t="s">
        <v>7103</v>
      </c>
      <c r="C22" s="9">
        <v>-802</v>
      </c>
      <c r="D22" s="9">
        <v>-1597</v>
      </c>
      <c r="E22" s="9">
        <v>-1893</v>
      </c>
      <c r="F22" s="9">
        <v>-1231</v>
      </c>
      <c r="G22" s="9">
        <v>-94</v>
      </c>
      <c r="H22" s="9">
        <v>-83</v>
      </c>
      <c r="I22" s="9">
        <v>-136</v>
      </c>
      <c r="J22" s="9">
        <v>-106</v>
      </c>
      <c r="K22" s="9">
        <v>-112</v>
      </c>
      <c r="L22" s="9">
        <v>-118</v>
      </c>
      <c r="M22" s="9">
        <v>-117</v>
      </c>
      <c r="N22" s="9">
        <v>-102</v>
      </c>
      <c r="O22" s="9">
        <v>-99</v>
      </c>
      <c r="P22" s="9">
        <v>-103</v>
      </c>
      <c r="Q22" s="9">
        <v>-90</v>
      </c>
      <c r="R22" s="9">
        <v>-93</v>
      </c>
      <c r="S22" s="9">
        <v>-91</v>
      </c>
      <c r="T22" s="9">
        <v>-95</v>
      </c>
      <c r="U22" s="9">
        <v>-148</v>
      </c>
      <c r="V22" s="9">
        <v>-196</v>
      </c>
      <c r="W22" s="9">
        <v>-231</v>
      </c>
      <c r="X22" s="9">
        <v>-328</v>
      </c>
      <c r="Y22" s="9">
        <v>-354</v>
      </c>
      <c r="Z22" s="9">
        <v>-414</v>
      </c>
      <c r="AA22" s="9">
        <v>-406</v>
      </c>
      <c r="AB22" s="9">
        <v>-370</v>
      </c>
      <c r="AC22" s="9">
        <v>-386</v>
      </c>
      <c r="AD22" s="9">
        <v>-340</v>
      </c>
      <c r="AE22" s="9">
        <v>-316</v>
      </c>
      <c r="AF22" s="9">
        <v>-343</v>
      </c>
      <c r="AG22" s="9">
        <v>-375</v>
      </c>
      <c r="AH22" s="9">
        <v>-422</v>
      </c>
      <c r="AI22" s="9">
        <v>-716</v>
      </c>
      <c r="AJ22" s="9">
        <v>-736</v>
      </c>
      <c r="AK22" s="9">
        <v>-770</v>
      </c>
      <c r="AL22" s="9">
        <v>-750</v>
      </c>
      <c r="AM22" s="9">
        <v>-681</v>
      </c>
      <c r="AN22" s="9">
        <v>-720</v>
      </c>
    </row>
    <row r="23" spans="1:40" x14ac:dyDescent="0.25">
      <c r="A23" s="2"/>
      <c r="B23" s="13" t="s">
        <v>7104</v>
      </c>
      <c r="C23" s="9">
        <v>387</v>
      </c>
      <c r="D23" s="9">
        <v>505</v>
      </c>
      <c r="E23" s="9">
        <v>682</v>
      </c>
      <c r="F23" s="9">
        <v>376</v>
      </c>
      <c r="G23" s="9">
        <v>84</v>
      </c>
      <c r="H23" s="9">
        <v>364</v>
      </c>
      <c r="I23" s="9">
        <v>554</v>
      </c>
      <c r="J23" s="9">
        <v>1957</v>
      </c>
      <c r="K23" s="9">
        <v>397</v>
      </c>
      <c r="L23" s="9">
        <v>397</v>
      </c>
      <c r="M23" s="9">
        <v>1683</v>
      </c>
      <c r="N23" s="9">
        <v>91</v>
      </c>
      <c r="O23" s="9">
        <v>77</v>
      </c>
      <c r="P23" s="9">
        <v>95</v>
      </c>
      <c r="Q23" s="9">
        <v>120</v>
      </c>
      <c r="R23" s="9">
        <v>158</v>
      </c>
      <c r="S23" s="9">
        <v>116</v>
      </c>
      <c r="T23" s="9">
        <v>105</v>
      </c>
      <c r="U23" s="9">
        <v>214</v>
      </c>
      <c r="V23" s="9">
        <v>1208</v>
      </c>
      <c r="W23" s="9">
        <v>177</v>
      </c>
      <c r="X23" s="9">
        <v>236</v>
      </c>
      <c r="Y23" s="9">
        <v>150</v>
      </c>
      <c r="Z23" s="9">
        <v>134</v>
      </c>
      <c r="AA23" s="9">
        <v>234</v>
      </c>
      <c r="AB23" s="9">
        <v>211</v>
      </c>
      <c r="AC23" s="9">
        <v>244</v>
      </c>
      <c r="AD23" s="9">
        <v>249</v>
      </c>
      <c r="AE23" s="9">
        <v>189</v>
      </c>
      <c r="AF23" s="9">
        <v>304</v>
      </c>
      <c r="AG23" s="9">
        <v>454</v>
      </c>
      <c r="AH23" s="9">
        <v>830</v>
      </c>
      <c r="AI23" s="9">
        <v>313</v>
      </c>
      <c r="AJ23" s="9">
        <v>256</v>
      </c>
      <c r="AK23" s="9">
        <v>222</v>
      </c>
      <c r="AL23" s="9">
        <v>229</v>
      </c>
      <c r="AM23" s="9">
        <v>194</v>
      </c>
      <c r="AN23" s="9">
        <v>329</v>
      </c>
    </row>
    <row r="24" spans="1:40" x14ac:dyDescent="0.25">
      <c r="A24" s="2"/>
      <c r="B24" s="13" t="s">
        <v>7105</v>
      </c>
      <c r="C24" s="9">
        <v>705</v>
      </c>
      <c r="D24" s="9">
        <v>793</v>
      </c>
      <c r="E24" s="9">
        <v>589</v>
      </c>
      <c r="F24" s="9">
        <v>298</v>
      </c>
      <c r="G24" s="9">
        <v>-36</v>
      </c>
      <c r="H24" s="9">
        <v>-12</v>
      </c>
      <c r="I24" s="9">
        <v>-65</v>
      </c>
      <c r="J24" s="9">
        <v>-4</v>
      </c>
      <c r="K24" s="9">
        <v>-13</v>
      </c>
      <c r="L24" s="9">
        <v>-91</v>
      </c>
      <c r="M24" s="9">
        <v>-9</v>
      </c>
      <c r="N24" s="9">
        <v>-16</v>
      </c>
      <c r="O24" s="9">
        <v>-74</v>
      </c>
      <c r="P24" s="9">
        <v>85</v>
      </c>
      <c r="Q24" s="9">
        <v>-8</v>
      </c>
      <c r="R24" s="9">
        <v>196</v>
      </c>
      <c r="S24" s="9">
        <v>-143</v>
      </c>
      <c r="T24" s="9">
        <v>-83</v>
      </c>
      <c r="U24" s="9">
        <v>-114</v>
      </c>
      <c r="V24" s="9">
        <v>-205</v>
      </c>
      <c r="W24" s="9">
        <v>-395</v>
      </c>
      <c r="X24" s="9">
        <v>-522</v>
      </c>
      <c r="Y24" s="9">
        <v>-360</v>
      </c>
      <c r="Z24" s="9">
        <v>-124</v>
      </c>
      <c r="AA24" s="9">
        <v>-108</v>
      </c>
      <c r="AB24" s="9">
        <v>-182</v>
      </c>
      <c r="AC24" s="9">
        <v>-271</v>
      </c>
      <c r="AD24" s="9">
        <v>41</v>
      </c>
      <c r="AE24" s="9">
        <v>-207</v>
      </c>
      <c r="AF24" s="9">
        <v>-174</v>
      </c>
      <c r="AG24" s="9">
        <v>52</v>
      </c>
      <c r="AH24" s="9">
        <v>-223</v>
      </c>
      <c r="AI24" s="9">
        <v>-268</v>
      </c>
      <c r="AJ24" s="9">
        <v>-72</v>
      </c>
      <c r="AK24" s="9">
        <v>-99</v>
      </c>
      <c r="AL24" s="9">
        <v>17</v>
      </c>
      <c r="AM24" s="9">
        <v>-94</v>
      </c>
      <c r="AN24" s="9">
        <v>-239</v>
      </c>
    </row>
    <row r="25" spans="1:40" x14ac:dyDescent="0.25">
      <c r="A25" s="2"/>
      <c r="B25" s="12"/>
      <c r="C25" s="9">
        <f>SUM(C22:C24)</f>
        <v>290</v>
      </c>
      <c r="D25" s="9">
        <f t="shared" ref="D25:AL25" si="3">SUM(D22:D24)</f>
        <v>-299</v>
      </c>
      <c r="E25" s="9">
        <f t="shared" si="3"/>
        <v>-622</v>
      </c>
      <c r="F25" s="9">
        <f t="shared" si="3"/>
        <v>-557</v>
      </c>
      <c r="G25" s="9">
        <f t="shared" si="3"/>
        <v>-46</v>
      </c>
      <c r="H25" s="9">
        <f t="shared" si="3"/>
        <v>269</v>
      </c>
      <c r="I25" s="9">
        <f t="shared" si="3"/>
        <v>353</v>
      </c>
      <c r="J25" s="9">
        <f t="shared" si="3"/>
        <v>1847</v>
      </c>
      <c r="K25" s="9">
        <f t="shared" si="3"/>
        <v>272</v>
      </c>
      <c r="L25" s="9">
        <f t="shared" si="3"/>
        <v>188</v>
      </c>
      <c r="M25" s="9">
        <f t="shared" si="3"/>
        <v>1557</v>
      </c>
      <c r="N25" s="9">
        <f t="shared" si="3"/>
        <v>-27</v>
      </c>
      <c r="O25" s="9">
        <f t="shared" si="3"/>
        <v>-96</v>
      </c>
      <c r="P25" s="9">
        <f t="shared" si="3"/>
        <v>77</v>
      </c>
      <c r="Q25" s="9">
        <f t="shared" si="3"/>
        <v>22</v>
      </c>
      <c r="R25" s="9">
        <f t="shared" si="3"/>
        <v>261</v>
      </c>
      <c r="S25" s="9">
        <f t="shared" si="3"/>
        <v>-118</v>
      </c>
      <c r="T25" s="9">
        <f t="shared" si="3"/>
        <v>-73</v>
      </c>
      <c r="U25" s="9">
        <f t="shared" si="3"/>
        <v>-48</v>
      </c>
      <c r="V25" s="9">
        <f t="shared" si="3"/>
        <v>807</v>
      </c>
      <c r="W25" s="9">
        <f t="shared" si="3"/>
        <v>-449</v>
      </c>
      <c r="X25" s="9">
        <f t="shared" si="3"/>
        <v>-614</v>
      </c>
      <c r="Y25" s="9">
        <f t="shared" si="3"/>
        <v>-564</v>
      </c>
      <c r="Z25" s="9">
        <f t="shared" si="3"/>
        <v>-404</v>
      </c>
      <c r="AA25" s="9">
        <f t="shared" si="3"/>
        <v>-280</v>
      </c>
      <c r="AB25" s="9">
        <f t="shared" si="3"/>
        <v>-341</v>
      </c>
      <c r="AC25" s="9">
        <f t="shared" si="3"/>
        <v>-413</v>
      </c>
      <c r="AD25" s="9">
        <f t="shared" si="3"/>
        <v>-50</v>
      </c>
      <c r="AE25" s="9">
        <f t="shared" si="3"/>
        <v>-334</v>
      </c>
      <c r="AF25" s="9">
        <f t="shared" si="3"/>
        <v>-213</v>
      </c>
      <c r="AG25" s="9">
        <f t="shared" si="3"/>
        <v>131</v>
      </c>
      <c r="AH25" s="9">
        <f t="shared" si="3"/>
        <v>185</v>
      </c>
      <c r="AI25" s="9">
        <f t="shared" si="3"/>
        <v>-671</v>
      </c>
      <c r="AJ25" s="9">
        <f t="shared" si="3"/>
        <v>-552</v>
      </c>
      <c r="AK25" s="9">
        <f t="shared" si="3"/>
        <v>-647</v>
      </c>
      <c r="AL25" s="9">
        <f t="shared" si="3"/>
        <v>-504</v>
      </c>
      <c r="AM25" s="9">
        <v>-581</v>
      </c>
      <c r="AN25" s="9">
        <v>-630</v>
      </c>
    </row>
    <row r="26" spans="1:40" x14ac:dyDescent="0.25">
      <c r="A26" s="2"/>
      <c r="B26" s="10" t="s">
        <v>7106</v>
      </c>
      <c r="C26" s="11">
        <v>-2</v>
      </c>
      <c r="D26" s="11">
        <v>3</v>
      </c>
      <c r="E26" s="11">
        <v>-1</v>
      </c>
      <c r="F26" s="11">
        <v>-2</v>
      </c>
      <c r="G26" s="11">
        <v>-1</v>
      </c>
      <c r="H26" s="11">
        <v>0</v>
      </c>
      <c r="I26" s="11">
        <v>-1</v>
      </c>
      <c r="J26" s="11">
        <v>1</v>
      </c>
      <c r="K26" s="11">
        <v>1</v>
      </c>
      <c r="L26" s="11">
        <v>0</v>
      </c>
      <c r="M26" s="11">
        <v>0</v>
      </c>
      <c r="N26" s="11">
        <v>1</v>
      </c>
      <c r="O26" s="11">
        <v>-1</v>
      </c>
      <c r="P26" s="11">
        <v>-1</v>
      </c>
      <c r="Q26" s="11">
        <v>-1</v>
      </c>
      <c r="R26" s="11">
        <v>12</v>
      </c>
      <c r="S26" s="11">
        <v>7</v>
      </c>
      <c r="T26" s="11">
        <v>2</v>
      </c>
      <c r="U26" s="11">
        <v>76</v>
      </c>
      <c r="V26" s="11">
        <v>27</v>
      </c>
      <c r="W26" s="11">
        <v>17</v>
      </c>
      <c r="X26" s="11">
        <v>14</v>
      </c>
      <c r="Y26" s="11">
        <v>16</v>
      </c>
      <c r="Z26" s="11">
        <v>-51</v>
      </c>
      <c r="AA26" s="11">
        <v>-2</v>
      </c>
      <c r="AB26" s="11">
        <v>-26</v>
      </c>
      <c r="AC26" s="11">
        <v>-49</v>
      </c>
      <c r="AD26" s="11">
        <v>41</v>
      </c>
      <c r="AE26" s="11">
        <v>-71</v>
      </c>
      <c r="AF26" s="11">
        <v>79</v>
      </c>
      <c r="AG26" s="11">
        <v>-30</v>
      </c>
      <c r="AH26" s="11">
        <v>122</v>
      </c>
      <c r="AI26" s="11">
        <v>29</v>
      </c>
      <c r="AJ26" s="11">
        <v>-10</v>
      </c>
      <c r="AK26" s="11">
        <v>44</v>
      </c>
      <c r="AL26" s="11">
        <v>38</v>
      </c>
      <c r="AM26" s="11">
        <v>-7</v>
      </c>
      <c r="AN26" s="11">
        <v>-22</v>
      </c>
    </row>
    <row r="27" spans="1:40" x14ac:dyDescent="0.25">
      <c r="A27" s="2"/>
      <c r="B27" s="14" t="s">
        <v>7107</v>
      </c>
      <c r="C27" s="15">
        <f t="shared" ref="C27:AK27" si="4">SUM(C20,C22:C24,C26)</f>
        <v>1546</v>
      </c>
      <c r="D27" s="15">
        <f t="shared" si="4"/>
        <v>-1935</v>
      </c>
      <c r="E27" s="15">
        <f t="shared" si="4"/>
        <v>-637</v>
      </c>
      <c r="F27" s="15">
        <f t="shared" si="4"/>
        <v>1565</v>
      </c>
      <c r="G27" s="15">
        <f t="shared" si="4"/>
        <v>410</v>
      </c>
      <c r="H27" s="15">
        <f t="shared" si="4"/>
        <v>443</v>
      </c>
      <c r="I27" s="15">
        <f t="shared" si="4"/>
        <v>1774</v>
      </c>
      <c r="J27" s="15">
        <f t="shared" si="4"/>
        <v>2182</v>
      </c>
      <c r="K27" s="15">
        <f t="shared" si="4"/>
        <v>761</v>
      </c>
      <c r="L27" s="15">
        <f t="shared" si="4"/>
        <v>488</v>
      </c>
      <c r="M27" s="15">
        <f t="shared" si="4"/>
        <v>2054</v>
      </c>
      <c r="N27" s="15">
        <f t="shared" si="4"/>
        <v>0</v>
      </c>
      <c r="O27" s="15">
        <f t="shared" si="4"/>
        <v>404</v>
      </c>
      <c r="P27" s="15">
        <f t="shared" si="4"/>
        <v>332</v>
      </c>
      <c r="Q27" s="15">
        <f t="shared" si="4"/>
        <v>546</v>
      </c>
      <c r="R27" s="15">
        <f t="shared" si="4"/>
        <v>3548</v>
      </c>
      <c r="S27" s="15">
        <f t="shared" si="4"/>
        <v>759</v>
      </c>
      <c r="T27" s="15">
        <f t="shared" si="4"/>
        <v>602</v>
      </c>
      <c r="U27" s="15">
        <f t="shared" si="4"/>
        <v>451</v>
      </c>
      <c r="V27" s="15">
        <f t="shared" si="4"/>
        <v>1362</v>
      </c>
      <c r="W27" s="15">
        <f t="shared" si="4"/>
        <v>542</v>
      </c>
      <c r="X27" s="15">
        <f t="shared" si="4"/>
        <v>1065</v>
      </c>
      <c r="Y27" s="15">
        <f t="shared" si="4"/>
        <v>-300</v>
      </c>
      <c r="Z27" s="15">
        <f t="shared" si="4"/>
        <v>623</v>
      </c>
      <c r="AA27" s="15">
        <f t="shared" si="4"/>
        <v>147</v>
      </c>
      <c r="AB27" s="15">
        <f t="shared" si="4"/>
        <v>183</v>
      </c>
      <c r="AC27" s="15">
        <f t="shared" si="4"/>
        <v>1670</v>
      </c>
      <c r="AD27" s="15">
        <f t="shared" si="4"/>
        <v>4459</v>
      </c>
      <c r="AE27" s="15">
        <f t="shared" si="4"/>
        <v>1224</v>
      </c>
      <c r="AF27" s="15">
        <f t="shared" si="4"/>
        <v>1008</v>
      </c>
      <c r="AG27" s="15">
        <f t="shared" si="4"/>
        <v>5795</v>
      </c>
      <c r="AH27" s="15">
        <f t="shared" si="4"/>
        <v>511</v>
      </c>
      <c r="AI27" s="15">
        <f t="shared" si="4"/>
        <v>863</v>
      </c>
      <c r="AJ27" s="15">
        <f t="shared" si="4"/>
        <v>471</v>
      </c>
      <c r="AK27" s="15">
        <f t="shared" si="4"/>
        <v>602</v>
      </c>
      <c r="AL27" s="15">
        <v>516</v>
      </c>
      <c r="AM27" s="15">
        <v>2060</v>
      </c>
      <c r="AN27" s="15">
        <v>3231</v>
      </c>
    </row>
    <row r="28" spans="1:40" x14ac:dyDescent="0.25">
      <c r="A28" s="2"/>
      <c r="B28" s="12" t="s">
        <v>7108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</row>
    <row r="29" spans="1:40" x14ac:dyDescent="0.25">
      <c r="A29" s="2"/>
      <c r="B29" s="13" t="s">
        <v>7109</v>
      </c>
      <c r="C29" s="9">
        <v>-881</v>
      </c>
      <c r="D29" s="9">
        <v>-815</v>
      </c>
      <c r="E29" s="9">
        <v>-307</v>
      </c>
      <c r="F29" s="9">
        <v>-196</v>
      </c>
      <c r="G29" s="9">
        <v>-1</v>
      </c>
      <c r="H29" s="9">
        <v>0</v>
      </c>
      <c r="I29" s="9">
        <v>0</v>
      </c>
      <c r="J29" s="9">
        <v>-125</v>
      </c>
      <c r="K29" s="9">
        <v>-302</v>
      </c>
      <c r="L29" s="9">
        <v>-49</v>
      </c>
      <c r="M29" s="9">
        <v>-764</v>
      </c>
      <c r="N29" s="9">
        <v>101</v>
      </c>
      <c r="O29" s="9">
        <v>-29</v>
      </c>
      <c r="P29" s="9">
        <v>-242</v>
      </c>
      <c r="Q29" s="9">
        <v>-280</v>
      </c>
      <c r="R29" s="9">
        <v>-380</v>
      </c>
      <c r="S29" s="9">
        <v>-433</v>
      </c>
      <c r="T29" s="9">
        <v>-284</v>
      </c>
      <c r="U29" s="9">
        <v>135</v>
      </c>
      <c r="V29" s="9">
        <v>-285</v>
      </c>
      <c r="W29" s="9">
        <v>-163</v>
      </c>
      <c r="X29" s="9">
        <v>-456</v>
      </c>
      <c r="Y29" s="9">
        <v>-21</v>
      </c>
      <c r="Z29" s="9">
        <v>-71</v>
      </c>
      <c r="AA29" s="9">
        <v>-29</v>
      </c>
      <c r="AB29" s="9">
        <v>-248</v>
      </c>
      <c r="AC29" s="9">
        <v>-483</v>
      </c>
      <c r="AD29" s="9">
        <v>-1053</v>
      </c>
      <c r="AE29" s="9">
        <v>-451</v>
      </c>
      <c r="AF29" s="9">
        <v>-47</v>
      </c>
      <c r="AG29" s="9">
        <v>-1566</v>
      </c>
      <c r="AH29" s="9">
        <v>-231</v>
      </c>
      <c r="AI29" s="9">
        <v>-189</v>
      </c>
      <c r="AJ29" s="9">
        <v>-95</v>
      </c>
      <c r="AK29" s="9">
        <v>-188</v>
      </c>
      <c r="AL29" s="9">
        <v>-352</v>
      </c>
      <c r="AM29" s="9">
        <v>-515</v>
      </c>
      <c r="AN29" s="9">
        <v>-580</v>
      </c>
    </row>
    <row r="30" spans="1:40" x14ac:dyDescent="0.25">
      <c r="A30" s="2"/>
      <c r="B30" s="13" t="s">
        <v>7110</v>
      </c>
      <c r="C30" s="9">
        <v>458</v>
      </c>
      <c r="D30" s="9">
        <v>1589</v>
      </c>
      <c r="E30" s="9">
        <v>629</v>
      </c>
      <c r="F30" s="9">
        <v>-218</v>
      </c>
      <c r="G30" s="9">
        <v>-162</v>
      </c>
      <c r="H30" s="9">
        <v>-180</v>
      </c>
      <c r="I30" s="9">
        <v>-696</v>
      </c>
      <c r="J30" s="9">
        <v>-452</v>
      </c>
      <c r="K30" s="9">
        <v>18</v>
      </c>
      <c r="L30" s="9">
        <v>-137</v>
      </c>
      <c r="M30" s="9">
        <v>46</v>
      </c>
      <c r="N30" s="9">
        <v>-5</v>
      </c>
      <c r="O30" s="9">
        <v>-141</v>
      </c>
      <c r="P30" s="9">
        <v>98</v>
      </c>
      <c r="Q30" s="9">
        <v>69</v>
      </c>
      <c r="R30" s="9">
        <v>-20</v>
      </c>
      <c r="S30" s="9">
        <v>166</v>
      </c>
      <c r="T30" s="9">
        <v>64</v>
      </c>
      <c r="U30" s="9">
        <v>12</v>
      </c>
      <c r="V30" s="9">
        <v>-52</v>
      </c>
      <c r="W30" s="9">
        <v>-54</v>
      </c>
      <c r="X30" s="9">
        <v>98</v>
      </c>
      <c r="Y30" s="9">
        <v>260</v>
      </c>
      <c r="Z30" s="9">
        <v>14</v>
      </c>
      <c r="AA30" s="9">
        <v>-37</v>
      </c>
      <c r="AB30" s="9">
        <v>198</v>
      </c>
      <c r="AC30" s="9">
        <v>68</v>
      </c>
      <c r="AD30" s="9">
        <v>-109</v>
      </c>
      <c r="AE30" s="9">
        <v>16</v>
      </c>
      <c r="AF30" s="9">
        <v>-94</v>
      </c>
      <c r="AG30" s="9">
        <v>-28</v>
      </c>
      <c r="AH30" s="9">
        <v>230</v>
      </c>
      <c r="AI30" s="9">
        <v>-73</v>
      </c>
      <c r="AJ30" s="9">
        <v>-84</v>
      </c>
      <c r="AK30" s="9">
        <v>-7</v>
      </c>
      <c r="AL30" s="9">
        <v>515</v>
      </c>
      <c r="AM30" s="9">
        <v>68</v>
      </c>
      <c r="AN30" s="9">
        <v>-299</v>
      </c>
    </row>
    <row r="31" spans="1:40" x14ac:dyDescent="0.25">
      <c r="A31" s="2"/>
      <c r="B31" s="13"/>
      <c r="C31" s="9">
        <f>SUM(C29:C30)</f>
        <v>-423</v>
      </c>
      <c r="D31" s="9">
        <f t="shared" ref="D31:AL31" si="5">SUM(D29:D30)</f>
        <v>774</v>
      </c>
      <c r="E31" s="9">
        <f t="shared" si="5"/>
        <v>322</v>
      </c>
      <c r="F31" s="9">
        <f t="shared" si="5"/>
        <v>-414</v>
      </c>
      <c r="G31" s="9">
        <f t="shared" si="5"/>
        <v>-163</v>
      </c>
      <c r="H31" s="9">
        <f t="shared" si="5"/>
        <v>-180</v>
      </c>
      <c r="I31" s="9">
        <f t="shared" si="5"/>
        <v>-696</v>
      </c>
      <c r="J31" s="9">
        <f t="shared" si="5"/>
        <v>-577</v>
      </c>
      <c r="K31" s="9">
        <f t="shared" si="5"/>
        <v>-284</v>
      </c>
      <c r="L31" s="9">
        <f t="shared" si="5"/>
        <v>-186</v>
      </c>
      <c r="M31" s="9">
        <f t="shared" si="5"/>
        <v>-718</v>
      </c>
      <c r="N31" s="9">
        <f t="shared" si="5"/>
        <v>96</v>
      </c>
      <c r="O31" s="9">
        <f t="shared" si="5"/>
        <v>-170</v>
      </c>
      <c r="P31" s="9">
        <f t="shared" si="5"/>
        <v>-144</v>
      </c>
      <c r="Q31" s="9">
        <f t="shared" si="5"/>
        <v>-211</v>
      </c>
      <c r="R31" s="9">
        <f t="shared" si="5"/>
        <v>-400</v>
      </c>
      <c r="S31" s="9">
        <f t="shared" si="5"/>
        <v>-267</v>
      </c>
      <c r="T31" s="9">
        <f t="shared" si="5"/>
        <v>-220</v>
      </c>
      <c r="U31" s="9">
        <f t="shared" si="5"/>
        <v>147</v>
      </c>
      <c r="V31" s="9">
        <f t="shared" si="5"/>
        <v>-337</v>
      </c>
      <c r="W31" s="9">
        <f t="shared" si="5"/>
        <v>-217</v>
      </c>
      <c r="X31" s="9">
        <f t="shared" si="5"/>
        <v>-358</v>
      </c>
      <c r="Y31" s="9">
        <f t="shared" si="5"/>
        <v>239</v>
      </c>
      <c r="Z31" s="9">
        <f t="shared" si="5"/>
        <v>-57</v>
      </c>
      <c r="AA31" s="9">
        <f t="shared" si="5"/>
        <v>-66</v>
      </c>
      <c r="AB31" s="9">
        <f t="shared" si="5"/>
        <v>-50</v>
      </c>
      <c r="AC31" s="9">
        <f t="shared" si="5"/>
        <v>-415</v>
      </c>
      <c r="AD31" s="9">
        <f t="shared" si="5"/>
        <v>-1162</v>
      </c>
      <c r="AE31" s="9">
        <f t="shared" si="5"/>
        <v>-435</v>
      </c>
      <c r="AF31" s="9">
        <f t="shared" si="5"/>
        <v>-141</v>
      </c>
      <c r="AG31" s="9">
        <f t="shared" si="5"/>
        <v>-1594</v>
      </c>
      <c r="AH31" s="9">
        <f t="shared" si="5"/>
        <v>-1</v>
      </c>
      <c r="AI31" s="9">
        <f t="shared" si="5"/>
        <v>-262</v>
      </c>
      <c r="AJ31" s="9">
        <f t="shared" si="5"/>
        <v>-179</v>
      </c>
      <c r="AK31" s="9">
        <f t="shared" si="5"/>
        <v>-195</v>
      </c>
      <c r="AL31" s="9">
        <f t="shared" si="5"/>
        <v>163</v>
      </c>
      <c r="AM31" s="9">
        <v>-447</v>
      </c>
      <c r="AN31" s="9">
        <v>-879</v>
      </c>
    </row>
    <row r="32" spans="1:40" x14ac:dyDescent="0.25">
      <c r="A32" s="2"/>
      <c r="B32" s="14" t="s">
        <v>7111</v>
      </c>
      <c r="C32" s="15">
        <f t="shared" ref="C32:AK32" si="6">SUM(C27,C29:C30)</f>
        <v>1123</v>
      </c>
      <c r="D32" s="15">
        <f t="shared" si="6"/>
        <v>-1161</v>
      </c>
      <c r="E32" s="15">
        <f t="shared" si="6"/>
        <v>-315</v>
      </c>
      <c r="F32" s="15">
        <f t="shared" si="6"/>
        <v>1151</v>
      </c>
      <c r="G32" s="15">
        <f t="shared" si="6"/>
        <v>247</v>
      </c>
      <c r="H32" s="15">
        <f t="shared" si="6"/>
        <v>263</v>
      </c>
      <c r="I32" s="15">
        <f t="shared" si="6"/>
        <v>1078</v>
      </c>
      <c r="J32" s="15">
        <f t="shared" si="6"/>
        <v>1605</v>
      </c>
      <c r="K32" s="15">
        <f t="shared" si="6"/>
        <v>477</v>
      </c>
      <c r="L32" s="15">
        <f t="shared" si="6"/>
        <v>302</v>
      </c>
      <c r="M32" s="15">
        <f t="shared" si="6"/>
        <v>1336</v>
      </c>
      <c r="N32" s="15">
        <f t="shared" si="6"/>
        <v>96</v>
      </c>
      <c r="O32" s="15">
        <f t="shared" si="6"/>
        <v>234</v>
      </c>
      <c r="P32" s="15">
        <f t="shared" si="6"/>
        <v>188</v>
      </c>
      <c r="Q32" s="15">
        <f t="shared" si="6"/>
        <v>335</v>
      </c>
      <c r="R32" s="15">
        <f t="shared" si="6"/>
        <v>3148</v>
      </c>
      <c r="S32" s="15">
        <f t="shared" si="6"/>
        <v>492</v>
      </c>
      <c r="T32" s="15">
        <f t="shared" si="6"/>
        <v>382</v>
      </c>
      <c r="U32" s="15">
        <f t="shared" si="6"/>
        <v>598</v>
      </c>
      <c r="V32" s="15">
        <f t="shared" si="6"/>
        <v>1025</v>
      </c>
      <c r="W32" s="15">
        <f t="shared" si="6"/>
        <v>325</v>
      </c>
      <c r="X32" s="15">
        <f t="shared" si="6"/>
        <v>707</v>
      </c>
      <c r="Y32" s="15">
        <f t="shared" si="6"/>
        <v>-61</v>
      </c>
      <c r="Z32" s="15">
        <f t="shared" si="6"/>
        <v>566</v>
      </c>
      <c r="AA32" s="15">
        <f t="shared" si="6"/>
        <v>81</v>
      </c>
      <c r="AB32" s="15">
        <f t="shared" si="6"/>
        <v>133</v>
      </c>
      <c r="AC32" s="15">
        <f t="shared" si="6"/>
        <v>1255</v>
      </c>
      <c r="AD32" s="15">
        <f t="shared" si="6"/>
        <v>3297</v>
      </c>
      <c r="AE32" s="15">
        <f t="shared" si="6"/>
        <v>789</v>
      </c>
      <c r="AF32" s="15">
        <f t="shared" si="6"/>
        <v>867</v>
      </c>
      <c r="AG32" s="15">
        <f t="shared" si="6"/>
        <v>4201</v>
      </c>
      <c r="AH32" s="15">
        <f t="shared" si="6"/>
        <v>510</v>
      </c>
      <c r="AI32" s="15">
        <f t="shared" si="6"/>
        <v>601</v>
      </c>
      <c r="AJ32" s="15">
        <f t="shared" si="6"/>
        <v>292</v>
      </c>
      <c r="AK32" s="15">
        <f t="shared" si="6"/>
        <v>407</v>
      </c>
      <c r="AL32" s="15">
        <v>679</v>
      </c>
      <c r="AM32" s="15">
        <v>1613</v>
      </c>
      <c r="AN32" s="15">
        <v>2352</v>
      </c>
    </row>
    <row r="33" spans="1:40" x14ac:dyDescent="0.25">
      <c r="A33" s="2"/>
      <c r="B33" s="6" t="s">
        <v>7112</v>
      </c>
      <c r="C33" s="18">
        <v>0.96394849785407721</v>
      </c>
      <c r="D33" s="18">
        <v>-0.99656652360515019</v>
      </c>
      <c r="E33" s="18">
        <v>-0.27038626609442062</v>
      </c>
      <c r="F33" s="18">
        <v>0.98798283261802577</v>
      </c>
      <c r="G33" s="18">
        <v>0.21201716738197424</v>
      </c>
      <c r="H33" s="18">
        <v>0.22575107296137339</v>
      </c>
      <c r="I33" s="18">
        <v>0.92532188841201712</v>
      </c>
      <c r="J33" s="18">
        <v>1.3776824034334765</v>
      </c>
      <c r="K33" s="18">
        <v>0.40944206008583689</v>
      </c>
      <c r="L33" s="18">
        <v>0.2592274678111588</v>
      </c>
      <c r="M33" s="18">
        <v>1.1467811158798282</v>
      </c>
      <c r="N33" s="18">
        <v>8.2403433476394852E-2</v>
      </c>
      <c r="O33" s="18">
        <v>0.20085836909871244</v>
      </c>
      <c r="P33" s="18">
        <v>0.16137339055793992</v>
      </c>
      <c r="Q33" s="18">
        <v>0.28755364806866951</v>
      </c>
      <c r="R33" s="18">
        <v>2.702145922746781</v>
      </c>
      <c r="S33" s="18">
        <v>0.42231759656652362</v>
      </c>
      <c r="T33" s="18">
        <v>0.3278969957081545</v>
      </c>
      <c r="U33" s="18">
        <v>0.51330472103004288</v>
      </c>
      <c r="V33" s="18">
        <v>0.87982832618025753</v>
      </c>
      <c r="W33" s="18">
        <v>0.27896995708154504</v>
      </c>
      <c r="X33" s="18">
        <v>0.6068669527896996</v>
      </c>
      <c r="Y33" s="18">
        <v>-5.2360515021459227E-2</v>
      </c>
      <c r="Z33" s="18">
        <v>0.48583690987124462</v>
      </c>
      <c r="AA33" s="18">
        <v>6.9527896995708161E-2</v>
      </c>
      <c r="AB33" s="18">
        <v>0.11416309012875536</v>
      </c>
      <c r="AC33" s="18">
        <v>1.0772532188841202</v>
      </c>
      <c r="AD33" s="18">
        <v>2.8300429184549358</v>
      </c>
      <c r="AE33" s="18">
        <v>0.70509383378016088</v>
      </c>
      <c r="AF33" s="18">
        <v>0.77479892761394098</v>
      </c>
      <c r="AG33" s="18">
        <v>3.7542448614834676</v>
      </c>
      <c r="AH33" s="18">
        <v>0.45576407506702415</v>
      </c>
      <c r="AI33" s="18">
        <v>0.5370866845397676</v>
      </c>
      <c r="AJ33" s="18">
        <v>0.26094727435210008</v>
      </c>
      <c r="AK33" s="18">
        <f>AK32/1119</f>
        <v>0.36371760500446826</v>
      </c>
      <c r="AL33" s="18">
        <f>AL32/1198</f>
        <v>0.56677796327212016</v>
      </c>
      <c r="AM33" s="18">
        <f>AM32/1198</f>
        <v>1.3464106844741235</v>
      </c>
      <c r="AN33" s="18">
        <f>AN32/1198</f>
        <v>1.9632721202003338</v>
      </c>
    </row>
    <row r="34" spans="1:40" ht="5.0999999999999996" customHeight="1" x14ac:dyDescent="0.25">
      <c r="A34" s="2"/>
      <c r="B34" s="8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</row>
    <row r="35" spans="1:40" x14ac:dyDescent="0.25">
      <c r="A35" s="2"/>
      <c r="B35" s="13" t="s">
        <v>7113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47.121000000000002</v>
      </c>
      <c r="AJ35" s="9">
        <v>63.841999999999999</v>
      </c>
      <c r="AK35" s="9">
        <v>78.366</v>
      </c>
      <c r="AL35" s="9">
        <v>-8.4969999999999999</v>
      </c>
      <c r="AM35" s="9">
        <v>95.740577559998968</v>
      </c>
      <c r="AN35" s="9">
        <v>-14.981110309999883</v>
      </c>
    </row>
    <row r="36" spans="1:40" x14ac:dyDescent="0.25">
      <c r="A36" s="2"/>
      <c r="B36" s="13" t="s">
        <v>7114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 s="9">
        <v>0</v>
      </c>
      <c r="AG36" s="9">
        <v>0</v>
      </c>
      <c r="AH36" s="9">
        <v>0</v>
      </c>
      <c r="AI36" s="9">
        <v>34.823</v>
      </c>
      <c r="AJ36" s="9">
        <v>5.4660000000000002</v>
      </c>
      <c r="AK36" s="9">
        <v>11.865</v>
      </c>
      <c r="AL36" s="9">
        <v>17.071000000000002</v>
      </c>
      <c r="AM36" s="9">
        <v>-36.008663029999994</v>
      </c>
      <c r="AN36" s="9">
        <v>-50.497803160000011</v>
      </c>
    </row>
    <row r="37" spans="1:40" x14ac:dyDescent="0.25">
      <c r="A37" s="2"/>
      <c r="B37" s="13" t="s">
        <v>7115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-7.2530000000000001</v>
      </c>
      <c r="AJ37" s="9">
        <v>-133.215</v>
      </c>
      <c r="AK37" s="9">
        <v>-10.726000000000001</v>
      </c>
      <c r="AL37" s="9">
        <v>2.0960000000000001</v>
      </c>
      <c r="AM37" s="9">
        <v>-88.503687070000012</v>
      </c>
      <c r="AN37" s="9">
        <v>-15.877499109999992</v>
      </c>
    </row>
    <row r="38" spans="1:40" x14ac:dyDescent="0.25">
      <c r="A38" s="2"/>
      <c r="B38" s="13" t="s">
        <v>7116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  <c r="AF38" s="9">
        <v>0</v>
      </c>
      <c r="AG38" s="9">
        <v>0</v>
      </c>
      <c r="AH38" s="9">
        <v>0</v>
      </c>
      <c r="AI38" s="9">
        <v>336.94099999999997</v>
      </c>
      <c r="AJ38" s="9">
        <v>230.11199999999999</v>
      </c>
      <c r="AK38" s="9">
        <v>92.614000000000004</v>
      </c>
      <c r="AL38" s="9">
        <v>-84.5</v>
      </c>
      <c r="AM38" s="9">
        <v>97.92452014999995</v>
      </c>
      <c r="AN38" s="9">
        <v>10.38389675</v>
      </c>
    </row>
    <row r="39" spans="1:40" x14ac:dyDescent="0.25">
      <c r="A39" s="2"/>
      <c r="B39" s="13" t="s">
        <v>7117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15.717701590000001</v>
      </c>
      <c r="AJ39" s="9">
        <v>16.525489050000001</v>
      </c>
      <c r="AK39" s="9">
        <v>-14.851000000000001</v>
      </c>
      <c r="AL39" s="9">
        <v>11.102</v>
      </c>
      <c r="AM39" s="9">
        <v>2.2821565400000003</v>
      </c>
      <c r="AN39" s="9">
        <v>2.44735763</v>
      </c>
    </row>
    <row r="40" spans="1:40" x14ac:dyDescent="0.25">
      <c r="A40" s="2"/>
      <c r="B40" s="13" t="s">
        <v>7118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-18.899138540600003</v>
      </c>
      <c r="AJ40" s="9">
        <v>17.968153723</v>
      </c>
      <c r="AK40" s="9">
        <v>-17.948</v>
      </c>
      <c r="AL40" s="9">
        <v>-1.734</v>
      </c>
      <c r="AM40" s="9">
        <v>-3.2364760000000001</v>
      </c>
      <c r="AN40" s="9">
        <v>9.6598260000000007</v>
      </c>
    </row>
    <row r="41" spans="1:40" x14ac:dyDescent="0.25">
      <c r="A41" s="2"/>
      <c r="B41" s="14" t="s">
        <v>7119</v>
      </c>
      <c r="C41" s="15">
        <f>SUM(C32,C35:C40)</f>
        <v>1123</v>
      </c>
      <c r="D41" s="15">
        <f t="shared" ref="D41:AN41" si="7">SUM(D32,D35:D40)</f>
        <v>-1161</v>
      </c>
      <c r="E41" s="15">
        <f t="shared" si="7"/>
        <v>-315</v>
      </c>
      <c r="F41" s="15">
        <f t="shared" si="7"/>
        <v>1151</v>
      </c>
      <c r="G41" s="15">
        <f t="shared" si="7"/>
        <v>247</v>
      </c>
      <c r="H41" s="15">
        <f t="shared" si="7"/>
        <v>263</v>
      </c>
      <c r="I41" s="15">
        <f t="shared" si="7"/>
        <v>1078</v>
      </c>
      <c r="J41" s="15">
        <f t="shared" si="7"/>
        <v>1605</v>
      </c>
      <c r="K41" s="15">
        <f t="shared" si="7"/>
        <v>477</v>
      </c>
      <c r="L41" s="15">
        <f t="shared" si="7"/>
        <v>302</v>
      </c>
      <c r="M41" s="15">
        <f t="shared" si="7"/>
        <v>1336</v>
      </c>
      <c r="N41" s="15">
        <f t="shared" si="7"/>
        <v>96</v>
      </c>
      <c r="O41" s="15">
        <f t="shared" si="7"/>
        <v>234</v>
      </c>
      <c r="P41" s="15">
        <f t="shared" si="7"/>
        <v>188</v>
      </c>
      <c r="Q41" s="15">
        <f t="shared" si="7"/>
        <v>335</v>
      </c>
      <c r="R41" s="15">
        <f t="shared" si="7"/>
        <v>3148</v>
      </c>
      <c r="S41" s="15">
        <f t="shared" si="7"/>
        <v>492</v>
      </c>
      <c r="T41" s="15">
        <f t="shared" si="7"/>
        <v>382</v>
      </c>
      <c r="U41" s="15">
        <f t="shared" si="7"/>
        <v>598</v>
      </c>
      <c r="V41" s="15">
        <f t="shared" si="7"/>
        <v>1025</v>
      </c>
      <c r="W41" s="15">
        <f t="shared" si="7"/>
        <v>325</v>
      </c>
      <c r="X41" s="15">
        <f t="shared" si="7"/>
        <v>707</v>
      </c>
      <c r="Y41" s="15">
        <f t="shared" si="7"/>
        <v>-61</v>
      </c>
      <c r="Z41" s="15">
        <f t="shared" si="7"/>
        <v>566</v>
      </c>
      <c r="AA41" s="15">
        <f t="shared" si="7"/>
        <v>81</v>
      </c>
      <c r="AB41" s="15">
        <f t="shared" si="7"/>
        <v>133</v>
      </c>
      <c r="AC41" s="15">
        <f t="shared" si="7"/>
        <v>1255</v>
      </c>
      <c r="AD41" s="15">
        <f t="shared" si="7"/>
        <v>3297</v>
      </c>
      <c r="AE41" s="15">
        <f t="shared" si="7"/>
        <v>789</v>
      </c>
      <c r="AF41" s="15">
        <f t="shared" si="7"/>
        <v>867</v>
      </c>
      <c r="AG41" s="15">
        <f t="shared" si="7"/>
        <v>4201</v>
      </c>
      <c r="AH41" s="15">
        <f t="shared" si="7"/>
        <v>510</v>
      </c>
      <c r="AI41" s="15">
        <f t="shared" si="7"/>
        <v>1009.4505630493998</v>
      </c>
      <c r="AJ41" s="15">
        <f t="shared" si="7"/>
        <v>492.69864277299996</v>
      </c>
      <c r="AK41" s="15">
        <f t="shared" si="7"/>
        <v>546.32000000000005</v>
      </c>
      <c r="AL41" s="15">
        <f t="shared" si="7"/>
        <v>614.53800000000001</v>
      </c>
      <c r="AM41" s="15">
        <f t="shared" si="7"/>
        <v>1681.1984281499988</v>
      </c>
      <c r="AN41" s="15">
        <f t="shared" si="7"/>
        <v>2293.1346678000004</v>
      </c>
    </row>
    <row r="42" spans="1:40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793F8-607D-4E9A-B227-2A619EB62536}">
  <sheetPr>
    <tabColor theme="5"/>
  </sheetPr>
  <dimension ref="A1:AN111"/>
  <sheetViews>
    <sheetView workbookViewId="0">
      <pane xSplit="2" ySplit="3" topLeftCell="C52" activePane="bottomRight" state="frozen"/>
      <selection activeCell="AG12" sqref="AG12"/>
      <selection pane="topRight" activeCell="AG12" sqref="AG12"/>
      <selection pane="bottomLeft" activeCell="AG12" sqref="AG12"/>
      <selection pane="bottomRight" activeCell="A69" sqref="A69:XFD69"/>
    </sheetView>
  </sheetViews>
  <sheetFormatPr defaultRowHeight="15" customHeight="1" zeroHeight="1" x14ac:dyDescent="0.25"/>
  <cols>
    <col min="1" max="1" width="2.85546875" bestFit="1" customWidth="1"/>
    <col min="2" max="2" width="84" bestFit="1" customWidth="1"/>
    <col min="39" max="39" width="8.7109375" customWidth="1"/>
  </cols>
  <sheetData>
    <row r="1" spans="1:40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 x14ac:dyDescent="0.25">
      <c r="A3" s="2"/>
      <c r="B3" s="3" t="s">
        <v>7120</v>
      </c>
      <c r="C3" s="4">
        <v>2014</v>
      </c>
      <c r="D3" s="4">
        <v>2015</v>
      </c>
      <c r="E3" s="4">
        <v>2016</v>
      </c>
      <c r="F3" s="4">
        <v>2017</v>
      </c>
      <c r="G3" s="4" t="s">
        <v>7055</v>
      </c>
      <c r="H3" s="4" t="s">
        <v>7056</v>
      </c>
      <c r="I3" s="4" t="s">
        <v>7057</v>
      </c>
      <c r="J3" s="4" t="s">
        <v>7058</v>
      </c>
      <c r="K3" s="4" t="s">
        <v>7059</v>
      </c>
      <c r="L3" s="4" t="s">
        <v>7060</v>
      </c>
      <c r="M3" s="4" t="s">
        <v>7061</v>
      </c>
      <c r="N3" s="4" t="s">
        <v>7062</v>
      </c>
      <c r="O3" s="4" t="s">
        <v>7063</v>
      </c>
      <c r="P3" s="4" t="s">
        <v>7064</v>
      </c>
      <c r="Q3" s="4" t="s">
        <v>7065</v>
      </c>
      <c r="R3" s="4" t="s">
        <v>7066</v>
      </c>
      <c r="S3" s="4" t="s">
        <v>7067</v>
      </c>
      <c r="T3" s="4" t="s">
        <v>7068</v>
      </c>
      <c r="U3" s="4" t="s">
        <v>7069</v>
      </c>
      <c r="V3" s="4" t="s">
        <v>7070</v>
      </c>
      <c r="W3" s="4" t="s">
        <v>7071</v>
      </c>
      <c r="X3" s="4" t="s">
        <v>7072</v>
      </c>
      <c r="Y3" s="4" t="s">
        <v>7073</v>
      </c>
      <c r="Z3" s="4" t="s">
        <v>7074</v>
      </c>
      <c r="AA3" s="4" t="s">
        <v>7075</v>
      </c>
      <c r="AB3" s="4" t="s">
        <v>7076</v>
      </c>
      <c r="AC3" s="4" t="s">
        <v>7077</v>
      </c>
      <c r="AD3" s="4" t="s">
        <v>7078</v>
      </c>
      <c r="AE3" s="4" t="s">
        <v>7079</v>
      </c>
      <c r="AF3" s="4" t="s">
        <v>7080</v>
      </c>
      <c r="AG3" s="4" t="s">
        <v>7081</v>
      </c>
      <c r="AH3" s="4" t="s">
        <v>7082</v>
      </c>
      <c r="AI3" s="4" t="s">
        <v>7083</v>
      </c>
      <c r="AJ3" s="4" t="s">
        <v>7084</v>
      </c>
      <c r="AK3" s="4" t="s">
        <v>7085</v>
      </c>
      <c r="AL3" s="4" t="s">
        <v>7086</v>
      </c>
      <c r="AM3" s="4" t="s">
        <v>7087</v>
      </c>
      <c r="AN3" s="4" t="s">
        <v>7088</v>
      </c>
    </row>
    <row r="4" spans="1:40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</row>
    <row r="5" spans="1:40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</row>
    <row r="6" spans="1:40" x14ac:dyDescent="0.25">
      <c r="A6" s="2"/>
      <c r="B6" s="5" t="s">
        <v>7089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</row>
    <row r="7" spans="1:40" x14ac:dyDescent="0.25">
      <c r="A7" s="2"/>
      <c r="B7" s="6" t="s">
        <v>7090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</row>
    <row r="8" spans="1:40" ht="5.0999999999999996" customHeight="1" x14ac:dyDescent="0.25">
      <c r="A8" s="2"/>
      <c r="B8" s="8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</row>
    <row r="9" spans="1:40" x14ac:dyDescent="0.25">
      <c r="A9" s="2"/>
      <c r="B9" s="5" t="s">
        <v>7121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</row>
    <row r="10" spans="1:40" x14ac:dyDescent="0.25">
      <c r="A10" s="2"/>
      <c r="B10" s="14" t="s">
        <v>7122</v>
      </c>
      <c r="C10" s="15">
        <v>1123</v>
      </c>
      <c r="D10" s="15">
        <v>-1161</v>
      </c>
      <c r="E10" s="15">
        <v>-315</v>
      </c>
      <c r="F10" s="15">
        <v>1151</v>
      </c>
      <c r="G10" s="15">
        <v>247</v>
      </c>
      <c r="H10" s="15">
        <v>263</v>
      </c>
      <c r="I10" s="15">
        <v>1078</v>
      </c>
      <c r="J10" s="15">
        <v>1605</v>
      </c>
      <c r="K10" s="15">
        <v>477</v>
      </c>
      <c r="L10" s="15">
        <v>302</v>
      </c>
      <c r="M10" s="15">
        <v>1336</v>
      </c>
      <c r="N10" s="15">
        <v>96</v>
      </c>
      <c r="O10" s="15">
        <v>234</v>
      </c>
      <c r="P10" s="15">
        <v>188</v>
      </c>
      <c r="Q10" s="15">
        <v>335</v>
      </c>
      <c r="R10" s="15">
        <v>3148</v>
      </c>
      <c r="S10" s="15">
        <v>492</v>
      </c>
      <c r="T10" s="15">
        <v>382</v>
      </c>
      <c r="U10" s="15">
        <v>598</v>
      </c>
      <c r="V10" s="15">
        <v>1025</v>
      </c>
      <c r="W10" s="15">
        <v>325</v>
      </c>
      <c r="X10" s="15">
        <v>707</v>
      </c>
      <c r="Y10" s="15">
        <v>-61</v>
      </c>
      <c r="Z10" s="15">
        <v>566</v>
      </c>
      <c r="AA10" s="15">
        <v>81</v>
      </c>
      <c r="AB10" s="15">
        <v>133</v>
      </c>
      <c r="AC10" s="15">
        <v>1255</v>
      </c>
      <c r="AD10" s="15">
        <v>3297</v>
      </c>
      <c r="AE10" s="15">
        <v>789</v>
      </c>
      <c r="AF10" s="15">
        <v>867</v>
      </c>
      <c r="AG10" s="15">
        <v>4201</v>
      </c>
      <c r="AH10" s="15">
        <v>510</v>
      </c>
      <c r="AI10" s="15">
        <f>'02. DRE'!AI32</f>
        <v>601</v>
      </c>
      <c r="AJ10" s="15">
        <f>'02. DRE'!AJ32</f>
        <v>292</v>
      </c>
      <c r="AK10" s="15">
        <f>'02. DRE'!AK32</f>
        <v>407</v>
      </c>
      <c r="AL10" s="15">
        <f>'02. DRE'!AL32</f>
        <v>679</v>
      </c>
      <c r="AM10" s="15">
        <v>1613</v>
      </c>
      <c r="AN10" s="15">
        <v>2352</v>
      </c>
    </row>
    <row r="11" spans="1:40" ht="5.0999999999999996" customHeight="1" x14ac:dyDescent="0.25">
      <c r="A11" s="2"/>
      <c r="B11" s="8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</row>
    <row r="12" spans="1:40" x14ac:dyDescent="0.25">
      <c r="A12" s="2"/>
      <c r="B12" s="5" t="s">
        <v>7123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</row>
    <row r="13" spans="1:40" x14ac:dyDescent="0.25">
      <c r="A13" s="2"/>
      <c r="B13" s="12" t="s">
        <v>7108</v>
      </c>
      <c r="C13" s="9">
        <v>423</v>
      </c>
      <c r="D13" s="9">
        <v>-774</v>
      </c>
      <c r="E13" s="9">
        <v>-322</v>
      </c>
      <c r="F13" s="9">
        <v>414</v>
      </c>
      <c r="G13" s="9">
        <v>163</v>
      </c>
      <c r="H13" s="9">
        <v>180</v>
      </c>
      <c r="I13" s="9">
        <v>696</v>
      </c>
      <c r="J13" s="9">
        <v>577</v>
      </c>
      <c r="K13" s="9">
        <v>284</v>
      </c>
      <c r="L13" s="9">
        <v>186</v>
      </c>
      <c r="M13" s="9">
        <v>718</v>
      </c>
      <c r="N13" s="9">
        <v>-96</v>
      </c>
      <c r="O13" s="9">
        <v>170</v>
      </c>
      <c r="P13" s="9">
        <v>144</v>
      </c>
      <c r="Q13" s="9">
        <v>211</v>
      </c>
      <c r="R13" s="9">
        <v>400</v>
      </c>
      <c r="S13" s="9">
        <v>267</v>
      </c>
      <c r="T13" s="9">
        <v>220</v>
      </c>
      <c r="U13" s="9">
        <v>-147</v>
      </c>
      <c r="V13" s="9">
        <v>337</v>
      </c>
      <c r="W13" s="9">
        <v>217</v>
      </c>
      <c r="X13" s="9">
        <v>358</v>
      </c>
      <c r="Y13" s="9">
        <v>-239</v>
      </c>
      <c r="Z13" s="9">
        <v>57</v>
      </c>
      <c r="AA13" s="9">
        <v>66</v>
      </c>
      <c r="AB13" s="9">
        <v>50</v>
      </c>
      <c r="AC13" s="9">
        <v>415</v>
      </c>
      <c r="AD13" s="9">
        <v>1162</v>
      </c>
      <c r="AE13" s="9">
        <v>435</v>
      </c>
      <c r="AF13" s="9">
        <v>141</v>
      </c>
      <c r="AG13" s="9">
        <v>1594</v>
      </c>
      <c r="AH13" s="9">
        <v>1</v>
      </c>
      <c r="AI13" s="9">
        <v>262</v>
      </c>
      <c r="AJ13" s="9">
        <v>179</v>
      </c>
      <c r="AK13" s="9">
        <v>195</v>
      </c>
      <c r="AL13" s="9">
        <v>-163</v>
      </c>
      <c r="AM13" s="9">
        <v>447</v>
      </c>
      <c r="AN13" s="9">
        <v>879</v>
      </c>
    </row>
    <row r="14" spans="1:40" x14ac:dyDescent="0.25">
      <c r="A14" s="2"/>
      <c r="B14" s="12" t="s">
        <v>7124</v>
      </c>
      <c r="C14" s="9">
        <v>403</v>
      </c>
      <c r="D14" s="9">
        <v>471</v>
      </c>
      <c r="E14" s="9">
        <v>454</v>
      </c>
      <c r="F14" s="9">
        <v>452</v>
      </c>
      <c r="G14" s="9">
        <v>106</v>
      </c>
      <c r="H14" s="9">
        <v>107</v>
      </c>
      <c r="I14" s="9">
        <v>102</v>
      </c>
      <c r="J14" s="9">
        <v>102</v>
      </c>
      <c r="K14" s="9">
        <v>128</v>
      </c>
      <c r="L14" s="9">
        <v>127</v>
      </c>
      <c r="M14" s="9">
        <v>127</v>
      </c>
      <c r="N14" s="9">
        <v>146</v>
      </c>
      <c r="O14" s="9">
        <v>135</v>
      </c>
      <c r="P14" s="9">
        <v>136</v>
      </c>
      <c r="Q14" s="9">
        <v>132</v>
      </c>
      <c r="R14" s="9">
        <v>134</v>
      </c>
      <c r="S14" s="9">
        <v>139</v>
      </c>
      <c r="T14" s="9">
        <v>140</v>
      </c>
      <c r="U14" s="9">
        <v>144</v>
      </c>
      <c r="V14" s="9">
        <v>136</v>
      </c>
      <c r="W14" s="9">
        <v>139</v>
      </c>
      <c r="X14" s="9">
        <v>135</v>
      </c>
      <c r="Y14" s="9">
        <v>142</v>
      </c>
      <c r="Z14" s="9">
        <v>137</v>
      </c>
      <c r="AA14" s="9">
        <v>138</v>
      </c>
      <c r="AB14" s="9">
        <v>136</v>
      </c>
      <c r="AC14" s="9">
        <v>139</v>
      </c>
      <c r="AD14" s="9">
        <v>141</v>
      </c>
      <c r="AE14" s="9">
        <v>143</v>
      </c>
      <c r="AF14" s="9">
        <v>135</v>
      </c>
      <c r="AG14" s="9">
        <v>140</v>
      </c>
      <c r="AH14" s="9">
        <v>136</v>
      </c>
      <c r="AI14" s="9">
        <v>242</v>
      </c>
      <c r="AJ14" s="9">
        <v>263</v>
      </c>
      <c r="AK14" s="9">
        <v>269</v>
      </c>
      <c r="AL14" s="9">
        <v>294</v>
      </c>
      <c r="AM14" s="9">
        <v>289</v>
      </c>
      <c r="AN14" s="9">
        <v>352</v>
      </c>
    </row>
    <row r="15" spans="1:40" x14ac:dyDescent="0.25">
      <c r="A15" s="2"/>
      <c r="B15" s="12" t="s">
        <v>7125</v>
      </c>
      <c r="C15" s="9">
        <v>0</v>
      </c>
      <c r="D15" s="9">
        <v>298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705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</row>
    <row r="16" spans="1:40" x14ac:dyDescent="0.25">
      <c r="A16" s="2"/>
      <c r="B16" s="12" t="s">
        <v>7126</v>
      </c>
      <c r="C16" s="9">
        <v>-40</v>
      </c>
      <c r="D16" s="9">
        <v>12</v>
      </c>
      <c r="E16" s="9">
        <v>-1</v>
      </c>
      <c r="F16" s="9">
        <v>34</v>
      </c>
      <c r="G16" s="9">
        <v>-1</v>
      </c>
      <c r="H16" s="9">
        <v>-9</v>
      </c>
      <c r="I16" s="9">
        <v>-16</v>
      </c>
      <c r="J16" s="9">
        <v>13</v>
      </c>
      <c r="K16" s="9">
        <v>-6</v>
      </c>
      <c r="L16" s="9">
        <v>-4</v>
      </c>
      <c r="M16" s="9">
        <v>0</v>
      </c>
      <c r="N16" s="9">
        <v>-7</v>
      </c>
      <c r="O16" s="9">
        <v>-3</v>
      </c>
      <c r="P16" s="9">
        <v>8</v>
      </c>
      <c r="Q16" s="9">
        <v>160</v>
      </c>
      <c r="R16" s="9">
        <v>-18</v>
      </c>
      <c r="S16" s="9">
        <v>-54</v>
      </c>
      <c r="T16" s="9">
        <v>-35</v>
      </c>
      <c r="U16" s="9">
        <v>30</v>
      </c>
      <c r="V16" s="9">
        <v>-39</v>
      </c>
      <c r="W16" s="9">
        <v>-530</v>
      </c>
      <c r="X16" s="9">
        <v>-19</v>
      </c>
      <c r="Y16" s="9">
        <v>-170</v>
      </c>
      <c r="Z16" s="9">
        <v>-284</v>
      </c>
      <c r="AA16" s="9">
        <v>-42</v>
      </c>
      <c r="AB16" s="9">
        <v>-58</v>
      </c>
      <c r="AC16" s="9">
        <v>-641</v>
      </c>
      <c r="AD16" s="9">
        <v>-97</v>
      </c>
      <c r="AE16" s="9">
        <v>-57</v>
      </c>
      <c r="AF16" s="9">
        <v>-108</v>
      </c>
      <c r="AG16" s="9">
        <v>-64</v>
      </c>
      <c r="AH16" s="9">
        <v>-132</v>
      </c>
      <c r="AI16" s="9">
        <v>-40</v>
      </c>
      <c r="AJ16" s="9">
        <v>355</v>
      </c>
      <c r="AK16" s="9">
        <v>-84</v>
      </c>
      <c r="AL16" s="9">
        <v>-156</v>
      </c>
      <c r="AM16" s="9">
        <v>-14</v>
      </c>
      <c r="AN16" s="9">
        <v>-32</v>
      </c>
    </row>
    <row r="17" spans="1:40" x14ac:dyDescent="0.25">
      <c r="A17" s="2"/>
      <c r="B17" s="12" t="s">
        <v>7127</v>
      </c>
      <c r="C17" s="9">
        <v>1109</v>
      </c>
      <c r="D17" s="9">
        <v>2919</v>
      </c>
      <c r="E17" s="9">
        <v>676</v>
      </c>
      <c r="F17" s="9">
        <v>-40</v>
      </c>
      <c r="G17" s="9">
        <v>1</v>
      </c>
      <c r="H17" s="9">
        <v>51</v>
      </c>
      <c r="I17" s="9">
        <v>44</v>
      </c>
      <c r="J17" s="9">
        <v>-54</v>
      </c>
      <c r="K17" s="9">
        <v>23</v>
      </c>
      <c r="L17" s="9">
        <v>13</v>
      </c>
      <c r="M17" s="9">
        <v>11</v>
      </c>
      <c r="N17" s="9">
        <v>32</v>
      </c>
      <c r="O17" s="9">
        <v>39</v>
      </c>
      <c r="P17" s="9">
        <v>67</v>
      </c>
      <c r="Q17" s="9">
        <v>2</v>
      </c>
      <c r="R17" s="9">
        <v>-29</v>
      </c>
      <c r="S17" s="9">
        <v>178</v>
      </c>
      <c r="T17" s="9">
        <v>-3</v>
      </c>
      <c r="U17" s="9">
        <v>69</v>
      </c>
      <c r="V17" s="9">
        <v>68</v>
      </c>
      <c r="W17" s="9">
        <v>-1</v>
      </c>
      <c r="X17" s="9">
        <v>-1</v>
      </c>
      <c r="Y17" s="9">
        <v>49</v>
      </c>
      <c r="Z17" s="9">
        <v>5</v>
      </c>
      <c r="AA17" s="9">
        <v>14</v>
      </c>
      <c r="AB17" s="9">
        <v>38</v>
      </c>
      <c r="AC17" s="9">
        <v>50</v>
      </c>
      <c r="AD17" s="9">
        <v>0</v>
      </c>
      <c r="AE17" s="9">
        <v>15</v>
      </c>
      <c r="AF17" s="9">
        <v>-25</v>
      </c>
      <c r="AG17" s="9">
        <v>-16</v>
      </c>
      <c r="AH17" s="9">
        <v>4</v>
      </c>
      <c r="AI17" s="9">
        <v>29</v>
      </c>
      <c r="AJ17" s="9">
        <v>-1</v>
      </c>
      <c r="AK17" s="9">
        <v>17</v>
      </c>
      <c r="AL17" s="9">
        <v>37</v>
      </c>
      <c r="AM17" s="9">
        <v>42</v>
      </c>
      <c r="AN17" s="9">
        <v>2</v>
      </c>
    </row>
    <row r="18" spans="1:40" x14ac:dyDescent="0.25">
      <c r="A18" s="2"/>
      <c r="B18" s="12" t="s">
        <v>7106</v>
      </c>
      <c r="C18" s="9">
        <v>2</v>
      </c>
      <c r="D18" s="9">
        <v>-3</v>
      </c>
      <c r="E18" s="9">
        <v>1</v>
      </c>
      <c r="F18" s="9">
        <v>2</v>
      </c>
      <c r="G18" s="9">
        <v>1</v>
      </c>
      <c r="H18" s="9">
        <v>0</v>
      </c>
      <c r="I18" s="9">
        <v>1</v>
      </c>
      <c r="J18" s="9">
        <v>-1</v>
      </c>
      <c r="K18" s="9">
        <v>-1</v>
      </c>
      <c r="L18" s="9">
        <v>0</v>
      </c>
      <c r="M18" s="9">
        <v>0</v>
      </c>
      <c r="N18" s="9">
        <v>-1</v>
      </c>
      <c r="O18" s="9">
        <v>1</v>
      </c>
      <c r="P18" s="9">
        <v>1</v>
      </c>
      <c r="Q18" s="9">
        <v>1</v>
      </c>
      <c r="R18" s="9">
        <v>-12</v>
      </c>
      <c r="S18" s="9">
        <v>-7</v>
      </c>
      <c r="T18" s="9">
        <v>-2</v>
      </c>
      <c r="U18" s="9">
        <v>-76</v>
      </c>
      <c r="V18" s="9">
        <v>-27</v>
      </c>
      <c r="W18" s="9">
        <v>-17</v>
      </c>
      <c r="X18" s="9">
        <v>-14</v>
      </c>
      <c r="Y18" s="9">
        <v>-16</v>
      </c>
      <c r="Z18" s="9">
        <v>51</v>
      </c>
      <c r="AA18" s="9">
        <v>2</v>
      </c>
      <c r="AB18" s="9">
        <v>26</v>
      </c>
      <c r="AC18" s="9">
        <v>49</v>
      </c>
      <c r="AD18" s="9">
        <v>-41</v>
      </c>
      <c r="AE18" s="9">
        <v>71</v>
      </c>
      <c r="AF18" s="9">
        <v>-79</v>
      </c>
      <c r="AG18" s="9">
        <v>30</v>
      </c>
      <c r="AH18" s="9">
        <v>-122</v>
      </c>
      <c r="AI18" s="9">
        <v>-29</v>
      </c>
      <c r="AJ18" s="9">
        <v>10</v>
      </c>
      <c r="AK18" s="9">
        <v>-44</v>
      </c>
      <c r="AL18" s="9">
        <v>-38</v>
      </c>
      <c r="AM18" s="9">
        <v>7</v>
      </c>
      <c r="AN18" s="9">
        <v>22</v>
      </c>
    </row>
    <row r="19" spans="1:40" x14ac:dyDescent="0.25">
      <c r="A19" s="2"/>
      <c r="B19" s="12" t="s">
        <v>7128</v>
      </c>
      <c r="C19" s="9">
        <v>348</v>
      </c>
      <c r="D19" s="9">
        <v>412</v>
      </c>
      <c r="E19" s="9">
        <v>542</v>
      </c>
      <c r="F19" s="9">
        <v>545</v>
      </c>
      <c r="G19" s="9">
        <v>121</v>
      </c>
      <c r="H19" s="9">
        <v>136</v>
      </c>
      <c r="I19" s="9">
        <v>131</v>
      </c>
      <c r="J19" s="9">
        <v>134</v>
      </c>
      <c r="K19" s="9">
        <v>124</v>
      </c>
      <c r="L19" s="9">
        <v>119</v>
      </c>
      <c r="M19" s="9">
        <v>135</v>
      </c>
      <c r="N19" s="9">
        <v>141</v>
      </c>
      <c r="O19" s="9">
        <v>152</v>
      </c>
      <c r="P19" s="9">
        <v>157</v>
      </c>
      <c r="Q19" s="9">
        <v>158</v>
      </c>
      <c r="R19" s="9">
        <v>185</v>
      </c>
      <c r="S19" s="9">
        <v>194</v>
      </c>
      <c r="T19" s="9">
        <v>241</v>
      </c>
      <c r="U19" s="9">
        <v>192</v>
      </c>
      <c r="V19" s="9">
        <v>188</v>
      </c>
      <c r="W19" s="9">
        <v>123</v>
      </c>
      <c r="X19" s="9">
        <v>141</v>
      </c>
      <c r="Y19" s="9">
        <v>231</v>
      </c>
      <c r="Z19" s="9">
        <v>172</v>
      </c>
      <c r="AA19" s="9">
        <v>177</v>
      </c>
      <c r="AB19" s="9">
        <v>205</v>
      </c>
      <c r="AC19" s="9">
        <v>180</v>
      </c>
      <c r="AD19" s="9">
        <v>182</v>
      </c>
      <c r="AE19" s="9">
        <v>176</v>
      </c>
      <c r="AF19" s="9">
        <v>184</v>
      </c>
      <c r="AG19" s="9">
        <v>172</v>
      </c>
      <c r="AH19" s="9">
        <v>164</v>
      </c>
      <c r="AI19" s="9">
        <v>171</v>
      </c>
      <c r="AJ19" s="9">
        <v>146</v>
      </c>
      <c r="AK19" s="9">
        <v>142</v>
      </c>
      <c r="AL19" s="9">
        <v>152</v>
      </c>
      <c r="AM19" s="9">
        <v>145</v>
      </c>
      <c r="AN19" s="9">
        <v>149</v>
      </c>
    </row>
    <row r="20" spans="1:40" x14ac:dyDescent="0.25">
      <c r="A20" s="2"/>
      <c r="B20" s="12" t="s">
        <v>7129</v>
      </c>
      <c r="C20" s="9">
        <v>52</v>
      </c>
      <c r="D20" s="9">
        <v>68</v>
      </c>
      <c r="E20" s="9">
        <v>45</v>
      </c>
      <c r="F20" s="9">
        <v>95</v>
      </c>
      <c r="G20" s="9">
        <v>15</v>
      </c>
      <c r="H20" s="9">
        <v>21</v>
      </c>
      <c r="I20" s="9">
        <v>24</v>
      </c>
      <c r="J20" s="9">
        <v>26</v>
      </c>
      <c r="K20" s="9">
        <v>15</v>
      </c>
      <c r="L20" s="9">
        <v>15</v>
      </c>
      <c r="M20" s="9">
        <v>18</v>
      </c>
      <c r="N20" s="9">
        <v>16</v>
      </c>
      <c r="O20" s="9">
        <v>14</v>
      </c>
      <c r="P20" s="9">
        <v>15</v>
      </c>
      <c r="Q20" s="9">
        <v>15</v>
      </c>
      <c r="R20" s="9">
        <v>13</v>
      </c>
      <c r="S20" s="9">
        <v>25</v>
      </c>
      <c r="T20" s="9">
        <v>27</v>
      </c>
      <c r="U20" s="9">
        <v>30</v>
      </c>
      <c r="V20" s="9">
        <v>29</v>
      </c>
      <c r="W20" s="9">
        <v>28</v>
      </c>
      <c r="X20" s="9">
        <v>30</v>
      </c>
      <c r="Y20" s="9">
        <v>30</v>
      </c>
      <c r="Z20" s="9">
        <v>33</v>
      </c>
      <c r="AA20" s="9">
        <v>18</v>
      </c>
      <c r="AB20" s="9">
        <v>21</v>
      </c>
      <c r="AC20" s="9">
        <v>27</v>
      </c>
      <c r="AD20" s="9">
        <v>35</v>
      </c>
      <c r="AE20" s="9">
        <v>23</v>
      </c>
      <c r="AF20" s="9">
        <v>28</v>
      </c>
      <c r="AG20" s="9">
        <v>38</v>
      </c>
      <c r="AH20" s="9">
        <v>34</v>
      </c>
      <c r="AI20" s="9">
        <v>38</v>
      </c>
      <c r="AJ20" s="9">
        <v>42</v>
      </c>
      <c r="AK20" s="9">
        <v>42</v>
      </c>
      <c r="AL20" s="9">
        <v>39</v>
      </c>
      <c r="AM20" s="9">
        <v>40</v>
      </c>
      <c r="AN20" s="9">
        <v>43</v>
      </c>
    </row>
    <row r="21" spans="1:40" x14ac:dyDescent="0.25">
      <c r="A21" s="2"/>
      <c r="B21" s="12" t="s">
        <v>7130</v>
      </c>
      <c r="C21" s="9">
        <v>-215</v>
      </c>
      <c r="D21" s="9">
        <v>408</v>
      </c>
      <c r="E21" s="9">
        <v>844</v>
      </c>
      <c r="F21" s="9">
        <v>409</v>
      </c>
      <c r="G21" s="9">
        <v>43</v>
      </c>
      <c r="H21" s="9">
        <v>-294</v>
      </c>
      <c r="I21" s="9">
        <v>-420</v>
      </c>
      <c r="J21" s="9">
        <v>-1788</v>
      </c>
      <c r="K21" s="9">
        <v>-249</v>
      </c>
      <c r="L21" s="9">
        <v>-175</v>
      </c>
      <c r="M21" s="9">
        <v>-1551</v>
      </c>
      <c r="N21" s="9">
        <v>31</v>
      </c>
      <c r="O21" s="9">
        <v>619</v>
      </c>
      <c r="P21" s="9">
        <v>200</v>
      </c>
      <c r="Q21" s="9">
        <v>132</v>
      </c>
      <c r="R21" s="9">
        <v>-558</v>
      </c>
      <c r="S21" s="9">
        <v>497</v>
      </c>
      <c r="T21" s="9">
        <v>-668</v>
      </c>
      <c r="U21" s="9">
        <v>572</v>
      </c>
      <c r="V21" s="9">
        <v>-786</v>
      </c>
      <c r="W21" s="9">
        <v>-998</v>
      </c>
      <c r="X21" s="9">
        <v>1170</v>
      </c>
      <c r="Y21" s="9">
        <v>446</v>
      </c>
      <c r="Z21" s="9">
        <v>73</v>
      </c>
      <c r="AA21" s="9">
        <v>95</v>
      </c>
      <c r="AB21" s="9">
        <v>-89</v>
      </c>
      <c r="AC21" s="9">
        <v>549</v>
      </c>
      <c r="AD21" s="9">
        <v>-17</v>
      </c>
      <c r="AE21" s="9">
        <v>443</v>
      </c>
      <c r="AF21" s="9">
        <v>861</v>
      </c>
      <c r="AG21" s="9">
        <v>-79</v>
      </c>
      <c r="AH21" s="9">
        <v>1099</v>
      </c>
      <c r="AI21" s="9">
        <v>-19</v>
      </c>
      <c r="AJ21" s="9">
        <v>214</v>
      </c>
      <c r="AK21" s="9">
        <v>342</v>
      </c>
      <c r="AL21" s="9">
        <v>798</v>
      </c>
      <c r="AM21" s="9">
        <v>260</v>
      </c>
      <c r="AN21" s="9">
        <v>538</v>
      </c>
    </row>
    <row r="22" spans="1:40" x14ac:dyDescent="0.25">
      <c r="A22" s="2"/>
      <c r="B22" s="12" t="s">
        <v>7131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-908</v>
      </c>
      <c r="P22" s="9">
        <v>-254</v>
      </c>
      <c r="Q22" s="9">
        <v>-133</v>
      </c>
      <c r="R22" s="9">
        <v>386</v>
      </c>
      <c r="S22" s="9">
        <v>-143</v>
      </c>
      <c r="T22" s="9">
        <v>774</v>
      </c>
      <c r="U22" s="9">
        <v>-318</v>
      </c>
      <c r="V22" s="9">
        <v>-43</v>
      </c>
      <c r="W22" s="9">
        <v>2191</v>
      </c>
      <c r="X22" s="9">
        <v>-500</v>
      </c>
      <c r="Y22" s="9">
        <v>-130</v>
      </c>
      <c r="Z22" s="9">
        <v>175</v>
      </c>
      <c r="AA22" s="9">
        <v>184</v>
      </c>
      <c r="AB22" s="9">
        <v>483</v>
      </c>
      <c r="AC22" s="9">
        <v>44</v>
      </c>
      <c r="AD22" s="9">
        <v>136</v>
      </c>
      <c r="AE22" s="9">
        <v>20</v>
      </c>
      <c r="AF22" s="9">
        <v>-401</v>
      </c>
      <c r="AG22" s="9">
        <v>25</v>
      </c>
      <c r="AH22" s="9">
        <v>-533</v>
      </c>
      <c r="AI22" s="9">
        <v>903</v>
      </c>
      <c r="AJ22" s="9">
        <v>487</v>
      </c>
      <c r="AK22" s="9">
        <v>509</v>
      </c>
      <c r="AL22" s="9">
        <v>-30</v>
      </c>
      <c r="AM22" s="9">
        <v>440</v>
      </c>
      <c r="AN22" s="9">
        <v>116</v>
      </c>
    </row>
    <row r="23" spans="1:40" x14ac:dyDescent="0.25">
      <c r="A23" s="2"/>
      <c r="B23" s="12" t="s">
        <v>7132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-157</v>
      </c>
      <c r="AK23" s="9">
        <v>0</v>
      </c>
      <c r="AL23" s="9">
        <v>0</v>
      </c>
      <c r="AM23" s="9">
        <v>0</v>
      </c>
      <c r="AN23" s="9">
        <v>0</v>
      </c>
    </row>
    <row r="24" spans="1:40" x14ac:dyDescent="0.25">
      <c r="A24" s="2"/>
      <c r="B24" s="12" t="s">
        <v>7133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-486</v>
      </c>
      <c r="AI24" s="9">
        <v>0</v>
      </c>
      <c r="AJ24" s="9">
        <v>0</v>
      </c>
      <c r="AK24" s="9">
        <v>0</v>
      </c>
      <c r="AL24" s="9">
        <v>55</v>
      </c>
      <c r="AM24" s="9">
        <v>0</v>
      </c>
      <c r="AN24" s="9">
        <v>0</v>
      </c>
    </row>
    <row r="25" spans="1:40" x14ac:dyDescent="0.25">
      <c r="A25" s="2"/>
      <c r="B25" s="12" t="s">
        <v>7134</v>
      </c>
      <c r="C25" s="9">
        <v>214</v>
      </c>
      <c r="D25" s="9">
        <v>317</v>
      </c>
      <c r="E25" s="9">
        <v>382</v>
      </c>
      <c r="F25" s="9">
        <v>503</v>
      </c>
      <c r="G25" s="9">
        <v>109</v>
      </c>
      <c r="H25" s="9">
        <v>110</v>
      </c>
      <c r="I25" s="9">
        <v>109</v>
      </c>
      <c r="J25" s="9">
        <v>110</v>
      </c>
      <c r="K25" s="9">
        <v>120</v>
      </c>
      <c r="L25" s="9">
        <v>121</v>
      </c>
      <c r="M25" s="9">
        <v>119</v>
      </c>
      <c r="N25" s="9">
        <v>121</v>
      </c>
      <c r="O25" s="9">
        <v>110</v>
      </c>
      <c r="P25" s="9">
        <v>126</v>
      </c>
      <c r="Q25" s="9">
        <v>91</v>
      </c>
      <c r="R25" s="9">
        <v>-2038</v>
      </c>
      <c r="S25" s="9">
        <v>39</v>
      </c>
      <c r="T25" s="9">
        <v>40</v>
      </c>
      <c r="U25" s="9">
        <v>39</v>
      </c>
      <c r="V25" s="9">
        <v>-140</v>
      </c>
      <c r="W25" s="9">
        <v>29</v>
      </c>
      <c r="X25" s="9">
        <v>27</v>
      </c>
      <c r="Y25" s="9">
        <v>162</v>
      </c>
      <c r="Z25" s="9">
        <v>25</v>
      </c>
      <c r="AA25" s="9">
        <v>28</v>
      </c>
      <c r="AB25" s="9">
        <v>28</v>
      </c>
      <c r="AC25" s="9">
        <v>27</v>
      </c>
      <c r="AD25" s="9">
        <v>28</v>
      </c>
      <c r="AE25" s="9">
        <v>33</v>
      </c>
      <c r="AF25" s="9">
        <v>32</v>
      </c>
      <c r="AG25" s="9">
        <v>32</v>
      </c>
      <c r="AH25" s="9">
        <v>32</v>
      </c>
      <c r="AI25" s="9">
        <v>27</v>
      </c>
      <c r="AJ25" s="9">
        <v>25</v>
      </c>
      <c r="AK25" s="9">
        <v>25</v>
      </c>
      <c r="AL25" s="9">
        <v>24</v>
      </c>
      <c r="AM25" s="9">
        <v>39</v>
      </c>
      <c r="AN25" s="9">
        <v>40</v>
      </c>
    </row>
    <row r="26" spans="1:40" x14ac:dyDescent="0.25">
      <c r="A26" s="2"/>
      <c r="B26" s="12" t="s">
        <v>7135</v>
      </c>
      <c r="C26" s="9">
        <v>78</v>
      </c>
      <c r="D26" s="9">
        <v>747</v>
      </c>
      <c r="E26" s="9">
        <v>985</v>
      </c>
      <c r="F26" s="9">
        <v>-11</v>
      </c>
      <c r="G26" s="9">
        <v>72</v>
      </c>
      <c r="H26" s="9">
        <v>95</v>
      </c>
      <c r="I26" s="9">
        <v>-1262</v>
      </c>
      <c r="J26" s="9">
        <v>17</v>
      </c>
      <c r="K26" s="9">
        <v>36</v>
      </c>
      <c r="L26" s="9">
        <v>50</v>
      </c>
      <c r="M26" s="9">
        <v>9</v>
      </c>
      <c r="N26" s="9">
        <v>14</v>
      </c>
      <c r="O26" s="9">
        <v>26</v>
      </c>
      <c r="P26" s="9">
        <v>-68</v>
      </c>
      <c r="Q26" s="9">
        <v>16</v>
      </c>
      <c r="R26" s="9">
        <v>-23</v>
      </c>
      <c r="S26" s="9">
        <v>32</v>
      </c>
      <c r="T26" s="9">
        <v>-54</v>
      </c>
      <c r="U26" s="9">
        <v>44</v>
      </c>
      <c r="V26" s="9">
        <v>904</v>
      </c>
      <c r="W26" s="9">
        <v>92</v>
      </c>
      <c r="X26" s="9">
        <v>-6</v>
      </c>
      <c r="Y26" s="9">
        <v>58</v>
      </c>
      <c r="Z26" s="9">
        <v>37</v>
      </c>
      <c r="AA26" s="9">
        <v>28</v>
      </c>
      <c r="AB26" s="9">
        <v>35</v>
      </c>
      <c r="AC26" s="9">
        <v>60</v>
      </c>
      <c r="AD26" s="9">
        <v>160</v>
      </c>
      <c r="AE26" s="9">
        <v>-28</v>
      </c>
      <c r="AF26" s="9">
        <v>51</v>
      </c>
      <c r="AG26" s="9">
        <v>56</v>
      </c>
      <c r="AH26" s="9">
        <v>49</v>
      </c>
      <c r="AI26" s="9">
        <v>58</v>
      </c>
      <c r="AJ26" s="9">
        <v>69</v>
      </c>
      <c r="AK26" s="9">
        <v>111</v>
      </c>
      <c r="AL26" s="9">
        <v>109</v>
      </c>
      <c r="AM26" s="9">
        <v>17</v>
      </c>
      <c r="AN26" s="9">
        <v>98</v>
      </c>
    </row>
    <row r="27" spans="1:40" x14ac:dyDescent="0.25">
      <c r="A27" s="2"/>
      <c r="B27" s="12" t="s">
        <v>7136</v>
      </c>
      <c r="C27" s="9">
        <v>158</v>
      </c>
      <c r="D27" s="9">
        <v>92</v>
      </c>
      <c r="E27" s="9">
        <v>434</v>
      </c>
      <c r="F27" s="9">
        <v>-144</v>
      </c>
      <c r="G27" s="9">
        <v>22</v>
      </c>
      <c r="H27" s="9">
        <v>-6</v>
      </c>
      <c r="I27" s="9">
        <v>0</v>
      </c>
      <c r="J27" s="9">
        <v>76</v>
      </c>
      <c r="K27" s="9">
        <v>-3</v>
      </c>
      <c r="L27" s="9">
        <v>-13</v>
      </c>
      <c r="M27" s="9">
        <v>-3</v>
      </c>
      <c r="N27" s="9">
        <v>-2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</row>
    <row r="28" spans="1:40" x14ac:dyDescent="0.25">
      <c r="A28" s="2"/>
      <c r="B28" s="12" t="s">
        <v>7137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12</v>
      </c>
      <c r="P28" s="9">
        <v>13</v>
      </c>
      <c r="Q28" s="9">
        <v>8</v>
      </c>
      <c r="R28" s="9">
        <v>30</v>
      </c>
      <c r="S28" s="9">
        <v>0</v>
      </c>
      <c r="T28" s="9">
        <v>0</v>
      </c>
      <c r="U28" s="9">
        <v>-8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</row>
    <row r="29" spans="1:40" x14ac:dyDescent="0.25">
      <c r="A29" s="2"/>
      <c r="B29" s="12" t="s">
        <v>7138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360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</row>
    <row r="30" spans="1:40" x14ac:dyDescent="0.25">
      <c r="A30" s="2"/>
      <c r="B30" s="12" t="s">
        <v>7139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-362</v>
      </c>
      <c r="AK30" s="9">
        <v>0</v>
      </c>
      <c r="AL30" s="9">
        <v>998</v>
      </c>
      <c r="AM30" s="9">
        <v>0</v>
      </c>
      <c r="AN30" s="9">
        <v>0</v>
      </c>
    </row>
    <row r="31" spans="1:40" x14ac:dyDescent="0.25">
      <c r="A31" s="2"/>
      <c r="B31" s="12" t="s">
        <v>7140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111</v>
      </c>
      <c r="R31" s="9">
        <v>79</v>
      </c>
      <c r="S31" s="9">
        <v>50</v>
      </c>
      <c r="T31" s="9">
        <v>50</v>
      </c>
      <c r="U31" s="9">
        <v>59</v>
      </c>
      <c r="V31" s="9">
        <v>81</v>
      </c>
      <c r="W31" s="9">
        <v>206</v>
      </c>
      <c r="X31" s="9">
        <v>321</v>
      </c>
      <c r="Y31" s="9">
        <v>311</v>
      </c>
      <c r="Z31" s="9">
        <v>212</v>
      </c>
      <c r="AA31" s="9">
        <v>269</v>
      </c>
      <c r="AB31" s="9">
        <v>390</v>
      </c>
      <c r="AC31" s="9">
        <v>301</v>
      </c>
      <c r="AD31" s="9">
        <v>286</v>
      </c>
      <c r="AE31" s="9">
        <v>255</v>
      </c>
      <c r="AF31" s="9">
        <v>212</v>
      </c>
      <c r="AG31" s="9">
        <v>181</v>
      </c>
      <c r="AH31" s="9">
        <v>189</v>
      </c>
      <c r="AI31" s="9">
        <v>146</v>
      </c>
      <c r="AJ31" s="9">
        <v>142</v>
      </c>
      <c r="AK31" s="9">
        <v>129</v>
      </c>
      <c r="AL31" s="9">
        <v>80</v>
      </c>
      <c r="AM31" s="9">
        <v>70</v>
      </c>
      <c r="AN31" s="9">
        <v>70</v>
      </c>
    </row>
    <row r="32" spans="1:40" x14ac:dyDescent="0.25">
      <c r="A32" s="2"/>
      <c r="B32" s="12" t="s">
        <v>7141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-120</v>
      </c>
      <c r="AC32" s="9">
        <v>0</v>
      </c>
      <c r="AD32" s="9">
        <v>0</v>
      </c>
      <c r="AE32" s="9">
        <v>0</v>
      </c>
      <c r="AF32" s="9">
        <v>0</v>
      </c>
      <c r="AG32" s="9">
        <v>0</v>
      </c>
      <c r="AH32" s="9">
        <v>0</v>
      </c>
      <c r="AI32" s="9">
        <v>0</v>
      </c>
      <c r="AJ32" s="9">
        <v>0</v>
      </c>
      <c r="AK32" s="9"/>
      <c r="AL32" s="9">
        <v>0</v>
      </c>
      <c r="AM32" s="9">
        <v>0</v>
      </c>
      <c r="AN32" s="9">
        <v>0</v>
      </c>
    </row>
    <row r="33" spans="1:40" x14ac:dyDescent="0.25">
      <c r="A33" s="2"/>
      <c r="B33" s="12" t="s">
        <v>7142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-376</v>
      </c>
      <c r="Q33" s="9">
        <v>-16</v>
      </c>
      <c r="R33" s="9">
        <v>-648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/>
      <c r="AL33" s="9">
        <v>0</v>
      </c>
      <c r="AM33" s="9">
        <v>0</v>
      </c>
      <c r="AN33" s="9">
        <v>0</v>
      </c>
    </row>
    <row r="34" spans="1:40" x14ac:dyDescent="0.25">
      <c r="A34" s="2"/>
      <c r="B34" s="12" t="s">
        <v>7143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-52</v>
      </c>
      <c r="S34" s="9">
        <v>-128</v>
      </c>
      <c r="T34" s="9">
        <v>-75</v>
      </c>
      <c r="U34" s="9">
        <f>((-285-S34-T34)*1)*1</f>
        <v>-82</v>
      </c>
      <c r="V34" s="9">
        <v>-6</v>
      </c>
      <c r="W34" s="9">
        <v>-1</v>
      </c>
      <c r="X34" s="9">
        <v>-25</v>
      </c>
      <c r="Y34" s="9">
        <v>-47</v>
      </c>
      <c r="Z34" s="9">
        <v>2</v>
      </c>
      <c r="AA34" s="9">
        <v>0</v>
      </c>
      <c r="AB34" s="9">
        <v>-7</v>
      </c>
      <c r="AC34" s="9">
        <v>-75</v>
      </c>
      <c r="AD34" s="9">
        <v>0</v>
      </c>
      <c r="AE34" s="9">
        <v>-3</v>
      </c>
      <c r="AF34" s="9">
        <v>-48</v>
      </c>
      <c r="AG34" s="9">
        <v>-1</v>
      </c>
      <c r="AH34" s="9">
        <v>-72</v>
      </c>
      <c r="AI34" s="9">
        <v>3</v>
      </c>
      <c r="AJ34" s="9">
        <v>-61</v>
      </c>
      <c r="AK34" s="9">
        <v>-14</v>
      </c>
      <c r="AL34" s="9">
        <v>-2</v>
      </c>
      <c r="AM34" s="9">
        <v>-4</v>
      </c>
      <c r="AN34" s="9">
        <v>-2</v>
      </c>
    </row>
    <row r="35" spans="1:40" x14ac:dyDescent="0.25">
      <c r="A35" s="2"/>
      <c r="B35" s="12" t="s">
        <v>7144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-117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/>
      <c r="AL35" s="9">
        <v>0</v>
      </c>
      <c r="AM35" s="9">
        <v>0</v>
      </c>
      <c r="AN35" s="9">
        <v>0</v>
      </c>
    </row>
    <row r="36" spans="1:40" x14ac:dyDescent="0.25">
      <c r="A36" s="2"/>
      <c r="B36" s="12" t="s">
        <v>7145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85</v>
      </c>
      <c r="W36" s="9">
        <v>22</v>
      </c>
      <c r="X36" s="9">
        <v>21</v>
      </c>
      <c r="Y36" s="9">
        <v>21</v>
      </c>
      <c r="Z36" s="9">
        <v>18</v>
      </c>
      <c r="AA36" s="9">
        <v>30</v>
      </c>
      <c r="AB36" s="9">
        <v>20</v>
      </c>
      <c r="AC36" s="9">
        <v>42</v>
      </c>
      <c r="AD36" s="9">
        <v>90</v>
      </c>
      <c r="AE36" s="9">
        <v>33</v>
      </c>
      <c r="AF36" s="9">
        <v>44</v>
      </c>
      <c r="AG36" s="9">
        <v>38</v>
      </c>
      <c r="AH36" s="9">
        <v>86</v>
      </c>
      <c r="AI36" s="9">
        <v>72</v>
      </c>
      <c r="AJ36" s="9">
        <v>95</v>
      </c>
      <c r="AK36" s="9">
        <v>23</v>
      </c>
      <c r="AL36" s="9">
        <v>135</v>
      </c>
      <c r="AM36" s="9">
        <v>88</v>
      </c>
      <c r="AN36" s="9">
        <v>21</v>
      </c>
    </row>
    <row r="37" spans="1:40" x14ac:dyDescent="0.25">
      <c r="A37" s="2"/>
      <c r="B37" s="12" t="s">
        <v>7146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-672</v>
      </c>
      <c r="AA37" s="9">
        <v>-32</v>
      </c>
      <c r="AB37" s="9">
        <v>-46</v>
      </c>
      <c r="AC37" s="9">
        <v>0</v>
      </c>
      <c r="AD37" s="9">
        <v>0</v>
      </c>
      <c r="AE37" s="9">
        <v>0</v>
      </c>
      <c r="AF37" s="9">
        <v>0</v>
      </c>
      <c r="AG37" s="9">
        <v>-431</v>
      </c>
      <c r="AH37" s="9">
        <v>0</v>
      </c>
      <c r="AI37" s="9">
        <v>-398</v>
      </c>
      <c r="AJ37" s="9">
        <v>-186</v>
      </c>
      <c r="AK37" s="9">
        <v>-123</v>
      </c>
      <c r="AL37" s="9">
        <v>-754</v>
      </c>
      <c r="AM37" s="9">
        <v>0</v>
      </c>
      <c r="AN37" s="9">
        <v>-143</v>
      </c>
    </row>
    <row r="38" spans="1:40" x14ac:dyDescent="0.25">
      <c r="A38" s="2"/>
      <c r="B38" s="12" t="s">
        <v>7147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-828</v>
      </c>
      <c r="AE38" s="9">
        <v>0</v>
      </c>
      <c r="AF38" s="9">
        <v>0</v>
      </c>
      <c r="AG38" s="9">
        <v>0</v>
      </c>
      <c r="AH38" s="9">
        <v>0</v>
      </c>
      <c r="AI38" s="9">
        <v>0</v>
      </c>
      <c r="AJ38" s="9">
        <v>0</v>
      </c>
      <c r="AK38" s="9">
        <v>0</v>
      </c>
      <c r="AL38" s="9">
        <v>0</v>
      </c>
      <c r="AM38" s="9">
        <v>0</v>
      </c>
      <c r="AN38" s="9">
        <v>0</v>
      </c>
    </row>
    <row r="39" spans="1:40" x14ac:dyDescent="0.25">
      <c r="A39" s="2"/>
      <c r="B39" s="12" t="s">
        <v>7148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-2591</v>
      </c>
      <c r="AE39" s="9">
        <v>-535</v>
      </c>
      <c r="AF39" s="9">
        <v>0</v>
      </c>
      <c r="AG39" s="9">
        <v>-4075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</row>
    <row r="40" spans="1:40" x14ac:dyDescent="0.25">
      <c r="A40" s="2"/>
      <c r="B40" s="12" t="s">
        <v>7149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1</v>
      </c>
      <c r="X40" s="9">
        <v>-11</v>
      </c>
      <c r="Y40" s="9">
        <v>-12</v>
      </c>
      <c r="Z40" s="9">
        <v>-6</v>
      </c>
      <c r="AA40" s="9">
        <v>2</v>
      </c>
      <c r="AB40" s="9">
        <v>2</v>
      </c>
      <c r="AC40" s="9">
        <v>-1</v>
      </c>
      <c r="AD40" s="9">
        <v>99</v>
      </c>
      <c r="AE40" s="9">
        <v>5</v>
      </c>
      <c r="AF40" s="9">
        <v>-1</v>
      </c>
      <c r="AG40" s="9">
        <v>0</v>
      </c>
      <c r="AH40" s="9">
        <v>-6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</row>
    <row r="41" spans="1:40" x14ac:dyDescent="0.25">
      <c r="A41" s="2"/>
      <c r="B41" s="12" t="s">
        <v>7150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-31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</row>
    <row r="42" spans="1:40" x14ac:dyDescent="0.25">
      <c r="A42" s="2"/>
      <c r="B42" s="12" t="s">
        <v>7151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19</v>
      </c>
      <c r="AE42" s="9">
        <v>0</v>
      </c>
      <c r="AF42" s="9">
        <v>0</v>
      </c>
      <c r="AG42" s="9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9">
        <v>0</v>
      </c>
    </row>
    <row r="43" spans="1:40" x14ac:dyDescent="0.25">
      <c r="A43" s="2"/>
      <c r="B43" s="12" t="s">
        <v>7152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-50</v>
      </c>
      <c r="AN43" s="9">
        <v>0</v>
      </c>
    </row>
    <row r="44" spans="1:40" x14ac:dyDescent="0.25">
      <c r="A44" s="2"/>
      <c r="B44" s="12" t="s">
        <v>7153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-807</v>
      </c>
      <c r="AN44" s="9">
        <v>0</v>
      </c>
    </row>
    <row r="45" spans="1:40" x14ac:dyDescent="0.25">
      <c r="A45" s="2"/>
      <c r="B45" s="12" t="s">
        <v>7154</v>
      </c>
      <c r="C45" s="9">
        <v>37</v>
      </c>
      <c r="D45" s="9">
        <v>3</v>
      </c>
      <c r="E45" s="9">
        <v>91</v>
      </c>
      <c r="F45" s="9">
        <v>17</v>
      </c>
      <c r="G45" s="9">
        <v>-65</v>
      </c>
      <c r="H45" s="9">
        <v>71</v>
      </c>
      <c r="I45" s="9">
        <v>-10</v>
      </c>
      <c r="J45" s="9">
        <v>9</v>
      </c>
      <c r="K45" s="9">
        <v>-3</v>
      </c>
      <c r="L45" s="9">
        <v>1</v>
      </c>
      <c r="M45" s="9">
        <v>5</v>
      </c>
      <c r="N45" s="9">
        <v>-6</v>
      </c>
      <c r="O45" s="9">
        <v>-3</v>
      </c>
      <c r="P45" s="9">
        <v>3</v>
      </c>
      <c r="Q45" s="9">
        <v>-20</v>
      </c>
      <c r="R45" s="9">
        <v>34</v>
      </c>
      <c r="S45" s="9">
        <v>4</v>
      </c>
      <c r="T45" s="9">
        <v>-57</v>
      </c>
      <c r="U45" s="9">
        <v>104</v>
      </c>
      <c r="V45" s="9">
        <v>13</v>
      </c>
      <c r="W45" s="9">
        <v>6</v>
      </c>
      <c r="X45" s="9">
        <v>20</v>
      </c>
      <c r="Y45" s="9">
        <v>-41</v>
      </c>
      <c r="Z45" s="9">
        <v>-15</v>
      </c>
      <c r="AA45" s="9">
        <v>40</v>
      </c>
      <c r="AB45" s="9">
        <v>-19</v>
      </c>
      <c r="AC45" s="9">
        <v>-25</v>
      </c>
      <c r="AD45" s="9">
        <v>0</v>
      </c>
      <c r="AE45" s="9">
        <v>-69</v>
      </c>
      <c r="AF45" s="9">
        <v>-97</v>
      </c>
      <c r="AG45" s="9">
        <v>75</v>
      </c>
      <c r="AH45" s="9">
        <v>-10</v>
      </c>
      <c r="AI45" s="9">
        <v>0</v>
      </c>
      <c r="AJ45" s="9">
        <v>-38</v>
      </c>
      <c r="AK45" s="9">
        <v>32</v>
      </c>
      <c r="AL45" s="9">
        <v>-47</v>
      </c>
      <c r="AM45" s="9">
        <v>132</v>
      </c>
      <c r="AN45" s="9">
        <v>-29</v>
      </c>
    </row>
    <row r="46" spans="1:40" ht="5.0999999999999996" customHeight="1" x14ac:dyDescent="0.25">
      <c r="A46" s="2"/>
      <c r="B46" s="8"/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>
        <v>0</v>
      </c>
      <c r="AF46" s="9">
        <v>0</v>
      </c>
      <c r="AG46" s="9">
        <v>0</v>
      </c>
      <c r="AH46" s="9">
        <v>0</v>
      </c>
      <c r="AI46" s="9">
        <v>0</v>
      </c>
      <c r="AJ46" s="9">
        <v>0</v>
      </c>
      <c r="AK46" s="9"/>
      <c r="AL46" s="9"/>
      <c r="AM46" s="9"/>
      <c r="AN46" s="9"/>
    </row>
    <row r="47" spans="1:40" x14ac:dyDescent="0.25">
      <c r="A47" s="2"/>
      <c r="B47" s="5" t="s">
        <v>7155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x14ac:dyDescent="0.25">
      <c r="A48" s="2"/>
      <c r="B48" s="19" t="s">
        <v>7156</v>
      </c>
      <c r="C48" s="9">
        <v>-3649</v>
      </c>
      <c r="D48" s="9">
        <v>-1038</v>
      </c>
      <c r="E48" s="9">
        <v>536</v>
      </c>
      <c r="F48" s="9">
        <v>-154</v>
      </c>
      <c r="G48" s="9">
        <v>185</v>
      </c>
      <c r="H48" s="9">
        <v>317</v>
      </c>
      <c r="I48" s="9">
        <v>42</v>
      </c>
      <c r="J48" s="9">
        <v>1184</v>
      </c>
      <c r="K48" s="9">
        <v>766</v>
      </c>
      <c r="L48" s="9">
        <v>391</v>
      </c>
      <c r="M48" s="9">
        <v>2145</v>
      </c>
      <c r="N48" s="9">
        <v>281</v>
      </c>
      <c r="O48" s="9">
        <v>838</v>
      </c>
      <c r="P48" s="9">
        <v>158</v>
      </c>
      <c r="Q48" s="9">
        <v>-148</v>
      </c>
      <c r="R48" s="9">
        <v>-215</v>
      </c>
      <c r="S48" s="9">
        <v>-150</v>
      </c>
      <c r="T48" s="9">
        <v>-408</v>
      </c>
      <c r="U48" s="9">
        <v>-851</v>
      </c>
      <c r="V48" s="9">
        <v>421</v>
      </c>
      <c r="W48" s="9">
        <v>-9</v>
      </c>
      <c r="X48" s="9">
        <v>-947</v>
      </c>
      <c r="Y48" s="9">
        <v>1349</v>
      </c>
      <c r="Z48" s="9">
        <v>-1258</v>
      </c>
      <c r="AA48" s="9">
        <v>952</v>
      </c>
      <c r="AB48" s="9">
        <v>1111</v>
      </c>
      <c r="AC48" s="9">
        <v>-1129</v>
      </c>
      <c r="AD48" s="9">
        <v>202</v>
      </c>
      <c r="AE48" s="9">
        <v>60</v>
      </c>
      <c r="AF48" s="9">
        <v>287</v>
      </c>
      <c r="AG48" s="9">
        <v>1021</v>
      </c>
      <c r="AH48" s="9">
        <v>222</v>
      </c>
      <c r="AI48" s="9">
        <v>-497</v>
      </c>
      <c r="AJ48" s="9">
        <v>-108</v>
      </c>
      <c r="AK48" s="20">
        <v>163</v>
      </c>
      <c r="AL48" s="20">
        <v>-550</v>
      </c>
      <c r="AM48" s="20">
        <v>-461</v>
      </c>
      <c r="AN48" s="20">
        <v>-983</v>
      </c>
    </row>
    <row r="49" spans="1:40" x14ac:dyDescent="0.25">
      <c r="A49" s="2"/>
      <c r="B49" s="19" t="s">
        <v>7157</v>
      </c>
      <c r="C49" s="9">
        <v>-250</v>
      </c>
      <c r="D49" s="9">
        <v>-235</v>
      </c>
      <c r="E49" s="9">
        <v>204</v>
      </c>
      <c r="F49" s="9">
        <v>-533</v>
      </c>
      <c r="G49" s="9">
        <v>214</v>
      </c>
      <c r="H49" s="9">
        <v>-62</v>
      </c>
      <c r="I49" s="9">
        <v>-166</v>
      </c>
      <c r="J49" s="9">
        <v>407</v>
      </c>
      <c r="K49" s="9">
        <v>54</v>
      </c>
      <c r="L49" s="9">
        <v>-158</v>
      </c>
      <c r="M49" s="9">
        <v>-27</v>
      </c>
      <c r="N49" s="9">
        <v>-358</v>
      </c>
      <c r="O49" s="9">
        <v>435</v>
      </c>
      <c r="P49" s="9">
        <v>630</v>
      </c>
      <c r="Q49" s="9">
        <v>-620</v>
      </c>
      <c r="R49" s="9">
        <v>-608</v>
      </c>
      <c r="S49" s="9">
        <v>17</v>
      </c>
      <c r="T49" s="9">
        <v>-1070</v>
      </c>
      <c r="U49" s="9">
        <v>-216</v>
      </c>
      <c r="V49" s="9">
        <v>-848</v>
      </c>
      <c r="W49" s="9">
        <v>-501</v>
      </c>
      <c r="X49" s="9">
        <v>-2257</v>
      </c>
      <c r="Y49" s="9">
        <v>644</v>
      </c>
      <c r="Z49" s="9">
        <v>1036</v>
      </c>
      <c r="AA49" s="9">
        <v>1180</v>
      </c>
      <c r="AB49" s="9">
        <v>-171</v>
      </c>
      <c r="AC49" s="9">
        <v>-585</v>
      </c>
      <c r="AD49" s="9">
        <v>373</v>
      </c>
      <c r="AE49" s="9">
        <v>-1153</v>
      </c>
      <c r="AF49" s="9">
        <v>859</v>
      </c>
      <c r="AG49" s="9">
        <v>-436</v>
      </c>
      <c r="AH49" s="9">
        <v>581</v>
      </c>
      <c r="AI49" s="9">
        <v>-432</v>
      </c>
      <c r="AJ49" s="9">
        <v>-27</v>
      </c>
      <c r="AK49" s="20">
        <v>247</v>
      </c>
      <c r="AL49" s="20">
        <v>436</v>
      </c>
      <c r="AM49" s="20">
        <v>-606</v>
      </c>
      <c r="AN49" s="20">
        <v>-1059</v>
      </c>
    </row>
    <row r="50" spans="1:40" x14ac:dyDescent="0.25">
      <c r="A50" s="2"/>
      <c r="B50" s="19" t="s">
        <v>7158</v>
      </c>
      <c r="C50" s="9">
        <v>0</v>
      </c>
      <c r="D50" s="9">
        <v>0</v>
      </c>
      <c r="E50" s="9">
        <v>-359</v>
      </c>
      <c r="F50" s="9">
        <v>-569</v>
      </c>
      <c r="G50" s="9">
        <v>-113</v>
      </c>
      <c r="H50" s="9">
        <v>-115</v>
      </c>
      <c r="I50" s="9">
        <v>-152</v>
      </c>
      <c r="J50" s="9">
        <v>-217</v>
      </c>
      <c r="K50" s="9">
        <v>-168</v>
      </c>
      <c r="L50" s="9">
        <v>-273</v>
      </c>
      <c r="M50" s="9">
        <v>-292</v>
      </c>
      <c r="N50" s="9">
        <v>-258</v>
      </c>
      <c r="O50" s="9">
        <v>-103</v>
      </c>
      <c r="P50" s="9">
        <v>-104</v>
      </c>
      <c r="Q50" s="9">
        <v>-84</v>
      </c>
      <c r="R50" s="9">
        <v>-176</v>
      </c>
      <c r="S50" s="9">
        <v>-124</v>
      </c>
      <c r="T50" s="9">
        <v>-164</v>
      </c>
      <c r="U50" s="9">
        <v>-105</v>
      </c>
      <c r="V50" s="9">
        <v>-191</v>
      </c>
      <c r="W50" s="9">
        <v>-92</v>
      </c>
      <c r="X50" s="9">
        <v>-136</v>
      </c>
      <c r="Y50" s="9">
        <v>-167</v>
      </c>
      <c r="Z50" s="9">
        <v>-249</v>
      </c>
      <c r="AA50" s="9">
        <v>-141</v>
      </c>
      <c r="AB50" s="9">
        <v>-217</v>
      </c>
      <c r="AC50" s="9">
        <v>-118</v>
      </c>
      <c r="AD50" s="9">
        <v>-103</v>
      </c>
      <c r="AE50" s="9">
        <v>-35</v>
      </c>
      <c r="AF50" s="9">
        <v>-51</v>
      </c>
      <c r="AG50" s="9">
        <v>-69</v>
      </c>
      <c r="AH50" s="9">
        <v>-143</v>
      </c>
      <c r="AI50" s="9">
        <v>-132</v>
      </c>
      <c r="AJ50" s="9">
        <v>-118</v>
      </c>
      <c r="AK50" s="20">
        <v>-139</v>
      </c>
      <c r="AL50" s="20">
        <v>-229</v>
      </c>
      <c r="AM50" s="20">
        <v>-103</v>
      </c>
      <c r="AN50" s="20">
        <v>-113</v>
      </c>
    </row>
    <row r="51" spans="1:40" x14ac:dyDescent="0.25">
      <c r="A51" s="2"/>
      <c r="B51" s="19" t="s">
        <v>7159</v>
      </c>
      <c r="C51" s="9">
        <v>-902</v>
      </c>
      <c r="D51" s="9">
        <v>-982</v>
      </c>
      <c r="E51" s="9">
        <v>-45</v>
      </c>
      <c r="F51" s="9">
        <v>-87</v>
      </c>
      <c r="G51" s="9">
        <v>-45</v>
      </c>
      <c r="H51" s="9">
        <v>-17</v>
      </c>
      <c r="I51" s="9">
        <v>-22</v>
      </c>
      <c r="J51" s="9">
        <v>-5</v>
      </c>
      <c r="K51" s="9">
        <v>-13</v>
      </c>
      <c r="L51" s="9">
        <v>-11</v>
      </c>
      <c r="M51" s="9">
        <v>-11</v>
      </c>
      <c r="N51" s="9">
        <v>-13</v>
      </c>
      <c r="O51" s="9">
        <v>-18</v>
      </c>
      <c r="P51" s="9">
        <v>-9</v>
      </c>
      <c r="Q51" s="9">
        <v>-6</v>
      </c>
      <c r="R51" s="9">
        <v>-14</v>
      </c>
      <c r="S51" s="9">
        <v>-54</v>
      </c>
      <c r="T51" s="9">
        <v>-24</v>
      </c>
      <c r="U51" s="9">
        <v>-13</v>
      </c>
      <c r="V51" s="9">
        <v>-57</v>
      </c>
      <c r="W51" s="9">
        <v>-3</v>
      </c>
      <c r="X51" s="9">
        <v>-18</v>
      </c>
      <c r="Y51" s="9">
        <v>-4</v>
      </c>
      <c r="Z51" s="9">
        <v>-25</v>
      </c>
      <c r="AA51" s="9">
        <v>-28</v>
      </c>
      <c r="AB51" s="9">
        <v>-42</v>
      </c>
      <c r="AC51" s="9">
        <v>-16</v>
      </c>
      <c r="AD51" s="9">
        <v>-30</v>
      </c>
      <c r="AE51" s="9">
        <v>-21</v>
      </c>
      <c r="AF51" s="9">
        <v>-46</v>
      </c>
      <c r="AG51" s="9">
        <v>-20</v>
      </c>
      <c r="AH51" s="9">
        <v>-44</v>
      </c>
      <c r="AI51" s="9">
        <v>-55</v>
      </c>
      <c r="AJ51" s="9">
        <v>-35</v>
      </c>
      <c r="AK51" s="20">
        <v>-12</v>
      </c>
      <c r="AL51" s="20">
        <v>-26</v>
      </c>
      <c r="AM51" s="20">
        <v>-66</v>
      </c>
      <c r="AN51" s="20">
        <v>-32</v>
      </c>
    </row>
    <row r="52" spans="1:40" x14ac:dyDescent="0.25">
      <c r="A52" s="2"/>
      <c r="B52" s="19" t="s">
        <v>7160</v>
      </c>
      <c r="C52" s="9">
        <v>-83</v>
      </c>
      <c r="D52" s="9">
        <v>106</v>
      </c>
      <c r="E52" s="9">
        <v>-116</v>
      </c>
      <c r="F52" s="9">
        <v>-7</v>
      </c>
      <c r="G52" s="9">
        <v>-5</v>
      </c>
      <c r="H52" s="9">
        <v>-18</v>
      </c>
      <c r="I52" s="9">
        <v>1</v>
      </c>
      <c r="J52" s="9">
        <v>9</v>
      </c>
      <c r="K52" s="9">
        <v>-47</v>
      </c>
      <c r="L52" s="9">
        <v>-12</v>
      </c>
      <c r="M52" s="9">
        <v>-28</v>
      </c>
      <c r="N52" s="9">
        <v>-11</v>
      </c>
      <c r="O52" s="9">
        <v>-5</v>
      </c>
      <c r="P52" s="9">
        <v>-3</v>
      </c>
      <c r="Q52" s="9">
        <v>-6</v>
      </c>
      <c r="R52" s="9">
        <v>-7</v>
      </c>
      <c r="S52" s="9">
        <v>0</v>
      </c>
      <c r="T52" s="9">
        <v>-11</v>
      </c>
      <c r="U52" s="9">
        <v>7</v>
      </c>
      <c r="V52" s="9">
        <v>-10</v>
      </c>
      <c r="W52" s="9">
        <v>24</v>
      </c>
      <c r="X52" s="9">
        <v>-9</v>
      </c>
      <c r="Y52" s="9">
        <v>-68</v>
      </c>
      <c r="Z52" s="9">
        <v>-15</v>
      </c>
      <c r="AA52" s="9">
        <v>-6</v>
      </c>
      <c r="AB52" s="9">
        <v>-8</v>
      </c>
      <c r="AC52" s="9">
        <v>-31</v>
      </c>
      <c r="AD52" s="9">
        <v>-1</v>
      </c>
      <c r="AE52" s="9">
        <v>-13</v>
      </c>
      <c r="AF52" s="9">
        <v>-7</v>
      </c>
      <c r="AG52" s="9">
        <v>-26</v>
      </c>
      <c r="AH52" s="9">
        <v>0</v>
      </c>
      <c r="AI52" s="9">
        <v>-13</v>
      </c>
      <c r="AJ52" s="9">
        <v>18</v>
      </c>
      <c r="AK52" s="20">
        <v>-4</v>
      </c>
      <c r="AL52" s="20">
        <v>-6</v>
      </c>
      <c r="AM52" s="20">
        <v>-19</v>
      </c>
      <c r="AN52" s="20">
        <v>-40</v>
      </c>
    </row>
    <row r="53" spans="1:40" x14ac:dyDescent="0.25">
      <c r="A53" s="2"/>
      <c r="B53" s="19" t="s">
        <v>7161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-13</v>
      </c>
      <c r="R53" s="9">
        <v>-177</v>
      </c>
      <c r="S53" s="9">
        <v>-41</v>
      </c>
      <c r="T53" s="9">
        <v>-69</v>
      </c>
      <c r="U53" s="9">
        <v>-47</v>
      </c>
      <c r="V53" s="9">
        <v>-83</v>
      </c>
      <c r="W53" s="9">
        <v>-174</v>
      </c>
      <c r="X53" s="9">
        <v>-398</v>
      </c>
      <c r="Y53" s="9">
        <v>-167</v>
      </c>
      <c r="Z53" s="9">
        <v>-85</v>
      </c>
      <c r="AA53" s="9">
        <v>-258</v>
      </c>
      <c r="AB53" s="9">
        <v>-364</v>
      </c>
      <c r="AC53" s="9">
        <v>-417</v>
      </c>
      <c r="AD53" s="9">
        <v>-420</v>
      </c>
      <c r="AE53" s="9">
        <v>-293</v>
      </c>
      <c r="AF53" s="9">
        <v>-192</v>
      </c>
      <c r="AG53" s="9">
        <v>-175</v>
      </c>
      <c r="AH53" s="9">
        <v>-191</v>
      </c>
      <c r="AI53" s="9">
        <v>-165</v>
      </c>
      <c r="AJ53" s="9">
        <v>-149</v>
      </c>
      <c r="AK53" s="20">
        <v>-109</v>
      </c>
      <c r="AL53" s="20">
        <v>-66</v>
      </c>
      <c r="AM53" s="20">
        <v>-81</v>
      </c>
      <c r="AN53" s="20">
        <v>-53</v>
      </c>
    </row>
    <row r="54" spans="1:40" x14ac:dyDescent="0.25">
      <c r="A54" s="2"/>
      <c r="B54" s="19" t="s">
        <v>7162</v>
      </c>
      <c r="C54" s="9">
        <v>124</v>
      </c>
      <c r="D54" s="9">
        <v>-259</v>
      </c>
      <c r="E54" s="9">
        <v>-531</v>
      </c>
      <c r="F54" s="9">
        <v>38</v>
      </c>
      <c r="G54" s="9">
        <v>-355</v>
      </c>
      <c r="H54" s="9">
        <v>-219</v>
      </c>
      <c r="I54" s="9">
        <v>135</v>
      </c>
      <c r="J54" s="9">
        <v>-121</v>
      </c>
      <c r="K54" s="9">
        <v>-115</v>
      </c>
      <c r="L54" s="9">
        <v>-71</v>
      </c>
      <c r="M54" s="9">
        <v>-214</v>
      </c>
      <c r="N54" s="9">
        <v>474</v>
      </c>
      <c r="O54" s="9">
        <v>-907</v>
      </c>
      <c r="P54" s="9">
        <v>-340</v>
      </c>
      <c r="Q54" s="9">
        <v>465</v>
      </c>
      <c r="R54" s="9">
        <v>437</v>
      </c>
      <c r="S54" s="9">
        <v>-705</v>
      </c>
      <c r="T54" s="9">
        <v>849</v>
      </c>
      <c r="U54" s="9">
        <v>552</v>
      </c>
      <c r="V54" s="9">
        <v>750</v>
      </c>
      <c r="W54" s="9">
        <v>290</v>
      </c>
      <c r="X54" s="9">
        <v>884</v>
      </c>
      <c r="Y54" s="9">
        <v>-172</v>
      </c>
      <c r="Z54" s="9">
        <v>165</v>
      </c>
      <c r="AA54" s="9">
        <v>-320</v>
      </c>
      <c r="AB54" s="9">
        <v>-1387</v>
      </c>
      <c r="AC54" s="9">
        <v>765</v>
      </c>
      <c r="AD54" s="9">
        <v>412</v>
      </c>
      <c r="AE54" s="9">
        <v>-113</v>
      </c>
      <c r="AF54" s="9">
        <v>-1271</v>
      </c>
      <c r="AG54" s="9">
        <v>-563</v>
      </c>
      <c r="AH54" s="9">
        <v>-131</v>
      </c>
      <c r="AI54" s="9">
        <v>305</v>
      </c>
      <c r="AJ54" s="9">
        <v>9</v>
      </c>
      <c r="AK54" s="20">
        <v>1511</v>
      </c>
      <c r="AL54" s="20">
        <v>396</v>
      </c>
      <c r="AM54" s="20">
        <v>1666</v>
      </c>
      <c r="AN54" s="20">
        <v>1139</v>
      </c>
    </row>
    <row r="55" spans="1:40" x14ac:dyDescent="0.25">
      <c r="A55" s="2"/>
      <c r="B55" s="19" t="s">
        <v>7163</v>
      </c>
      <c r="C55" s="9">
        <v>-652</v>
      </c>
      <c r="D55" s="9">
        <v>-879</v>
      </c>
      <c r="E55" s="9">
        <v>-313</v>
      </c>
      <c r="F55" s="9">
        <v>-96</v>
      </c>
      <c r="G55" s="9">
        <v>0</v>
      </c>
      <c r="H55" s="9">
        <v>-1</v>
      </c>
      <c r="I55" s="9">
        <v>0</v>
      </c>
      <c r="J55" s="9">
        <v>-25</v>
      </c>
      <c r="K55" s="9">
        <v>-200</v>
      </c>
      <c r="L55" s="9">
        <v>-193</v>
      </c>
      <c r="M55" s="9">
        <v>-93</v>
      </c>
      <c r="N55" s="9">
        <v>-727</v>
      </c>
      <c r="O55" s="9">
        <v>-71</v>
      </c>
      <c r="P55" s="9">
        <v>0</v>
      </c>
      <c r="Q55" s="9">
        <v>-363</v>
      </c>
      <c r="R55" s="9">
        <v>-553</v>
      </c>
      <c r="S55" s="9">
        <v>0</v>
      </c>
      <c r="T55" s="9">
        <v>-1</v>
      </c>
      <c r="U55" s="9">
        <v>0</v>
      </c>
      <c r="V55" s="9">
        <v>0</v>
      </c>
      <c r="W55" s="9">
        <v>-26</v>
      </c>
      <c r="X55" s="9">
        <v>-29</v>
      </c>
      <c r="Y55" s="9">
        <v>-423</v>
      </c>
      <c r="Z55" s="9">
        <v>0</v>
      </c>
      <c r="AA55" s="9">
        <v>0</v>
      </c>
      <c r="AB55" s="9">
        <v>0</v>
      </c>
      <c r="AC55" s="9">
        <v>0</v>
      </c>
      <c r="AD55" s="9">
        <v>-52</v>
      </c>
      <c r="AE55" s="9">
        <v>-10</v>
      </c>
      <c r="AF55" s="9">
        <v>-18</v>
      </c>
      <c r="AG55" s="9">
        <v>-24</v>
      </c>
      <c r="AH55" s="9">
        <v>-12</v>
      </c>
      <c r="AI55" s="9">
        <v>-29</v>
      </c>
      <c r="AJ55" s="9">
        <v>-24</v>
      </c>
      <c r="AK55" s="20">
        <v>-28</v>
      </c>
      <c r="AL55" s="20">
        <v>-79</v>
      </c>
      <c r="AM55" s="20">
        <v>-38</v>
      </c>
      <c r="AN55" s="20">
        <v>-42</v>
      </c>
    </row>
    <row r="56" spans="1:40" x14ac:dyDescent="0.25">
      <c r="A56" s="2"/>
      <c r="B56" s="19" t="s">
        <v>7164</v>
      </c>
      <c r="C56" s="9">
        <v>-226</v>
      </c>
      <c r="D56" s="9">
        <v>21</v>
      </c>
      <c r="E56" s="9">
        <v>-273</v>
      </c>
      <c r="F56" s="9">
        <v>-225</v>
      </c>
      <c r="G56" s="9">
        <v>-65</v>
      </c>
      <c r="H56" s="9">
        <v>-104</v>
      </c>
      <c r="I56" s="9">
        <v>-127</v>
      </c>
      <c r="J56" s="9">
        <v>165</v>
      </c>
      <c r="K56" s="9">
        <v>-97</v>
      </c>
      <c r="L56" s="9">
        <v>35</v>
      </c>
      <c r="M56" s="9">
        <v>-285</v>
      </c>
      <c r="N56" s="9">
        <v>-82</v>
      </c>
      <c r="O56" s="9">
        <v>-220</v>
      </c>
      <c r="P56" s="9">
        <v>47</v>
      </c>
      <c r="Q56" s="9">
        <v>82</v>
      </c>
      <c r="R56" s="9">
        <v>209</v>
      </c>
      <c r="S56" s="9">
        <v>203</v>
      </c>
      <c r="T56" s="9">
        <v>-175</v>
      </c>
      <c r="U56" s="9">
        <v>74</v>
      </c>
      <c r="V56" s="9">
        <v>-80</v>
      </c>
      <c r="W56" s="9">
        <v>99</v>
      </c>
      <c r="X56" s="9">
        <v>-410</v>
      </c>
      <c r="Y56" s="9">
        <v>-26</v>
      </c>
      <c r="Z56" s="9">
        <v>-208</v>
      </c>
      <c r="AA56" s="9">
        <v>79</v>
      </c>
      <c r="AB56" s="9">
        <v>275</v>
      </c>
      <c r="AC56" s="9">
        <v>5</v>
      </c>
      <c r="AD56" s="9">
        <v>157</v>
      </c>
      <c r="AE56" s="9">
        <v>-65</v>
      </c>
      <c r="AF56" s="9">
        <v>-94</v>
      </c>
      <c r="AG56" s="9">
        <v>48</v>
      </c>
      <c r="AH56" s="9">
        <v>7</v>
      </c>
      <c r="AI56" s="9">
        <v>37</v>
      </c>
      <c r="AJ56" s="9">
        <v>4</v>
      </c>
      <c r="AK56" s="20">
        <v>8</v>
      </c>
      <c r="AL56" s="20">
        <v>-178</v>
      </c>
      <c r="AM56" s="20">
        <v>-117</v>
      </c>
      <c r="AN56" s="20">
        <v>-199</v>
      </c>
    </row>
    <row r="57" spans="1:40" x14ac:dyDescent="0.25">
      <c r="A57" s="2"/>
      <c r="B57" s="19" t="s">
        <v>7165</v>
      </c>
      <c r="C57" s="9">
        <v>-92</v>
      </c>
      <c r="D57" s="9">
        <v>-116</v>
      </c>
      <c r="E57" s="9">
        <v>-137</v>
      </c>
      <c r="F57" s="9">
        <v>-139</v>
      </c>
      <c r="G57" s="9">
        <v>-38</v>
      </c>
      <c r="H57" s="9">
        <v>-54</v>
      </c>
      <c r="I57" s="9">
        <v>-42</v>
      </c>
      <c r="J57" s="9">
        <v>-64</v>
      </c>
      <c r="K57" s="9">
        <v>-40</v>
      </c>
      <c r="L57" s="9">
        <v>-482</v>
      </c>
      <c r="M57" s="9">
        <v>-56</v>
      </c>
      <c r="N57" s="9">
        <v>-62</v>
      </c>
      <c r="O57" s="9">
        <v>-44</v>
      </c>
      <c r="P57" s="9">
        <v>-70</v>
      </c>
      <c r="Q57" s="9">
        <v>-50</v>
      </c>
      <c r="R57" s="9">
        <v>-207</v>
      </c>
      <c r="S57" s="9">
        <v>-42</v>
      </c>
      <c r="T57" s="9">
        <v>-69</v>
      </c>
      <c r="U57" s="9">
        <v>-46</v>
      </c>
      <c r="V57" s="9">
        <v>-52</v>
      </c>
      <c r="W57" s="9">
        <v>-129</v>
      </c>
      <c r="X57" s="9">
        <v>-71</v>
      </c>
      <c r="Y57" s="9">
        <v>-59</v>
      </c>
      <c r="Z57" s="9">
        <v>-72</v>
      </c>
      <c r="AA57" s="9">
        <v>-74</v>
      </c>
      <c r="AB57" s="9">
        <v>-81</v>
      </c>
      <c r="AC57" s="9">
        <v>-78</v>
      </c>
      <c r="AD57" s="9">
        <v>-64</v>
      </c>
      <c r="AE57" s="9">
        <v>-74</v>
      </c>
      <c r="AF57" s="9">
        <v>-77</v>
      </c>
      <c r="AG57" s="9">
        <v>-71</v>
      </c>
      <c r="AH57" s="9">
        <v>-67</v>
      </c>
      <c r="AI57" s="9">
        <v>-72</v>
      </c>
      <c r="AJ57" s="9">
        <v>-80</v>
      </c>
      <c r="AK57" s="20">
        <v>-79</v>
      </c>
      <c r="AL57" s="20">
        <v>-77</v>
      </c>
      <c r="AM57" s="20">
        <v>-81</v>
      </c>
      <c r="AN57" s="20">
        <v>-93</v>
      </c>
    </row>
    <row r="58" spans="1:40" x14ac:dyDescent="0.25">
      <c r="A58" s="2"/>
      <c r="B58" s="19" t="s">
        <v>7166</v>
      </c>
      <c r="C58" s="9">
        <v>-149</v>
      </c>
      <c r="D58" s="9">
        <v>-5</v>
      </c>
      <c r="E58" s="9">
        <v>-85</v>
      </c>
      <c r="F58" s="9">
        <v>-293</v>
      </c>
      <c r="G58" s="9">
        <v>-1</v>
      </c>
      <c r="H58" s="9">
        <v>-15</v>
      </c>
      <c r="I58" s="9">
        <v>0</v>
      </c>
      <c r="J58" s="9">
        <v>-1</v>
      </c>
      <c r="K58" s="9">
        <v>-11</v>
      </c>
      <c r="L58" s="9">
        <v>-42</v>
      </c>
      <c r="M58" s="9">
        <v>-2</v>
      </c>
      <c r="N58" s="9">
        <v>-5</v>
      </c>
      <c r="O58" s="9">
        <v>-1</v>
      </c>
      <c r="P58" s="9">
        <v>-1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9">
        <v>0</v>
      </c>
      <c r="AF58" s="9">
        <v>0</v>
      </c>
      <c r="AG58" s="9">
        <v>0</v>
      </c>
      <c r="AH58" s="9">
        <v>0</v>
      </c>
      <c r="AI58" s="9">
        <v>0</v>
      </c>
      <c r="AJ58" s="9">
        <v>0</v>
      </c>
      <c r="AK58" s="20">
        <v>0</v>
      </c>
      <c r="AL58" s="20">
        <v>0</v>
      </c>
      <c r="AM58" s="20">
        <v>0</v>
      </c>
      <c r="AN58" s="20">
        <v>0</v>
      </c>
    </row>
    <row r="59" spans="1:40" x14ac:dyDescent="0.25">
      <c r="A59" s="2"/>
      <c r="B59" s="19" t="s">
        <v>7167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115</v>
      </c>
      <c r="O59" s="9">
        <v>-106</v>
      </c>
      <c r="P59" s="9">
        <v>-6</v>
      </c>
      <c r="Q59" s="9">
        <v>-2</v>
      </c>
      <c r="R59" s="9">
        <v>0</v>
      </c>
      <c r="S59" s="9">
        <v>-1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20">
        <v>0</v>
      </c>
      <c r="AL59" s="20">
        <v>0</v>
      </c>
      <c r="AM59" s="20">
        <v>0</v>
      </c>
      <c r="AN59" s="20">
        <v>0</v>
      </c>
    </row>
    <row r="60" spans="1:40" x14ac:dyDescent="0.25">
      <c r="A60" s="2"/>
      <c r="B60" s="19" t="s">
        <v>7168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-53</v>
      </c>
      <c r="W60" s="9">
        <v>-68</v>
      </c>
      <c r="X60" s="9">
        <v>-8</v>
      </c>
      <c r="Y60" s="9">
        <v>0</v>
      </c>
      <c r="Z60" s="9">
        <v>-3</v>
      </c>
      <c r="AA60" s="9">
        <v>-82</v>
      </c>
      <c r="AB60" s="9">
        <v>-13</v>
      </c>
      <c r="AC60" s="9">
        <v>-1</v>
      </c>
      <c r="AD60" s="9">
        <v>-2</v>
      </c>
      <c r="AE60" s="9">
        <v>-128</v>
      </c>
      <c r="AF60" s="9">
        <v>-16</v>
      </c>
      <c r="AG60" s="9">
        <v>-1</v>
      </c>
      <c r="AH60" s="9">
        <v>-1</v>
      </c>
      <c r="AI60" s="9">
        <v>-218</v>
      </c>
      <c r="AJ60" s="9">
        <v>-8</v>
      </c>
      <c r="AK60" s="20">
        <v>-12</v>
      </c>
      <c r="AL60" s="20">
        <v>-18</v>
      </c>
      <c r="AM60" s="20">
        <v>-182</v>
      </c>
      <c r="AN60" s="20">
        <v>-7</v>
      </c>
    </row>
    <row r="61" spans="1:40" x14ac:dyDescent="0.25">
      <c r="A61" s="2"/>
      <c r="B61" s="19" t="s">
        <v>7169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-9</v>
      </c>
      <c r="I61" s="9">
        <v>9</v>
      </c>
      <c r="J61" s="9">
        <v>0</v>
      </c>
      <c r="K61" s="9">
        <v>0</v>
      </c>
      <c r="L61" s="9">
        <v>-24</v>
      </c>
      <c r="M61" s="9">
        <v>-8</v>
      </c>
      <c r="N61" s="9">
        <v>-21</v>
      </c>
      <c r="O61" s="9">
        <v>-12</v>
      </c>
      <c r="P61" s="9">
        <v>-8</v>
      </c>
      <c r="Q61" s="9">
        <v>-10</v>
      </c>
      <c r="R61" s="9">
        <v>-21</v>
      </c>
      <c r="S61" s="9">
        <v>-10</v>
      </c>
      <c r="T61" s="9">
        <v>-29</v>
      </c>
      <c r="U61" s="9">
        <v>-25</v>
      </c>
      <c r="V61" s="9">
        <v>-41</v>
      </c>
      <c r="W61" s="9">
        <v>-47</v>
      </c>
      <c r="X61" s="9">
        <v>-78</v>
      </c>
      <c r="Y61" s="9">
        <v>-73</v>
      </c>
      <c r="Z61" s="9">
        <v>-20</v>
      </c>
      <c r="AA61" s="9">
        <v>-10</v>
      </c>
      <c r="AB61" s="9">
        <v>-10</v>
      </c>
      <c r="AC61" s="9">
        <v>-15</v>
      </c>
      <c r="AD61" s="9">
        <v>-11</v>
      </c>
      <c r="AE61" s="9">
        <v>-52</v>
      </c>
      <c r="AF61" s="9">
        <v>-12</v>
      </c>
      <c r="AG61" s="9">
        <v>-15</v>
      </c>
      <c r="AH61" s="9">
        <v>-34</v>
      </c>
      <c r="AI61" s="9">
        <v>-12</v>
      </c>
      <c r="AJ61" s="9">
        <v>-27</v>
      </c>
      <c r="AK61" s="20">
        <v>-62</v>
      </c>
      <c r="AL61" s="20">
        <v>-80</v>
      </c>
      <c r="AM61" s="20">
        <v>-31</v>
      </c>
      <c r="AN61" s="20">
        <v>-19</v>
      </c>
    </row>
    <row r="62" spans="1:40" x14ac:dyDescent="0.25">
      <c r="A62" s="2"/>
      <c r="B62" s="19" t="s">
        <v>7170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-1</v>
      </c>
      <c r="N62" s="9">
        <v>-16</v>
      </c>
      <c r="O62" s="9">
        <v>0</v>
      </c>
      <c r="P62" s="9">
        <v>0</v>
      </c>
      <c r="Q62" s="9">
        <v>274</v>
      </c>
      <c r="R62" s="9">
        <v>114</v>
      </c>
      <c r="S62" s="9">
        <v>-75</v>
      </c>
      <c r="T62" s="9">
        <v>25</v>
      </c>
      <c r="U62" s="9">
        <v>58</v>
      </c>
      <c r="V62" s="9">
        <v>-61</v>
      </c>
      <c r="W62" s="9">
        <v>-20</v>
      </c>
      <c r="X62" s="9">
        <v>172</v>
      </c>
      <c r="Y62" s="9">
        <v>-278</v>
      </c>
      <c r="Z62" s="9">
        <v>59</v>
      </c>
      <c r="AA62" s="9">
        <v>-66</v>
      </c>
      <c r="AB62" s="9">
        <v>340</v>
      </c>
      <c r="AC62" s="9">
        <v>556</v>
      </c>
      <c r="AD62" s="9">
        <v>-870</v>
      </c>
      <c r="AE62" s="9">
        <v>3</v>
      </c>
      <c r="AF62" s="9">
        <v>-3</v>
      </c>
      <c r="AG62" s="9">
        <v>178</v>
      </c>
      <c r="AH62" s="9">
        <v>-291</v>
      </c>
      <c r="AI62" s="9">
        <v>142</v>
      </c>
      <c r="AJ62" s="9">
        <v>-132</v>
      </c>
      <c r="AK62" s="20">
        <v>7</v>
      </c>
      <c r="AL62" s="20">
        <v>59</v>
      </c>
      <c r="AM62" s="20">
        <v>131</v>
      </c>
      <c r="AN62" s="20">
        <v>-197</v>
      </c>
    </row>
    <row r="63" spans="1:40" x14ac:dyDescent="0.25">
      <c r="A63" s="2"/>
      <c r="B63" s="19" t="s">
        <v>7171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-242</v>
      </c>
      <c r="X63" s="9">
        <v>143</v>
      </c>
      <c r="Y63" s="9">
        <v>-165</v>
      </c>
      <c r="Z63" s="9">
        <v>128</v>
      </c>
      <c r="AA63" s="9">
        <v>96</v>
      </c>
      <c r="AB63" s="9">
        <v>-255</v>
      </c>
      <c r="AC63" s="9">
        <v>178</v>
      </c>
      <c r="AD63" s="9">
        <v>-115</v>
      </c>
      <c r="AE63" s="9">
        <v>-108</v>
      </c>
      <c r="AF63" s="9">
        <v>117</v>
      </c>
      <c r="AG63" s="9">
        <v>106</v>
      </c>
      <c r="AH63" s="9">
        <v>-128</v>
      </c>
      <c r="AI63" s="9">
        <v>12</v>
      </c>
      <c r="AJ63" s="9">
        <v>-14</v>
      </c>
      <c r="AK63" s="20">
        <v>-97</v>
      </c>
      <c r="AL63" s="20">
        <v>-190</v>
      </c>
      <c r="AM63" s="20">
        <v>32</v>
      </c>
      <c r="AN63" s="20">
        <v>207</v>
      </c>
    </row>
    <row r="64" spans="1:40" x14ac:dyDescent="0.25">
      <c r="A64" s="2"/>
      <c r="B64" s="19" t="s">
        <v>7172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9">
        <v>-160</v>
      </c>
      <c r="AE64" s="9">
        <v>0</v>
      </c>
      <c r="AF64" s="9">
        <v>-204</v>
      </c>
      <c r="AG64" s="9">
        <v>0</v>
      </c>
      <c r="AH64" s="9">
        <v>0</v>
      </c>
      <c r="AI64" s="9">
        <v>0</v>
      </c>
      <c r="AJ64" s="9">
        <v>0</v>
      </c>
      <c r="AK64" s="20">
        <v>0</v>
      </c>
      <c r="AL64" s="20">
        <v>0</v>
      </c>
      <c r="AM64" s="20">
        <v>0</v>
      </c>
      <c r="AN64" s="20">
        <v>0</v>
      </c>
    </row>
    <row r="65" spans="1:40" x14ac:dyDescent="0.25">
      <c r="A65" s="2"/>
      <c r="B65" s="19" t="s">
        <v>7173</v>
      </c>
      <c r="C65" s="9">
        <v>93</v>
      </c>
      <c r="D65" s="9">
        <v>60</v>
      </c>
      <c r="E65" s="9">
        <v>-63</v>
      </c>
      <c r="F65" s="9">
        <v>-92</v>
      </c>
      <c r="G65" s="9">
        <v>18</v>
      </c>
      <c r="H65" s="9">
        <v>-54</v>
      </c>
      <c r="I65" s="9">
        <v>67</v>
      </c>
      <c r="J65" s="9">
        <v>-55</v>
      </c>
      <c r="K65" s="9">
        <v>10</v>
      </c>
      <c r="L65" s="9">
        <v>-28</v>
      </c>
      <c r="M65" s="9">
        <v>28</v>
      </c>
      <c r="N65" s="9">
        <v>59</v>
      </c>
      <c r="O65" s="9">
        <v>372</v>
      </c>
      <c r="P65" s="9">
        <v>174</v>
      </c>
      <c r="Q65" s="9">
        <v>-71</v>
      </c>
      <c r="R65" s="9">
        <v>-113</v>
      </c>
      <c r="S65" s="9">
        <v>-252</v>
      </c>
      <c r="T65" s="9">
        <v>-46</v>
      </c>
      <c r="U65" s="9">
        <v>-19</v>
      </c>
      <c r="V65" s="9">
        <v>-2</v>
      </c>
      <c r="W65" s="9">
        <v>-720</v>
      </c>
      <c r="X65" s="9">
        <v>83</v>
      </c>
      <c r="Y65" s="9">
        <v>194</v>
      </c>
      <c r="Z65" s="9">
        <v>416</v>
      </c>
      <c r="AA65" s="9">
        <v>302</v>
      </c>
      <c r="AB65" s="9">
        <v>-48</v>
      </c>
      <c r="AC65" s="9">
        <v>-36</v>
      </c>
      <c r="AD65" s="9">
        <v>-13</v>
      </c>
      <c r="AE65" s="9">
        <v>23</v>
      </c>
      <c r="AF65" s="9">
        <v>-34</v>
      </c>
      <c r="AG65" s="9">
        <v>109</v>
      </c>
      <c r="AH65" s="9">
        <v>-50</v>
      </c>
      <c r="AI65" s="9">
        <v>8</v>
      </c>
      <c r="AJ65" s="9">
        <v>-15</v>
      </c>
      <c r="AK65" s="20">
        <v>136</v>
      </c>
      <c r="AL65" s="20">
        <v>-197</v>
      </c>
      <c r="AM65" s="20">
        <v>-157</v>
      </c>
      <c r="AN65" s="20">
        <v>48</v>
      </c>
    </row>
    <row r="66" spans="1:40" ht="5.0999999999999996" customHeight="1" x14ac:dyDescent="0.25">
      <c r="A66" s="2"/>
      <c r="B66" s="8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</row>
    <row r="67" spans="1:40" x14ac:dyDescent="0.25">
      <c r="A67" s="2"/>
      <c r="B67" s="14" t="s">
        <v>7174</v>
      </c>
      <c r="C67" s="15">
        <f t="shared" ref="C67:AL67" si="0">SUM(C10:C65)</f>
        <v>-2094</v>
      </c>
      <c r="D67" s="15">
        <f t="shared" si="0"/>
        <v>482</v>
      </c>
      <c r="E67" s="15">
        <f t="shared" si="0"/>
        <v>2634</v>
      </c>
      <c r="F67" s="15">
        <f t="shared" si="0"/>
        <v>1270</v>
      </c>
      <c r="G67" s="15">
        <f t="shared" si="0"/>
        <v>629</v>
      </c>
      <c r="H67" s="15">
        <f t="shared" si="0"/>
        <v>374</v>
      </c>
      <c r="I67" s="15">
        <f t="shared" si="0"/>
        <v>222</v>
      </c>
      <c r="J67" s="15">
        <f t="shared" si="0"/>
        <v>2103</v>
      </c>
      <c r="K67" s="15">
        <f t="shared" si="0"/>
        <v>1084</v>
      </c>
      <c r="L67" s="15">
        <f t="shared" si="0"/>
        <v>-126</v>
      </c>
      <c r="M67" s="15">
        <f t="shared" si="0"/>
        <v>2080</v>
      </c>
      <c r="N67" s="15">
        <f t="shared" si="0"/>
        <v>-139</v>
      </c>
      <c r="O67" s="15">
        <f t="shared" si="0"/>
        <v>756</v>
      </c>
      <c r="P67" s="15">
        <f t="shared" si="0"/>
        <v>828</v>
      </c>
      <c r="Q67" s="15">
        <f t="shared" si="0"/>
        <v>534</v>
      </c>
      <c r="R67" s="15">
        <f t="shared" si="0"/>
        <v>-300</v>
      </c>
      <c r="S67" s="15">
        <f t="shared" si="0"/>
        <v>351</v>
      </c>
      <c r="T67" s="15">
        <f t="shared" si="0"/>
        <v>-212</v>
      </c>
      <c r="U67" s="15">
        <f t="shared" si="0"/>
        <v>619</v>
      </c>
      <c r="V67" s="15">
        <f t="shared" si="0"/>
        <v>1518</v>
      </c>
      <c r="W67" s="15">
        <f t="shared" si="0"/>
        <v>214</v>
      </c>
      <c r="X67" s="15">
        <f t="shared" si="0"/>
        <v>-725</v>
      </c>
      <c r="Y67" s="15">
        <f t="shared" si="0"/>
        <v>1319</v>
      </c>
      <c r="Z67" s="15">
        <f t="shared" si="0"/>
        <v>455</v>
      </c>
      <c r="AA67" s="15">
        <f t="shared" si="0"/>
        <v>2722</v>
      </c>
      <c r="AB67" s="15">
        <f t="shared" si="0"/>
        <v>358</v>
      </c>
      <c r="AC67" s="15">
        <f t="shared" si="0"/>
        <v>1834</v>
      </c>
      <c r="AD67" s="15">
        <f t="shared" si="0"/>
        <v>1333</v>
      </c>
      <c r="AE67" s="15">
        <f t="shared" si="0"/>
        <v>-230</v>
      </c>
      <c r="AF67" s="15">
        <f t="shared" si="0"/>
        <v>1034</v>
      </c>
      <c r="AG67" s="15">
        <f t="shared" si="0"/>
        <v>1978</v>
      </c>
      <c r="AH67" s="15">
        <f t="shared" si="0"/>
        <v>1366</v>
      </c>
      <c r="AI67" s="15">
        <f t="shared" si="0"/>
        <v>945</v>
      </c>
      <c r="AJ67" s="15">
        <f t="shared" si="0"/>
        <v>808</v>
      </c>
      <c r="AK67" s="15">
        <f t="shared" si="0"/>
        <v>3508</v>
      </c>
      <c r="AL67" s="15">
        <f t="shared" si="0"/>
        <v>1405</v>
      </c>
      <c r="AM67" s="15">
        <f>SUM(AM10:AM65)</f>
        <v>2641</v>
      </c>
      <c r="AN67" s="15">
        <f>SUM(AN10:AN65)</f>
        <v>3033</v>
      </c>
    </row>
    <row r="68" spans="1:40" x14ac:dyDescent="0.25">
      <c r="A68" s="2"/>
      <c r="B68" s="5" t="s">
        <v>7175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 x14ac:dyDescent="0.25">
      <c r="A69" s="2"/>
      <c r="B69" s="12" t="s">
        <v>7176</v>
      </c>
      <c r="C69" s="9">
        <v>-959</v>
      </c>
      <c r="D69" s="9">
        <v>-723</v>
      </c>
      <c r="E69" s="9">
        <v>-402</v>
      </c>
      <c r="F69" s="9">
        <v>-298</v>
      </c>
      <c r="G69" s="9">
        <v>-71</v>
      </c>
      <c r="H69" s="9">
        <v>-101</v>
      </c>
      <c r="I69" s="9">
        <v>-115</v>
      </c>
      <c r="J69" s="9">
        <v>-143</v>
      </c>
      <c r="K69" s="9">
        <v>-128</v>
      </c>
      <c r="L69" s="9">
        <v>-132</v>
      </c>
      <c r="M69" s="9">
        <v>-153</v>
      </c>
      <c r="N69" s="9">
        <v>-182</v>
      </c>
      <c r="O69" s="9">
        <v>-106</v>
      </c>
      <c r="P69" s="9">
        <v>-117</v>
      </c>
      <c r="Q69" s="9">
        <v>-176</v>
      </c>
      <c r="R69" s="9">
        <v>-207</v>
      </c>
      <c r="S69" s="9">
        <v>-110</v>
      </c>
      <c r="T69" s="9">
        <v>-125</v>
      </c>
      <c r="U69" s="9">
        <v>-139</v>
      </c>
      <c r="V69" s="9">
        <v>-210</v>
      </c>
      <c r="W69" s="9">
        <v>-115</v>
      </c>
      <c r="X69" s="9">
        <v>-153</v>
      </c>
      <c r="Y69" s="9">
        <v>-180</v>
      </c>
      <c r="Z69" s="9">
        <v>-279</v>
      </c>
      <c r="AA69" s="9">
        <v>-117</v>
      </c>
      <c r="AB69" s="9">
        <v>-157</v>
      </c>
      <c r="AC69" s="9">
        <v>-136</v>
      </c>
      <c r="AD69" s="9">
        <v>-332</v>
      </c>
      <c r="AE69" s="9">
        <v>-155</v>
      </c>
      <c r="AF69" s="9">
        <v>-322</v>
      </c>
      <c r="AG69" s="9">
        <v>-240</v>
      </c>
      <c r="AH69" s="9">
        <v>-417</v>
      </c>
      <c r="AI69" s="9">
        <v>-458</v>
      </c>
      <c r="AJ69" s="9">
        <v>-323</v>
      </c>
      <c r="AK69" s="9">
        <v>-312</v>
      </c>
      <c r="AL69" s="9">
        <v>-359</v>
      </c>
      <c r="AM69" s="9">
        <v>-225</v>
      </c>
      <c r="AN69" s="9">
        <v>-235</v>
      </c>
    </row>
    <row r="70" spans="1:40" x14ac:dyDescent="0.25">
      <c r="A70" s="2"/>
      <c r="B70" s="12" t="s">
        <v>7177</v>
      </c>
      <c r="C70" s="9">
        <v>-27</v>
      </c>
      <c r="D70" s="9">
        <v>0</v>
      </c>
      <c r="E70" s="9">
        <v>0</v>
      </c>
      <c r="F70" s="9">
        <v>-2</v>
      </c>
      <c r="G70" s="9">
        <v>0</v>
      </c>
      <c r="H70" s="9">
        <v>0</v>
      </c>
      <c r="I70" s="9">
        <v>0</v>
      </c>
      <c r="J70" s="9">
        <v>-1</v>
      </c>
      <c r="K70" s="9">
        <v>-2</v>
      </c>
      <c r="L70" s="9">
        <v>0</v>
      </c>
      <c r="M70" s="9">
        <v>0</v>
      </c>
      <c r="N70" s="9">
        <v>-34</v>
      </c>
      <c r="O70" s="9">
        <v>0</v>
      </c>
      <c r="P70" s="9">
        <v>-1</v>
      </c>
      <c r="Q70" s="9">
        <v>-2</v>
      </c>
      <c r="R70" s="9">
        <v>-10</v>
      </c>
      <c r="S70" s="9">
        <v>-31</v>
      </c>
      <c r="T70" s="9">
        <v>-21</v>
      </c>
      <c r="U70" s="9">
        <v>0</v>
      </c>
      <c r="V70" s="9">
        <v>0</v>
      </c>
      <c r="W70" s="9">
        <v>-27</v>
      </c>
      <c r="X70" s="9">
        <v>-1211</v>
      </c>
      <c r="Y70" s="9">
        <v>-398</v>
      </c>
      <c r="Z70" s="9">
        <v>-57</v>
      </c>
      <c r="AA70" s="9">
        <v>0</v>
      </c>
      <c r="AB70" s="9">
        <v>-17</v>
      </c>
      <c r="AC70" s="9">
        <v>0</v>
      </c>
      <c r="AD70" s="9">
        <v>-11</v>
      </c>
      <c r="AE70" s="9">
        <v>-5</v>
      </c>
      <c r="AF70" s="9">
        <v>-14</v>
      </c>
      <c r="AG70" s="9">
        <v>-11</v>
      </c>
      <c r="AH70" s="9">
        <v>-11</v>
      </c>
      <c r="AI70" s="9">
        <v>-41</v>
      </c>
      <c r="AJ70" s="9">
        <v>-33</v>
      </c>
      <c r="AK70" s="9">
        <v>-12</v>
      </c>
      <c r="AL70" s="9">
        <v>-28</v>
      </c>
      <c r="AM70" s="9">
        <v>-19</v>
      </c>
      <c r="AN70" s="9">
        <v>-19</v>
      </c>
    </row>
    <row r="71" spans="1:40" x14ac:dyDescent="0.25">
      <c r="A71" s="2"/>
      <c r="B71" s="12" t="s">
        <v>7178</v>
      </c>
      <c r="C71" s="9">
        <v>40</v>
      </c>
      <c r="D71" s="9">
        <v>25</v>
      </c>
      <c r="E71" s="9">
        <v>1</v>
      </c>
      <c r="F71" s="9">
        <v>13</v>
      </c>
      <c r="G71" s="9">
        <v>0</v>
      </c>
      <c r="H71" s="9">
        <v>2</v>
      </c>
      <c r="I71" s="9">
        <v>0</v>
      </c>
      <c r="J71" s="9">
        <v>0</v>
      </c>
      <c r="K71" s="9">
        <v>8</v>
      </c>
      <c r="L71" s="9">
        <v>2</v>
      </c>
      <c r="M71" s="9">
        <v>1</v>
      </c>
      <c r="N71" s="9">
        <v>5</v>
      </c>
      <c r="O71" s="9">
        <v>2</v>
      </c>
      <c r="P71" s="9">
        <v>6</v>
      </c>
      <c r="Q71" s="9">
        <v>13</v>
      </c>
      <c r="R71" s="9">
        <v>10</v>
      </c>
      <c r="S71" s="9">
        <v>43</v>
      </c>
      <c r="T71" s="9">
        <v>49</v>
      </c>
      <c r="U71" s="9">
        <v>11</v>
      </c>
      <c r="V71" s="9">
        <v>82</v>
      </c>
      <c r="W71" s="9">
        <v>14</v>
      </c>
      <c r="X71" s="9">
        <v>26</v>
      </c>
      <c r="Y71" s="9">
        <v>133</v>
      </c>
      <c r="Z71" s="9">
        <v>188</v>
      </c>
      <c r="AA71" s="9">
        <v>108</v>
      </c>
      <c r="AB71" s="9">
        <v>95</v>
      </c>
      <c r="AC71" s="9">
        <v>942</v>
      </c>
      <c r="AD71" s="9">
        <v>126</v>
      </c>
      <c r="AE71" s="9">
        <v>204</v>
      </c>
      <c r="AF71" s="9">
        <v>93</v>
      </c>
      <c r="AG71" s="9">
        <v>100</v>
      </c>
      <c r="AH71" s="9">
        <v>91</v>
      </c>
      <c r="AI71" s="9">
        <v>122</v>
      </c>
      <c r="AJ71" s="9">
        <v>50</v>
      </c>
      <c r="AK71" s="9">
        <v>47</v>
      </c>
      <c r="AL71" s="9">
        <v>53</v>
      </c>
      <c r="AM71" s="9">
        <v>44</v>
      </c>
      <c r="AN71" s="9">
        <v>118</v>
      </c>
    </row>
    <row r="72" spans="1:40" x14ac:dyDescent="0.25">
      <c r="A72" s="2"/>
      <c r="B72" s="12" t="s">
        <v>7179</v>
      </c>
      <c r="C72" s="9">
        <v>-353</v>
      </c>
      <c r="D72" s="9">
        <v>-2208</v>
      </c>
      <c r="E72" s="9">
        <v>307</v>
      </c>
      <c r="F72" s="9">
        <v>2607</v>
      </c>
      <c r="G72" s="9">
        <v>233</v>
      </c>
      <c r="H72" s="9">
        <v>33</v>
      </c>
      <c r="I72" s="9">
        <v>3</v>
      </c>
      <c r="J72" s="9">
        <v>-36</v>
      </c>
      <c r="K72" s="9">
        <v>67</v>
      </c>
      <c r="L72" s="9">
        <v>-13</v>
      </c>
      <c r="M72" s="9">
        <v>188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2</v>
      </c>
      <c r="T72" s="9">
        <v>0</v>
      </c>
      <c r="U72" s="9">
        <v>0</v>
      </c>
      <c r="V72" s="9">
        <v>-2000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9">
        <v>0</v>
      </c>
      <c r="AE72" s="9">
        <v>-6</v>
      </c>
      <c r="AF72" s="9">
        <v>0</v>
      </c>
      <c r="AG72" s="9">
        <v>-1</v>
      </c>
      <c r="AH72" s="9">
        <v>-1</v>
      </c>
      <c r="AI72" s="9">
        <v>35</v>
      </c>
      <c r="AJ72" s="9">
        <v>16</v>
      </c>
      <c r="AK72" s="9">
        <v>-1</v>
      </c>
      <c r="AL72" s="9">
        <v>17</v>
      </c>
      <c r="AM72" s="9">
        <v>0</v>
      </c>
      <c r="AN72" s="9">
        <v>20</v>
      </c>
    </row>
    <row r="73" spans="1:40" x14ac:dyDescent="0.25">
      <c r="A73" s="2"/>
      <c r="B73" s="12" t="s">
        <v>7180</v>
      </c>
      <c r="C73" s="9">
        <v>0</v>
      </c>
      <c r="D73" s="9">
        <v>1</v>
      </c>
      <c r="E73" s="9">
        <v>22</v>
      </c>
      <c r="F73" s="9">
        <v>1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1</v>
      </c>
      <c r="S73" s="9">
        <v>0</v>
      </c>
      <c r="T73" s="9">
        <v>11</v>
      </c>
      <c r="U73" s="9">
        <v>4</v>
      </c>
      <c r="V73" s="9">
        <v>0</v>
      </c>
      <c r="W73" s="9">
        <v>3</v>
      </c>
      <c r="X73" s="9">
        <v>3</v>
      </c>
      <c r="Y73" s="9">
        <v>0</v>
      </c>
      <c r="Z73" s="9">
        <v>47</v>
      </c>
      <c r="AA73" s="9">
        <v>0</v>
      </c>
      <c r="AB73" s="9">
        <v>51</v>
      </c>
      <c r="AC73" s="9">
        <v>56</v>
      </c>
      <c r="AD73" s="9">
        <v>30</v>
      </c>
      <c r="AE73" s="9">
        <v>0</v>
      </c>
      <c r="AF73" s="9">
        <v>7</v>
      </c>
      <c r="AG73" s="9">
        <v>0</v>
      </c>
      <c r="AH73" s="9">
        <v>0</v>
      </c>
      <c r="AI73" s="9">
        <v>6</v>
      </c>
      <c r="AJ73" s="9">
        <v>47</v>
      </c>
      <c r="AK73" s="9">
        <v>21</v>
      </c>
      <c r="AL73" s="9">
        <v>30</v>
      </c>
      <c r="AM73" s="9">
        <v>9</v>
      </c>
      <c r="AN73" s="9">
        <v>7</v>
      </c>
    </row>
    <row r="74" spans="1:40" x14ac:dyDescent="0.25">
      <c r="A74" s="2"/>
      <c r="B74" s="12" t="s">
        <v>7181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  <c r="P74" s="9">
        <v>0</v>
      </c>
      <c r="Q74" s="9">
        <v>4</v>
      </c>
      <c r="R74" s="9">
        <v>13</v>
      </c>
      <c r="S74" s="9">
        <v>13</v>
      </c>
      <c r="T74" s="9">
        <v>12</v>
      </c>
      <c r="U74" s="9">
        <v>4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9">
        <v>0</v>
      </c>
      <c r="AC74" s="9">
        <v>6</v>
      </c>
      <c r="AD74" s="9">
        <v>0</v>
      </c>
      <c r="AE74" s="9">
        <v>0</v>
      </c>
      <c r="AF74" s="9">
        <v>0</v>
      </c>
      <c r="AG74" s="9">
        <v>0</v>
      </c>
      <c r="AH74" s="9">
        <v>0</v>
      </c>
      <c r="AI74" s="9">
        <v>22</v>
      </c>
      <c r="AJ74" s="9">
        <v>30</v>
      </c>
      <c r="AK74" s="9">
        <v>36</v>
      </c>
      <c r="AL74" s="9">
        <v>50</v>
      </c>
      <c r="AM74" s="9">
        <v>56</v>
      </c>
      <c r="AN74" s="9">
        <v>-8</v>
      </c>
    </row>
    <row r="75" spans="1:40" x14ac:dyDescent="0.25">
      <c r="A75" s="2"/>
      <c r="B75" s="12" t="s">
        <v>7182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-4</v>
      </c>
      <c r="Z75" s="9">
        <v>-1</v>
      </c>
      <c r="AA75" s="9">
        <v>0</v>
      </c>
      <c r="AB75" s="9">
        <v>0</v>
      </c>
      <c r="AC75" s="9">
        <v>-24</v>
      </c>
      <c r="AD75" s="9">
        <v>-13</v>
      </c>
      <c r="AE75" s="9">
        <v>-10</v>
      </c>
      <c r="AF75" s="9">
        <v>0</v>
      </c>
      <c r="AG75" s="9">
        <v>-20</v>
      </c>
      <c r="AH75" s="9">
        <v>-1</v>
      </c>
      <c r="AI75" s="9">
        <v>-103</v>
      </c>
      <c r="AJ75" s="9">
        <v>-53</v>
      </c>
      <c r="AK75" s="9">
        <v>-38</v>
      </c>
      <c r="AL75" s="9">
        <v>-21</v>
      </c>
      <c r="AM75" s="9">
        <v>-23</v>
      </c>
      <c r="AN75" s="9">
        <v>-16</v>
      </c>
    </row>
    <row r="76" spans="1:40" x14ac:dyDescent="0.25">
      <c r="A76" s="2"/>
      <c r="B76" s="12" t="s">
        <v>7183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9">
        <v>0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9">
        <v>0</v>
      </c>
      <c r="AC76" s="9">
        <v>0</v>
      </c>
      <c r="AD76" s="9">
        <v>0</v>
      </c>
      <c r="AE76" s="9">
        <v>0</v>
      </c>
      <c r="AF76" s="9">
        <v>0</v>
      </c>
      <c r="AG76" s="9">
        <v>0</v>
      </c>
      <c r="AH76" s="9">
        <v>0</v>
      </c>
      <c r="AI76" s="9">
        <v>0</v>
      </c>
      <c r="AJ76" s="9">
        <v>0</v>
      </c>
      <c r="AK76" s="9">
        <v>16</v>
      </c>
      <c r="AL76" s="9">
        <v>3</v>
      </c>
      <c r="AM76" s="9">
        <v>4</v>
      </c>
      <c r="AN76" s="9">
        <v>0</v>
      </c>
    </row>
    <row r="77" spans="1:40" x14ac:dyDescent="0.25">
      <c r="A77" s="2"/>
      <c r="B77" s="12" t="s">
        <v>7184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/>
      <c r="AJ77" s="9">
        <v>7</v>
      </c>
      <c r="AK77" s="9">
        <v>0</v>
      </c>
      <c r="AL77" s="9">
        <v>9</v>
      </c>
      <c r="AM77" s="9">
        <v>3</v>
      </c>
      <c r="AN77" s="9">
        <v>0</v>
      </c>
    </row>
    <row r="78" spans="1:40" x14ac:dyDescent="0.25">
      <c r="A78" s="2"/>
      <c r="B78" s="12" t="s">
        <v>7185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  <c r="P78" s="9">
        <v>0</v>
      </c>
      <c r="Q78" s="9">
        <v>0</v>
      </c>
      <c r="R78" s="9">
        <v>0</v>
      </c>
      <c r="S78" s="9">
        <v>0</v>
      </c>
      <c r="T78" s="9">
        <v>0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9">
        <v>0</v>
      </c>
      <c r="AE78" s="9">
        <v>0</v>
      </c>
      <c r="AF78" s="9">
        <v>0</v>
      </c>
      <c r="AG78" s="9">
        <v>0</v>
      </c>
      <c r="AH78" s="9">
        <v>0</v>
      </c>
      <c r="AI78" s="9">
        <v>0</v>
      </c>
      <c r="AJ78" s="9">
        <v>0</v>
      </c>
      <c r="AK78" s="9">
        <v>0</v>
      </c>
      <c r="AL78" s="9">
        <v>5</v>
      </c>
      <c r="AM78" s="9">
        <v>0</v>
      </c>
      <c r="AN78" s="9">
        <v>12</v>
      </c>
    </row>
    <row r="79" spans="1:40" x14ac:dyDescent="0.25">
      <c r="A79" s="2"/>
      <c r="B79" s="12" t="s">
        <v>7186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-2962</v>
      </c>
      <c r="AJ79" s="9">
        <v>0</v>
      </c>
      <c r="AK79" s="9">
        <v>-31</v>
      </c>
      <c r="AL79" s="9">
        <v>11</v>
      </c>
      <c r="AM79" s="9">
        <v>-23</v>
      </c>
      <c r="AN79" s="9">
        <v>1</v>
      </c>
    </row>
    <row r="80" spans="1:40" x14ac:dyDescent="0.25">
      <c r="A80" s="2"/>
      <c r="B80" s="12" t="s">
        <v>7187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v>0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9">
        <v>0</v>
      </c>
      <c r="AC80" s="9">
        <v>0</v>
      </c>
      <c r="AD80" s="9">
        <v>-162</v>
      </c>
      <c r="AE80" s="9">
        <v>0</v>
      </c>
      <c r="AF80" s="9">
        <v>0</v>
      </c>
      <c r="AG80" s="9">
        <v>0</v>
      </c>
      <c r="AH80" s="9">
        <v>0</v>
      </c>
      <c r="AI80" s="9">
        <v>0</v>
      </c>
      <c r="AJ80" s="9">
        <v>0</v>
      </c>
      <c r="AK80" s="9">
        <v>0</v>
      </c>
      <c r="AL80" s="9">
        <v>0</v>
      </c>
      <c r="AM80" s="9">
        <v>0</v>
      </c>
      <c r="AN80" s="9">
        <v>0</v>
      </c>
    </row>
    <row r="81" spans="1:40" x14ac:dyDescent="0.25">
      <c r="A81" s="2"/>
      <c r="B81" s="12" t="s">
        <v>7188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-11</v>
      </c>
      <c r="R81" s="9">
        <v>0</v>
      </c>
      <c r="S81" s="9">
        <v>0</v>
      </c>
      <c r="T81" s="9">
        <v>0</v>
      </c>
      <c r="U81" s="9">
        <v>-10</v>
      </c>
      <c r="V81" s="9">
        <v>0</v>
      </c>
      <c r="W81" s="9">
        <v>0</v>
      </c>
      <c r="X81" s="9">
        <v>-2</v>
      </c>
      <c r="Y81" s="9">
        <v>2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-114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</row>
    <row r="82" spans="1:40" ht="5.0999999999999996" customHeight="1" x14ac:dyDescent="0.25">
      <c r="A82" s="2"/>
      <c r="B82" s="8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</row>
    <row r="83" spans="1:40" x14ac:dyDescent="0.25">
      <c r="A83" s="2"/>
      <c r="B83" s="14" t="s">
        <v>7189</v>
      </c>
      <c r="C83" s="15">
        <f t="shared" ref="C83:U83" si="1">SUM(C69:C81)</f>
        <v>-1299</v>
      </c>
      <c r="D83" s="15">
        <f t="shared" si="1"/>
        <v>-2905</v>
      </c>
      <c r="E83" s="15">
        <f t="shared" si="1"/>
        <v>-72</v>
      </c>
      <c r="F83" s="15">
        <f t="shared" si="1"/>
        <v>2321</v>
      </c>
      <c r="G83" s="15">
        <f t="shared" si="1"/>
        <v>162</v>
      </c>
      <c r="H83" s="15">
        <f t="shared" si="1"/>
        <v>-66</v>
      </c>
      <c r="I83" s="15">
        <f t="shared" si="1"/>
        <v>-112</v>
      </c>
      <c r="J83" s="15">
        <f t="shared" si="1"/>
        <v>-180</v>
      </c>
      <c r="K83" s="15">
        <f t="shared" si="1"/>
        <v>-55</v>
      </c>
      <c r="L83" s="15">
        <f t="shared" si="1"/>
        <v>-143</v>
      </c>
      <c r="M83" s="15">
        <f t="shared" si="1"/>
        <v>36</v>
      </c>
      <c r="N83" s="15">
        <f t="shared" si="1"/>
        <v>-211</v>
      </c>
      <c r="O83" s="15">
        <f t="shared" si="1"/>
        <v>-104</v>
      </c>
      <c r="P83" s="15">
        <f t="shared" si="1"/>
        <v>-112</v>
      </c>
      <c r="Q83" s="15">
        <f t="shared" si="1"/>
        <v>-172</v>
      </c>
      <c r="R83" s="15">
        <f t="shared" si="1"/>
        <v>-193</v>
      </c>
      <c r="S83" s="15">
        <f t="shared" si="1"/>
        <v>-83</v>
      </c>
      <c r="T83" s="15">
        <f t="shared" si="1"/>
        <v>-74</v>
      </c>
      <c r="U83" s="15">
        <f t="shared" si="1"/>
        <v>-130</v>
      </c>
      <c r="V83" s="15">
        <v>-2128</v>
      </c>
      <c r="W83" s="15">
        <f t="shared" ref="W83:AI83" si="2">SUM(W69:W81)</f>
        <v>-125</v>
      </c>
      <c r="X83" s="15">
        <f t="shared" si="2"/>
        <v>-1337</v>
      </c>
      <c r="Y83" s="15">
        <f t="shared" si="2"/>
        <v>-447</v>
      </c>
      <c r="Z83" s="15">
        <f t="shared" si="2"/>
        <v>-102</v>
      </c>
      <c r="AA83" s="15">
        <f t="shared" si="2"/>
        <v>-9</v>
      </c>
      <c r="AB83" s="15">
        <f t="shared" si="2"/>
        <v>-28</v>
      </c>
      <c r="AC83" s="15">
        <f t="shared" si="2"/>
        <v>844</v>
      </c>
      <c r="AD83" s="15">
        <f t="shared" si="2"/>
        <v>-362</v>
      </c>
      <c r="AE83" s="15">
        <f t="shared" si="2"/>
        <v>28</v>
      </c>
      <c r="AF83" s="15">
        <f t="shared" si="2"/>
        <v>-236</v>
      </c>
      <c r="AG83" s="15">
        <f t="shared" si="2"/>
        <v>-172</v>
      </c>
      <c r="AH83" s="15">
        <f t="shared" si="2"/>
        <v>-453</v>
      </c>
      <c r="AI83" s="15">
        <f t="shared" si="2"/>
        <v>-3379</v>
      </c>
      <c r="AJ83" s="15">
        <f>SUM(AJ69:AJ81)</f>
        <v>-259</v>
      </c>
      <c r="AK83" s="15">
        <f>SUM(AK69:AK81)</f>
        <v>-274</v>
      </c>
      <c r="AL83" s="15">
        <f>SUM(AL69:AL81)</f>
        <v>-230</v>
      </c>
      <c r="AM83" s="15">
        <f>SUM(AM69:AM81)</f>
        <v>-174</v>
      </c>
      <c r="AN83" s="15">
        <f>SUM(AN69:AN81)</f>
        <v>-120</v>
      </c>
    </row>
    <row r="84" spans="1:40" ht="5.0999999999999996" customHeight="1" x14ac:dyDescent="0.25">
      <c r="A84" s="2"/>
      <c r="B84" s="8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</row>
    <row r="85" spans="1:40" x14ac:dyDescent="0.25">
      <c r="A85" s="2"/>
      <c r="B85" s="5" t="s">
        <v>7190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x14ac:dyDescent="0.25">
      <c r="A86" s="2"/>
      <c r="B86" s="21" t="s">
        <v>7191</v>
      </c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</row>
    <row r="87" spans="1:40" x14ac:dyDescent="0.25">
      <c r="A87" s="2"/>
      <c r="B87" s="13" t="s">
        <v>7192</v>
      </c>
      <c r="C87" s="9">
        <v>17</v>
      </c>
      <c r="D87" s="9">
        <v>11179</v>
      </c>
      <c r="E87" s="9"/>
      <c r="F87" s="9">
        <v>0</v>
      </c>
      <c r="G87" s="9">
        <v>-100</v>
      </c>
      <c r="H87" s="9">
        <v>100</v>
      </c>
      <c r="I87" s="9">
        <v>964</v>
      </c>
      <c r="J87" s="9">
        <v>0</v>
      </c>
      <c r="K87" s="9">
        <v>0</v>
      </c>
      <c r="L87" s="9">
        <v>0</v>
      </c>
      <c r="M87" s="9">
        <v>30</v>
      </c>
      <c r="N87" s="9">
        <v>500</v>
      </c>
      <c r="O87" s="9">
        <v>3213</v>
      </c>
      <c r="P87" s="9">
        <v>1500</v>
      </c>
      <c r="Q87" s="9">
        <v>0</v>
      </c>
      <c r="R87" s="9">
        <v>0</v>
      </c>
      <c r="S87" s="9">
        <v>2800</v>
      </c>
      <c r="T87" s="9">
        <v>0</v>
      </c>
      <c r="U87" s="9">
        <v>1193</v>
      </c>
      <c r="V87" s="9">
        <v>2768</v>
      </c>
      <c r="W87" s="9">
        <v>1600</v>
      </c>
      <c r="X87" s="9">
        <v>971</v>
      </c>
      <c r="Y87" s="9">
        <v>677</v>
      </c>
      <c r="Z87" s="9">
        <v>1494</v>
      </c>
      <c r="AA87" s="9">
        <v>784</v>
      </c>
      <c r="AB87" s="9">
        <v>0</v>
      </c>
      <c r="AC87" s="9">
        <v>-8</v>
      </c>
      <c r="AD87" s="9">
        <v>1060</v>
      </c>
      <c r="AE87" s="9">
        <v>149</v>
      </c>
      <c r="AF87" s="9">
        <v>2778</v>
      </c>
      <c r="AG87" s="9">
        <v>0</v>
      </c>
      <c r="AH87" s="9">
        <v>2998</v>
      </c>
      <c r="AI87" s="9">
        <v>1446</v>
      </c>
      <c r="AJ87" s="9">
        <v>586</v>
      </c>
      <c r="AK87" s="9">
        <v>1473</v>
      </c>
      <c r="AL87" s="9">
        <v>66</v>
      </c>
      <c r="AM87" s="9">
        <v>0</v>
      </c>
      <c r="AN87" s="9">
        <v>3632</v>
      </c>
    </row>
    <row r="88" spans="1:40" x14ac:dyDescent="0.25">
      <c r="A88" s="2"/>
      <c r="B88" s="13" t="s">
        <v>7193</v>
      </c>
      <c r="C88" s="9">
        <v>-43</v>
      </c>
      <c r="D88" s="9">
        <v>-299</v>
      </c>
      <c r="E88" s="9">
        <v>-115</v>
      </c>
      <c r="F88" s="9">
        <v>-7812</v>
      </c>
      <c r="G88" s="9">
        <v>-53</v>
      </c>
      <c r="H88" s="9">
        <v>-58</v>
      </c>
      <c r="I88" s="9">
        <v>-26</v>
      </c>
      <c r="J88" s="9">
        <v>0</v>
      </c>
      <c r="K88" s="9">
        <v>-113</v>
      </c>
      <c r="L88" s="9">
        <v>-2</v>
      </c>
      <c r="M88" s="9">
        <v>-6</v>
      </c>
      <c r="N88" s="9">
        <v>-1</v>
      </c>
      <c r="O88" s="9">
        <v>-123</v>
      </c>
      <c r="P88" s="9">
        <v>-2768</v>
      </c>
      <c r="Q88" s="9">
        <v>-5</v>
      </c>
      <c r="R88" s="9">
        <v>-500</v>
      </c>
      <c r="S88" s="9">
        <v>-1911</v>
      </c>
      <c r="T88" s="9">
        <v>-125</v>
      </c>
      <c r="U88" s="9">
        <v>0</v>
      </c>
      <c r="V88" s="9">
        <v>0</v>
      </c>
      <c r="W88" s="9">
        <v>-641</v>
      </c>
      <c r="X88" s="9">
        <v>0</v>
      </c>
      <c r="Y88" s="9">
        <v>-530</v>
      </c>
      <c r="Z88" s="9">
        <v>1</v>
      </c>
      <c r="AA88" s="9">
        <v>-783</v>
      </c>
      <c r="AB88" s="9">
        <v>-150</v>
      </c>
      <c r="AC88" s="9">
        <v>-1031</v>
      </c>
      <c r="AD88" s="9">
        <v>-1210</v>
      </c>
      <c r="AE88" s="9">
        <v>-343</v>
      </c>
      <c r="AF88" s="9">
        <v>-150</v>
      </c>
      <c r="AG88" s="9">
        <v>-1458</v>
      </c>
      <c r="AH88" s="9">
        <v>-150</v>
      </c>
      <c r="AI88" s="9">
        <v>-3371</v>
      </c>
      <c r="AJ88" s="9">
        <v>-1201</v>
      </c>
      <c r="AK88" s="9">
        <v>-1875</v>
      </c>
      <c r="AL88" s="9">
        <v>-1881</v>
      </c>
      <c r="AM88" s="9">
        <v>-111</v>
      </c>
      <c r="AN88" s="9">
        <v>-4849</v>
      </c>
    </row>
    <row r="89" spans="1:40" x14ac:dyDescent="0.25">
      <c r="A89" s="2"/>
      <c r="B89" s="13" t="s">
        <v>7194</v>
      </c>
      <c r="C89" s="9">
        <v>-127</v>
      </c>
      <c r="D89" s="9">
        <v>-521</v>
      </c>
      <c r="E89" s="9">
        <v>-1875</v>
      </c>
      <c r="F89" s="9">
        <v>-1541</v>
      </c>
      <c r="G89" s="9">
        <v>0</v>
      </c>
      <c r="H89" s="9">
        <v>-192</v>
      </c>
      <c r="I89" s="9">
        <v>-3</v>
      </c>
      <c r="J89" s="9">
        <v>-125</v>
      </c>
      <c r="K89" s="9">
        <v>-75</v>
      </c>
      <c r="L89" s="9">
        <v>-123</v>
      </c>
      <c r="M89" s="9">
        <v>-42</v>
      </c>
      <c r="N89" s="9">
        <v>-121</v>
      </c>
      <c r="O89" s="9">
        <v>-69</v>
      </c>
      <c r="P89" s="9">
        <v>-96</v>
      </c>
      <c r="Q89" s="9">
        <v>-62</v>
      </c>
      <c r="R89" s="9">
        <v>-70</v>
      </c>
      <c r="S89" s="9">
        <v>-137</v>
      </c>
      <c r="T89" s="9">
        <v>-22</v>
      </c>
      <c r="U89" s="9">
        <v>-88</v>
      </c>
      <c r="V89" s="9">
        <v>-30</v>
      </c>
      <c r="W89" s="9">
        <v>-166</v>
      </c>
      <c r="X89" s="9">
        <v>-52</v>
      </c>
      <c r="Y89" s="9">
        <v>-345</v>
      </c>
      <c r="Z89" s="9">
        <v>-302</v>
      </c>
      <c r="AA89" s="9">
        <v>-304</v>
      </c>
      <c r="AB89" s="9">
        <v>-215</v>
      </c>
      <c r="AC89" s="9">
        <v>-438</v>
      </c>
      <c r="AD89" s="9">
        <v>-415</v>
      </c>
      <c r="AE89" s="9">
        <v>-173</v>
      </c>
      <c r="AF89" s="9">
        <v>-200</v>
      </c>
      <c r="AG89" s="9">
        <v>-381</v>
      </c>
      <c r="AH89" s="9">
        <v>-520</v>
      </c>
      <c r="AI89" s="9">
        <v>-179</v>
      </c>
      <c r="AJ89" s="9">
        <v>-767</v>
      </c>
      <c r="AK89" s="9">
        <v>-627</v>
      </c>
      <c r="AL89" s="9">
        <v>-977</v>
      </c>
      <c r="AM89" s="9">
        <v>-337</v>
      </c>
      <c r="AN89" s="9">
        <v>-940</v>
      </c>
    </row>
    <row r="90" spans="1:40" x14ac:dyDescent="0.25">
      <c r="A90" s="2"/>
      <c r="B90" s="21" t="s">
        <v>7195</v>
      </c>
      <c r="C90" s="11">
        <v>-520</v>
      </c>
      <c r="D90" s="11">
        <v>-496</v>
      </c>
      <c r="E90" s="11">
        <v>-684</v>
      </c>
      <c r="F90" s="11">
        <v>-683</v>
      </c>
      <c r="G90" s="11">
        <v>0</v>
      </c>
      <c r="H90" s="11">
        <v>0</v>
      </c>
      <c r="I90" s="11">
        <v>-1034</v>
      </c>
      <c r="J90" s="11">
        <v>0</v>
      </c>
      <c r="K90" s="11"/>
      <c r="L90" s="11">
        <v>-1518</v>
      </c>
      <c r="M90" s="11">
        <v>0</v>
      </c>
      <c r="N90" s="11">
        <v>-1531</v>
      </c>
      <c r="O90" s="11">
        <v>0</v>
      </c>
      <c r="P90" s="11">
        <v>0</v>
      </c>
      <c r="Q90" s="11">
        <v>-1080</v>
      </c>
      <c r="R90" s="11">
        <v>0</v>
      </c>
      <c r="S90" s="11">
        <v>-444</v>
      </c>
      <c r="T90" s="11">
        <v>-1106</v>
      </c>
      <c r="U90" s="11">
        <v>-1080</v>
      </c>
      <c r="V90" s="11">
        <v>-131</v>
      </c>
      <c r="W90" s="11">
        <v>0</v>
      </c>
      <c r="X90" s="11">
        <v>-132</v>
      </c>
      <c r="Y90" s="11">
        <v>0</v>
      </c>
      <c r="Z90" s="11">
        <v>-358</v>
      </c>
      <c r="AA90" s="11">
        <v>-401</v>
      </c>
      <c r="AB90" s="11">
        <v>0</v>
      </c>
      <c r="AC90" s="11">
        <v>0</v>
      </c>
      <c r="AD90" s="11">
        <v>0</v>
      </c>
      <c r="AE90" s="11">
        <v>-441</v>
      </c>
      <c r="AF90" s="11">
        <v>-411</v>
      </c>
      <c r="AG90" s="11">
        <v>-337</v>
      </c>
      <c r="AH90" s="11">
        <v>-339</v>
      </c>
      <c r="AI90" s="11">
        <v>-478</v>
      </c>
      <c r="AJ90" s="11">
        <v>-241</v>
      </c>
      <c r="AK90" s="11">
        <v>-266</v>
      </c>
      <c r="AL90" s="11">
        <v>-562</v>
      </c>
      <c r="AM90" s="11">
        <v>-321</v>
      </c>
      <c r="AN90" s="11">
        <v>0</v>
      </c>
    </row>
    <row r="91" spans="1:40" x14ac:dyDescent="0.25">
      <c r="A91" s="2"/>
      <c r="B91" s="21" t="s">
        <v>7196</v>
      </c>
      <c r="C91" s="11">
        <v>0</v>
      </c>
      <c r="D91" s="11">
        <v>0</v>
      </c>
      <c r="E91" s="11">
        <v>-48</v>
      </c>
      <c r="F91" s="11">
        <v>-32</v>
      </c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</row>
    <row r="92" spans="1:40" x14ac:dyDescent="0.25">
      <c r="A92" s="2"/>
      <c r="B92" s="13" t="s">
        <v>7197</v>
      </c>
      <c r="C92" s="9">
        <v>0</v>
      </c>
      <c r="D92" s="9">
        <v>0</v>
      </c>
      <c r="E92" s="9">
        <v>0</v>
      </c>
      <c r="F92" s="9">
        <v>0</v>
      </c>
      <c r="G92" s="9">
        <v>-1</v>
      </c>
      <c r="H92" s="9">
        <v>0</v>
      </c>
      <c r="I92" s="9">
        <v>-1</v>
      </c>
      <c r="J92" s="9">
        <v>-17</v>
      </c>
      <c r="K92" s="9">
        <v>-25</v>
      </c>
      <c r="L92" s="9">
        <v>-13</v>
      </c>
      <c r="M92" s="9">
        <v>-48</v>
      </c>
      <c r="N92" s="9">
        <v>-24</v>
      </c>
      <c r="O92" s="9">
        <v>-20</v>
      </c>
      <c r="P92" s="9">
        <v>-20</v>
      </c>
      <c r="Q92" s="9">
        <v>-22</v>
      </c>
      <c r="R92" s="9">
        <v>-33</v>
      </c>
      <c r="S92" s="9">
        <v>-23</v>
      </c>
      <c r="T92" s="9">
        <v>-23</v>
      </c>
      <c r="U92" s="9">
        <v>-69</v>
      </c>
      <c r="V92" s="9">
        <v>-103</v>
      </c>
      <c r="W92" s="9">
        <v>-27</v>
      </c>
      <c r="X92" s="9">
        <v>-31</v>
      </c>
      <c r="Y92" s="9">
        <v>-38</v>
      </c>
      <c r="Z92" s="9">
        <v>-30</v>
      </c>
      <c r="AA92" s="9">
        <v>-28</v>
      </c>
      <c r="AB92" s="9">
        <v>-29</v>
      </c>
      <c r="AC92" s="9">
        <v>-45</v>
      </c>
      <c r="AD92" s="9">
        <v>-28</v>
      </c>
      <c r="AE92" s="9">
        <v>-25</v>
      </c>
      <c r="AF92" s="9">
        <v>-18</v>
      </c>
      <c r="AG92" s="9">
        <v>-28</v>
      </c>
      <c r="AH92" s="9">
        <v>-22</v>
      </c>
      <c r="AI92" s="9">
        <v>-22</v>
      </c>
      <c r="AJ92" s="9">
        <v>-24</v>
      </c>
      <c r="AK92" s="9">
        <v>-35</v>
      </c>
      <c r="AL92" s="9">
        <v>-35</v>
      </c>
      <c r="AM92" s="9">
        <v>-33</v>
      </c>
      <c r="AN92" s="9">
        <v>-28</v>
      </c>
    </row>
    <row r="93" spans="1:40" x14ac:dyDescent="0.25">
      <c r="A93" s="2"/>
      <c r="B93" s="13" t="s">
        <v>7198</v>
      </c>
      <c r="C93" s="9">
        <v>0</v>
      </c>
      <c r="D93" s="9">
        <v>0</v>
      </c>
      <c r="E93" s="9">
        <v>0</v>
      </c>
      <c r="F93" s="9">
        <v>0</v>
      </c>
      <c r="G93" s="9">
        <v>-1</v>
      </c>
      <c r="H93" s="9">
        <v>-1</v>
      </c>
      <c r="I93" s="9">
        <v>-1</v>
      </c>
      <c r="J93" s="9">
        <v>-11</v>
      </c>
      <c r="K93" s="9">
        <v>-11</v>
      </c>
      <c r="L93" s="9">
        <v>-28</v>
      </c>
      <c r="M93" s="9">
        <v>-18</v>
      </c>
      <c r="N93" s="9">
        <v>-20</v>
      </c>
      <c r="O93" s="9">
        <v>-18</v>
      </c>
      <c r="P93" s="9">
        <v>-17</v>
      </c>
      <c r="Q93" s="9">
        <v>-18</v>
      </c>
      <c r="R93" s="9">
        <v>-17</v>
      </c>
      <c r="S93" s="9">
        <v>-17</v>
      </c>
      <c r="T93" s="9">
        <v>-18</v>
      </c>
      <c r="U93" s="9">
        <v>-22</v>
      </c>
      <c r="V93" s="9">
        <v>-17</v>
      </c>
      <c r="W93" s="9">
        <v>-17</v>
      </c>
      <c r="X93" s="9">
        <v>-18</v>
      </c>
      <c r="Y93" s="9">
        <v>-22</v>
      </c>
      <c r="Z93" s="9">
        <v>-21</v>
      </c>
      <c r="AA93" s="9">
        <v>-19</v>
      </c>
      <c r="AB93" s="9">
        <v>-19</v>
      </c>
      <c r="AC93" s="9">
        <v>-21</v>
      </c>
      <c r="AD93" s="9">
        <v>-16</v>
      </c>
      <c r="AE93" s="9">
        <v>-16</v>
      </c>
      <c r="AF93" s="9">
        <v>-7</v>
      </c>
      <c r="AG93" s="9">
        <v>-8</v>
      </c>
      <c r="AH93" s="9">
        <v>-9</v>
      </c>
      <c r="AI93" s="9">
        <v>-10</v>
      </c>
      <c r="AJ93" s="9">
        <v>-14</v>
      </c>
      <c r="AK93" s="9">
        <v>-18</v>
      </c>
      <c r="AL93" s="9">
        <v>-21</v>
      </c>
      <c r="AM93" s="9">
        <v>-18</v>
      </c>
      <c r="AN93" s="9">
        <v>-14</v>
      </c>
    </row>
    <row r="94" spans="1:40" x14ac:dyDescent="0.25">
      <c r="A94" s="2"/>
      <c r="B94" s="21" t="s">
        <v>7199</v>
      </c>
      <c r="C94" s="11">
        <v>-2251</v>
      </c>
      <c r="D94" s="11">
        <v>-380</v>
      </c>
      <c r="E94" s="11">
        <v>5</v>
      </c>
      <c r="F94" s="11">
        <v>-8</v>
      </c>
      <c r="G94" s="11">
        <v>-14</v>
      </c>
      <c r="H94" s="11">
        <v>90</v>
      </c>
      <c r="I94" s="11">
        <v>139</v>
      </c>
      <c r="J94" s="11">
        <v>-213</v>
      </c>
      <c r="K94" s="11">
        <v>-13</v>
      </c>
      <c r="L94" s="11">
        <v>-11</v>
      </c>
      <c r="M94" s="11">
        <v>-8</v>
      </c>
      <c r="N94" s="11">
        <v>0</v>
      </c>
      <c r="O94" s="11">
        <v>0</v>
      </c>
      <c r="P94" s="11">
        <v>0</v>
      </c>
      <c r="Q94" s="11">
        <v>0</v>
      </c>
      <c r="R94" s="11">
        <v>0</v>
      </c>
      <c r="S94" s="11">
        <v>0</v>
      </c>
      <c r="T94" s="11">
        <v>0</v>
      </c>
      <c r="U94" s="11">
        <v>-658</v>
      </c>
      <c r="V94" s="11">
        <v>-258</v>
      </c>
      <c r="W94" s="11">
        <v>-34</v>
      </c>
      <c r="X94" s="11">
        <v>-200</v>
      </c>
      <c r="Y94" s="11">
        <v>0</v>
      </c>
      <c r="Z94" s="11">
        <v>0</v>
      </c>
      <c r="AA94" s="11">
        <v>0</v>
      </c>
      <c r="AB94" s="11">
        <v>0</v>
      </c>
      <c r="AC94" s="11">
        <v>0</v>
      </c>
      <c r="AD94" s="11">
        <v>0</v>
      </c>
      <c r="AE94" s="11">
        <v>0</v>
      </c>
      <c r="AF94" s="11">
        <v>0</v>
      </c>
      <c r="AG94" s="11">
        <v>-18</v>
      </c>
      <c r="AH94" s="11">
        <v>-11</v>
      </c>
      <c r="AI94" s="11">
        <v>0</v>
      </c>
      <c r="AJ94" s="11">
        <v>-47</v>
      </c>
      <c r="AK94" s="11">
        <v>0</v>
      </c>
      <c r="AL94" s="11">
        <v>0</v>
      </c>
      <c r="AM94" s="11">
        <v>0</v>
      </c>
      <c r="AN94" s="11">
        <v>0</v>
      </c>
    </row>
    <row r="95" spans="1:40" x14ac:dyDescent="0.25">
      <c r="A95" s="2"/>
      <c r="B95" s="21" t="s">
        <v>7200</v>
      </c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>
        <v>-61</v>
      </c>
      <c r="AJ95" s="11">
        <v>-128</v>
      </c>
      <c r="AK95" s="11">
        <v>-35</v>
      </c>
      <c r="AL95" s="11">
        <v>-50</v>
      </c>
      <c r="AM95" s="11">
        <v>-186</v>
      </c>
      <c r="AN95" s="11">
        <v>-487</v>
      </c>
    </row>
    <row r="96" spans="1:40" x14ac:dyDescent="0.25">
      <c r="A96" s="2"/>
      <c r="B96" s="21" t="s">
        <v>7201</v>
      </c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>
        <v>12</v>
      </c>
      <c r="AJ96" s="11">
        <v>186</v>
      </c>
      <c r="AK96" s="11">
        <v>2</v>
      </c>
      <c r="AL96" s="11">
        <v>82</v>
      </c>
      <c r="AM96" s="11">
        <v>140</v>
      </c>
      <c r="AN96" s="11">
        <v>544</v>
      </c>
    </row>
    <row r="97" spans="1:40" x14ac:dyDescent="0.25">
      <c r="A97" s="2"/>
      <c r="B97" s="21" t="s">
        <v>7202</v>
      </c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>
        <v>-3</v>
      </c>
      <c r="AK97" s="11">
        <v>0</v>
      </c>
      <c r="AL97" s="11">
        <v>-2</v>
      </c>
      <c r="AM97" s="11">
        <v>0</v>
      </c>
      <c r="AN97" s="11">
        <v>-1</v>
      </c>
    </row>
    <row r="98" spans="1:40" x14ac:dyDescent="0.25">
      <c r="A98" s="2"/>
      <c r="B98" s="21" t="s">
        <v>7203</v>
      </c>
      <c r="C98" s="11">
        <v>-43</v>
      </c>
      <c r="D98" s="11">
        <v>-42</v>
      </c>
      <c r="E98" s="11"/>
      <c r="F98" s="11">
        <v>0</v>
      </c>
      <c r="G98" s="11">
        <v>0</v>
      </c>
      <c r="H98" s="11">
        <v>0</v>
      </c>
      <c r="I98" s="11">
        <v>0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-5</v>
      </c>
      <c r="Q98" s="11">
        <v>-6</v>
      </c>
      <c r="R98" s="11">
        <v>-5</v>
      </c>
      <c r="S98" s="11">
        <v>-1</v>
      </c>
      <c r="T98" s="11">
        <v>-2</v>
      </c>
      <c r="U98" s="11">
        <v>-46</v>
      </c>
      <c r="V98" s="11">
        <v>-24</v>
      </c>
      <c r="W98" s="11">
        <v>-86</v>
      </c>
      <c r="X98" s="11">
        <v>-71</v>
      </c>
      <c r="Y98" s="11">
        <v>-296</v>
      </c>
      <c r="Z98" s="11">
        <v>-86</v>
      </c>
      <c r="AA98" s="11">
        <v>-221</v>
      </c>
      <c r="AB98" s="11">
        <v>-73</v>
      </c>
      <c r="AC98" s="11">
        <v>-375</v>
      </c>
      <c r="AD98" s="11">
        <v>-132</v>
      </c>
      <c r="AE98" s="11">
        <v>-161</v>
      </c>
      <c r="AF98" s="11">
        <v>-98</v>
      </c>
      <c r="AG98" s="11">
        <v>-225</v>
      </c>
      <c r="AH98" s="11">
        <v>-51</v>
      </c>
      <c r="AI98" s="11">
        <v>159</v>
      </c>
      <c r="AJ98" s="11">
        <v>-29</v>
      </c>
      <c r="AK98" s="11">
        <v>-218</v>
      </c>
      <c r="AL98" s="11">
        <v>-85</v>
      </c>
      <c r="AM98" s="11">
        <f>SUM(AM99:AM100)</f>
        <v>-115</v>
      </c>
      <c r="AN98" s="11">
        <f>SUM(AN99:AN100)</f>
        <v>-78</v>
      </c>
    </row>
    <row r="99" spans="1:40" x14ac:dyDescent="0.25">
      <c r="A99" s="2"/>
      <c r="B99" s="13" t="s">
        <v>7204</v>
      </c>
      <c r="C99" s="9">
        <v>0</v>
      </c>
      <c r="D99" s="9">
        <v>0</v>
      </c>
      <c r="E99" s="9">
        <v>0</v>
      </c>
      <c r="F99" s="9">
        <v>0</v>
      </c>
      <c r="G99" s="9">
        <v>0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  <c r="M99" s="9">
        <v>0</v>
      </c>
      <c r="N99" s="9">
        <v>0</v>
      </c>
      <c r="O99" s="9">
        <v>0</v>
      </c>
      <c r="P99" s="9">
        <v>0</v>
      </c>
      <c r="Q99" s="9">
        <v>0</v>
      </c>
      <c r="R99" s="9">
        <v>0</v>
      </c>
      <c r="S99" s="9">
        <v>0</v>
      </c>
      <c r="T99" s="9">
        <v>0</v>
      </c>
      <c r="U99" s="9">
        <v>0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9">
        <v>0</v>
      </c>
      <c r="AC99" s="9">
        <v>0</v>
      </c>
      <c r="AD99" s="9">
        <v>0</v>
      </c>
      <c r="AE99" s="9">
        <v>0</v>
      </c>
      <c r="AF99" s="9">
        <v>0</v>
      </c>
      <c r="AG99" s="9">
        <v>0</v>
      </c>
      <c r="AH99" s="9">
        <v>0</v>
      </c>
      <c r="AI99" s="9">
        <v>0</v>
      </c>
      <c r="AJ99" s="9">
        <v>0</v>
      </c>
      <c r="AK99" s="9">
        <v>0</v>
      </c>
      <c r="AL99" s="9">
        <v>0</v>
      </c>
      <c r="AM99" s="9">
        <v>-139</v>
      </c>
      <c r="AN99" s="9">
        <v>-91</v>
      </c>
    </row>
    <row r="100" spans="1:40" x14ac:dyDescent="0.25">
      <c r="A100" s="2"/>
      <c r="B100" s="13" t="s">
        <v>7205</v>
      </c>
      <c r="C100" s="9">
        <v>0</v>
      </c>
      <c r="D100" s="9">
        <v>0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  <c r="O100" s="9">
        <v>0</v>
      </c>
      <c r="P100" s="9">
        <v>0</v>
      </c>
      <c r="Q100" s="9">
        <v>0</v>
      </c>
      <c r="R100" s="9">
        <v>0</v>
      </c>
      <c r="S100" s="9">
        <v>0</v>
      </c>
      <c r="T100" s="9">
        <v>0</v>
      </c>
      <c r="U100" s="9">
        <v>0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9">
        <v>0</v>
      </c>
      <c r="AE100" s="9">
        <v>0</v>
      </c>
      <c r="AF100" s="9">
        <v>0</v>
      </c>
      <c r="AG100" s="9">
        <v>0</v>
      </c>
      <c r="AH100" s="9">
        <v>0</v>
      </c>
      <c r="AI100" s="9">
        <v>0</v>
      </c>
      <c r="AJ100" s="9">
        <v>0</v>
      </c>
      <c r="AK100" s="9">
        <v>0</v>
      </c>
      <c r="AL100" s="9">
        <v>0</v>
      </c>
      <c r="AM100" s="9">
        <v>24</v>
      </c>
      <c r="AN100" s="9">
        <v>13</v>
      </c>
    </row>
    <row r="101" spans="1:40" ht="5.0999999999999996" customHeight="1" x14ac:dyDescent="0.25">
      <c r="A101" s="2"/>
      <c r="B101" s="8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</row>
    <row r="102" spans="1:40" x14ac:dyDescent="0.25">
      <c r="A102" s="2"/>
      <c r="B102" s="14" t="s">
        <v>7206</v>
      </c>
      <c r="C102" s="15">
        <f>SUM(C86:C101)</f>
        <v>-2967</v>
      </c>
      <c r="D102" s="15">
        <f>SUM(D86:D101)</f>
        <v>9441</v>
      </c>
      <c r="E102" s="15">
        <f>SUM(E86:E101)</f>
        <v>-2717</v>
      </c>
      <c r="F102" s="15">
        <f>SUM(F86:F101)</f>
        <v>-10076</v>
      </c>
      <c r="G102" s="15">
        <f t="shared" ref="G102:Z102" si="3">SUM(G87:G101)</f>
        <v>-169</v>
      </c>
      <c r="H102" s="15">
        <f t="shared" si="3"/>
        <v>-61</v>
      </c>
      <c r="I102" s="15">
        <f t="shared" si="3"/>
        <v>38</v>
      </c>
      <c r="J102" s="15">
        <f t="shared" si="3"/>
        <v>-366</v>
      </c>
      <c r="K102" s="15">
        <f t="shared" si="3"/>
        <v>-237</v>
      </c>
      <c r="L102" s="15">
        <f t="shared" si="3"/>
        <v>-1695</v>
      </c>
      <c r="M102" s="15">
        <f t="shared" si="3"/>
        <v>-92</v>
      </c>
      <c r="N102" s="15">
        <f t="shared" si="3"/>
        <v>-1197</v>
      </c>
      <c r="O102" s="15">
        <f t="shared" si="3"/>
        <v>2983</v>
      </c>
      <c r="P102" s="15">
        <f t="shared" si="3"/>
        <v>-1406</v>
      </c>
      <c r="Q102" s="15">
        <f t="shared" si="3"/>
        <v>-1193</v>
      </c>
      <c r="R102" s="15">
        <f t="shared" si="3"/>
        <v>-625</v>
      </c>
      <c r="S102" s="15">
        <f t="shared" si="3"/>
        <v>267</v>
      </c>
      <c r="T102" s="15">
        <f t="shared" si="3"/>
        <v>-1296</v>
      </c>
      <c r="U102" s="15">
        <f t="shared" si="3"/>
        <v>-770</v>
      </c>
      <c r="V102" s="15">
        <f t="shared" si="3"/>
        <v>2205</v>
      </c>
      <c r="W102" s="15">
        <f t="shared" si="3"/>
        <v>629</v>
      </c>
      <c r="X102" s="15">
        <f t="shared" si="3"/>
        <v>467</v>
      </c>
      <c r="Y102" s="15">
        <f t="shared" si="3"/>
        <v>-554</v>
      </c>
      <c r="Z102" s="15">
        <f t="shared" si="3"/>
        <v>698</v>
      </c>
      <c r="AA102" s="15">
        <f>SUM(AA87:AA101)</f>
        <v>-972</v>
      </c>
      <c r="AB102" s="15">
        <f>SUM(AB87:AB101)</f>
        <v>-486</v>
      </c>
      <c r="AC102" s="15">
        <f>SUM(AC87:AC101)</f>
        <v>-1918</v>
      </c>
      <c r="AD102" s="15">
        <f>SUM(AD87:AD101)</f>
        <v>-741</v>
      </c>
      <c r="AE102" s="15">
        <f t="shared" ref="AE102:AH102" si="4">SUM(AE87:AE101)</f>
        <v>-1010</v>
      </c>
      <c r="AF102" s="15">
        <f t="shared" si="4"/>
        <v>1894</v>
      </c>
      <c r="AG102" s="15">
        <f t="shared" si="4"/>
        <v>-2455</v>
      </c>
      <c r="AH102" s="15">
        <f t="shared" si="4"/>
        <v>1896</v>
      </c>
      <c r="AI102" s="15">
        <f>SUM(AI87:AI101)</f>
        <v>-2504</v>
      </c>
      <c r="AJ102" s="15">
        <f>SUM(AJ87:AJ101)</f>
        <v>-1682</v>
      </c>
      <c r="AK102" s="15">
        <f>SUM(AK87:AK101)</f>
        <v>-1599</v>
      </c>
      <c r="AL102" s="15">
        <f>SUM(AL87:AL101)</f>
        <v>-3465</v>
      </c>
      <c r="AM102" s="15">
        <f>SUM(AM87:AM98)</f>
        <v>-981</v>
      </c>
      <c r="AN102" s="15">
        <f>SUM(AN87:AN98)</f>
        <v>-2221</v>
      </c>
    </row>
    <row r="103" spans="1:40" ht="5.0999999999999996" customHeight="1" x14ac:dyDescent="0.25">
      <c r="A103" s="2"/>
      <c r="B103" s="8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</row>
    <row r="104" spans="1:40" x14ac:dyDescent="0.25">
      <c r="A104" s="2"/>
      <c r="B104" s="14" t="s">
        <v>7207</v>
      </c>
      <c r="C104" s="15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-34</v>
      </c>
      <c r="X104" s="15">
        <v>45</v>
      </c>
      <c r="Y104" s="15">
        <v>36</v>
      </c>
      <c r="Z104" s="15">
        <v>-19</v>
      </c>
      <c r="AA104" s="15">
        <v>-70</v>
      </c>
      <c r="AB104" s="15">
        <v>2</v>
      </c>
      <c r="AC104" s="15">
        <v>14</v>
      </c>
      <c r="AD104" s="15">
        <v>0</v>
      </c>
      <c r="AE104" s="15">
        <v>22</v>
      </c>
      <c r="AF104" s="15">
        <v>57</v>
      </c>
      <c r="AG104" s="15">
        <v>13</v>
      </c>
      <c r="AH104" s="15">
        <v>82</v>
      </c>
      <c r="AI104" s="15">
        <v>-69</v>
      </c>
      <c r="AJ104" s="15">
        <v>11</v>
      </c>
      <c r="AK104" s="15">
        <v>-50</v>
      </c>
      <c r="AL104" s="15">
        <v>1</v>
      </c>
      <c r="AM104" s="15">
        <v>-26</v>
      </c>
      <c r="AN104" s="15">
        <v>-15</v>
      </c>
    </row>
    <row r="105" spans="1:40" ht="5.0999999999999996" customHeight="1" x14ac:dyDescent="0.25">
      <c r="A105" s="2"/>
      <c r="B105" s="8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</row>
    <row r="106" spans="1:40" x14ac:dyDescent="0.25">
      <c r="A106" s="2"/>
      <c r="B106" s="14" t="s">
        <v>7208</v>
      </c>
      <c r="C106" s="15">
        <f t="shared" ref="C106:V106" si="5">SUM(C102,C83,C67)</f>
        <v>-6360</v>
      </c>
      <c r="D106" s="15">
        <f t="shared" si="5"/>
        <v>7018</v>
      </c>
      <c r="E106" s="15">
        <f t="shared" si="5"/>
        <v>-155</v>
      </c>
      <c r="F106" s="15">
        <f t="shared" si="5"/>
        <v>-6485</v>
      </c>
      <c r="G106" s="15">
        <f t="shared" si="5"/>
        <v>622</v>
      </c>
      <c r="H106" s="15">
        <f t="shared" si="5"/>
        <v>247</v>
      </c>
      <c r="I106" s="15">
        <f t="shared" si="5"/>
        <v>148</v>
      </c>
      <c r="J106" s="15">
        <f t="shared" si="5"/>
        <v>1557</v>
      </c>
      <c r="K106" s="15">
        <f t="shared" si="5"/>
        <v>792</v>
      </c>
      <c r="L106" s="15">
        <f t="shared" si="5"/>
        <v>-1964</v>
      </c>
      <c r="M106" s="15">
        <f t="shared" si="5"/>
        <v>2024</v>
      </c>
      <c r="N106" s="15">
        <f t="shared" si="5"/>
        <v>-1547</v>
      </c>
      <c r="O106" s="15">
        <f t="shared" si="5"/>
        <v>3635</v>
      </c>
      <c r="P106" s="15">
        <f t="shared" si="5"/>
        <v>-690</v>
      </c>
      <c r="Q106" s="15">
        <f t="shared" si="5"/>
        <v>-831</v>
      </c>
      <c r="R106" s="15">
        <f t="shared" si="5"/>
        <v>-1118</v>
      </c>
      <c r="S106" s="15">
        <f t="shared" si="5"/>
        <v>535</v>
      </c>
      <c r="T106" s="15">
        <f t="shared" si="5"/>
        <v>-1582</v>
      </c>
      <c r="U106" s="15">
        <f t="shared" si="5"/>
        <v>-281</v>
      </c>
      <c r="V106" s="15">
        <f t="shared" si="5"/>
        <v>1595</v>
      </c>
      <c r="W106" s="15">
        <f t="shared" ref="W106:AG106" si="6">SUM(W102,W83,W67,W104)</f>
        <v>684</v>
      </c>
      <c r="X106" s="15">
        <f t="shared" si="6"/>
        <v>-1550</v>
      </c>
      <c r="Y106" s="15">
        <f t="shared" si="6"/>
        <v>354</v>
      </c>
      <c r="Z106" s="15">
        <f t="shared" si="6"/>
        <v>1032</v>
      </c>
      <c r="AA106" s="15">
        <f t="shared" si="6"/>
        <v>1671</v>
      </c>
      <c r="AB106" s="15">
        <f t="shared" si="6"/>
        <v>-154</v>
      </c>
      <c r="AC106" s="15">
        <f t="shared" si="6"/>
        <v>774</v>
      </c>
      <c r="AD106" s="15">
        <f t="shared" si="6"/>
        <v>230</v>
      </c>
      <c r="AE106" s="15">
        <f t="shared" si="6"/>
        <v>-1190</v>
      </c>
      <c r="AF106" s="15">
        <f t="shared" si="6"/>
        <v>2749</v>
      </c>
      <c r="AG106" s="15">
        <f t="shared" si="6"/>
        <v>-636</v>
      </c>
      <c r="AH106" s="15">
        <v>2891</v>
      </c>
      <c r="AI106" s="15">
        <v>-5006</v>
      </c>
      <c r="AJ106" s="15">
        <f>SUM(AJ104,AJ102,AJ83,AJ67)</f>
        <v>-1122</v>
      </c>
      <c r="AK106" s="15">
        <f>SUM(AK104,AK102,AK83,AK67)</f>
        <v>1585</v>
      </c>
      <c r="AL106" s="15">
        <f>SUM(AL104,AL102,AL83,AL67)</f>
        <v>-2289</v>
      </c>
      <c r="AM106" s="15">
        <f>SUM(AM104,AM102,AM83,AM67)</f>
        <v>1460</v>
      </c>
      <c r="AN106" s="15">
        <f>SUM(AN104,AN102,AN83,AN67)</f>
        <v>677</v>
      </c>
    </row>
    <row r="107" spans="1:40" ht="5.0999999999999996" customHeight="1" x14ac:dyDescent="0.25">
      <c r="A107" s="2"/>
      <c r="B107" s="8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</row>
    <row r="108" spans="1:40" x14ac:dyDescent="0.25">
      <c r="A108" s="2"/>
      <c r="B108" s="14" t="s">
        <v>7209</v>
      </c>
      <c r="C108" s="15">
        <v>916</v>
      </c>
      <c r="D108" s="15">
        <v>742</v>
      </c>
      <c r="E108" s="15">
        <v>810</v>
      </c>
      <c r="F108" s="15">
        <v>655</v>
      </c>
      <c r="G108" s="15">
        <v>483</v>
      </c>
      <c r="H108" s="15">
        <f>G110</f>
        <v>1105</v>
      </c>
      <c r="I108" s="15">
        <f>H110</f>
        <v>1352</v>
      </c>
      <c r="J108" s="15">
        <f>I110</f>
        <v>1500</v>
      </c>
      <c r="K108" s="15">
        <v>3057</v>
      </c>
      <c r="L108" s="15">
        <f t="shared" ref="L108:AG108" si="7">K110</f>
        <v>3849</v>
      </c>
      <c r="M108" s="15">
        <f t="shared" si="7"/>
        <v>1885</v>
      </c>
      <c r="N108" s="15">
        <f t="shared" si="7"/>
        <v>3909</v>
      </c>
      <c r="O108" s="15">
        <f t="shared" si="7"/>
        <v>2362</v>
      </c>
      <c r="P108" s="15">
        <f t="shared" si="7"/>
        <v>5997</v>
      </c>
      <c r="Q108" s="15">
        <f t="shared" si="7"/>
        <v>5307</v>
      </c>
      <c r="R108" s="15">
        <f t="shared" si="7"/>
        <v>4476</v>
      </c>
      <c r="S108" s="15">
        <f t="shared" si="7"/>
        <v>3358</v>
      </c>
      <c r="T108" s="15">
        <f t="shared" si="7"/>
        <v>3893</v>
      </c>
      <c r="U108" s="15">
        <f t="shared" si="7"/>
        <v>2311</v>
      </c>
      <c r="V108" s="15">
        <f t="shared" si="7"/>
        <v>2030</v>
      </c>
      <c r="W108" s="15">
        <f t="shared" si="7"/>
        <v>3625</v>
      </c>
      <c r="X108" s="15">
        <f t="shared" si="7"/>
        <v>4309</v>
      </c>
      <c r="Y108" s="15">
        <f t="shared" si="7"/>
        <v>2759</v>
      </c>
      <c r="Z108" s="15">
        <f t="shared" si="7"/>
        <v>3113</v>
      </c>
      <c r="AA108" s="15">
        <f t="shared" si="7"/>
        <v>4145</v>
      </c>
      <c r="AB108" s="15">
        <f t="shared" si="7"/>
        <v>5816</v>
      </c>
      <c r="AC108" s="15">
        <f t="shared" si="7"/>
        <v>5662</v>
      </c>
      <c r="AD108" s="15">
        <f t="shared" si="7"/>
        <v>6436</v>
      </c>
      <c r="AE108" s="15">
        <f t="shared" si="7"/>
        <v>6666</v>
      </c>
      <c r="AF108" s="15">
        <f t="shared" si="7"/>
        <v>5476</v>
      </c>
      <c r="AG108" s="15">
        <f t="shared" si="7"/>
        <v>8225</v>
      </c>
      <c r="AH108" s="15">
        <v>7589</v>
      </c>
      <c r="AI108" s="15">
        <v>10480</v>
      </c>
      <c r="AJ108" s="15">
        <v>5473</v>
      </c>
      <c r="AK108" s="15">
        <v>4351</v>
      </c>
      <c r="AL108" s="15">
        <v>5936</v>
      </c>
      <c r="AM108" s="15">
        <v>3647</v>
      </c>
      <c r="AN108" s="15">
        <v>5107</v>
      </c>
    </row>
    <row r="109" spans="1:40" ht="5.0999999999999996" customHeight="1" x14ac:dyDescent="0.25">
      <c r="A109" s="2"/>
      <c r="B109" s="8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</row>
    <row r="110" spans="1:40" x14ac:dyDescent="0.25">
      <c r="A110" s="2"/>
      <c r="B110" s="14" t="s">
        <v>7210</v>
      </c>
      <c r="C110" s="15">
        <v>742</v>
      </c>
      <c r="D110" s="15">
        <v>810</v>
      </c>
      <c r="E110" s="15">
        <v>655</v>
      </c>
      <c r="F110" s="15">
        <v>483</v>
      </c>
      <c r="G110" s="15">
        <v>1105</v>
      </c>
      <c r="H110" s="15">
        <v>1352</v>
      </c>
      <c r="I110" s="15">
        <v>1500</v>
      </c>
      <c r="J110" s="15">
        <v>3057</v>
      </c>
      <c r="K110" s="15">
        <v>3849</v>
      </c>
      <c r="L110" s="15">
        <v>1885</v>
      </c>
      <c r="M110" s="15">
        <v>3909</v>
      </c>
      <c r="N110" s="15">
        <v>2362</v>
      </c>
      <c r="O110" s="15">
        <v>5997</v>
      </c>
      <c r="P110" s="15">
        <v>5307</v>
      </c>
      <c r="Q110" s="15">
        <v>4476</v>
      </c>
      <c r="R110" s="15">
        <v>3358</v>
      </c>
      <c r="S110" s="15">
        <f>S108+S106</f>
        <v>3893</v>
      </c>
      <c r="T110" s="15">
        <f>T108+T106</f>
        <v>2311</v>
      </c>
      <c r="U110" s="15">
        <v>2030</v>
      </c>
      <c r="V110" s="15">
        <v>3625</v>
      </c>
      <c r="W110" s="15">
        <f t="shared" ref="W110:AI110" si="8">W108+W106</f>
        <v>4309</v>
      </c>
      <c r="X110" s="15">
        <f t="shared" si="8"/>
        <v>2759</v>
      </c>
      <c r="Y110" s="15">
        <f t="shared" si="8"/>
        <v>3113</v>
      </c>
      <c r="Z110" s="15">
        <f t="shared" si="8"/>
        <v>4145</v>
      </c>
      <c r="AA110" s="15">
        <f t="shared" si="8"/>
        <v>5816</v>
      </c>
      <c r="AB110" s="15">
        <f t="shared" si="8"/>
        <v>5662</v>
      </c>
      <c r="AC110" s="15">
        <f t="shared" si="8"/>
        <v>6436</v>
      </c>
      <c r="AD110" s="15">
        <f t="shared" si="8"/>
        <v>6666</v>
      </c>
      <c r="AE110" s="15">
        <f t="shared" si="8"/>
        <v>5476</v>
      </c>
      <c r="AF110" s="15">
        <f t="shared" si="8"/>
        <v>8225</v>
      </c>
      <c r="AG110" s="15">
        <f t="shared" si="8"/>
        <v>7589</v>
      </c>
      <c r="AH110" s="15">
        <f t="shared" si="8"/>
        <v>10480</v>
      </c>
      <c r="AI110" s="15">
        <f t="shared" si="8"/>
        <v>5474</v>
      </c>
      <c r="AJ110" s="15">
        <f>AJ108+AJ106</f>
        <v>4351</v>
      </c>
      <c r="AK110" s="15">
        <f>AK108+AK106</f>
        <v>5936</v>
      </c>
      <c r="AL110" s="15">
        <f>AL108+AL106</f>
        <v>3647</v>
      </c>
      <c r="AM110" s="15">
        <f>AM108+AM106</f>
        <v>5107</v>
      </c>
      <c r="AN110" s="15">
        <f>AN108+AN106</f>
        <v>5784</v>
      </c>
    </row>
    <row r="111" spans="1:40" ht="5.0999999999999996" customHeight="1" x14ac:dyDescent="0.25">
      <c r="A111" s="2"/>
      <c r="B111" s="8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EC658-E562-422F-BF29-784F5C7630F2}">
  <sheetPr>
    <tabColor theme="5"/>
  </sheetPr>
  <dimension ref="A1:AN18"/>
  <sheetViews>
    <sheetView tabSelected="1" workbookViewId="0">
      <pane xSplit="2" ySplit="3" topLeftCell="R4" activePane="bottomRight" state="frozen"/>
      <selection pane="topRight" activeCell="C1" sqref="C1"/>
      <selection pane="bottomLeft" activeCell="A4" sqref="A4"/>
      <selection pane="bottomRight" activeCell="R10" sqref="R10"/>
    </sheetView>
  </sheetViews>
  <sheetFormatPr defaultRowHeight="14.45" customHeight="1" zeroHeight="1" x14ac:dyDescent="0.25"/>
  <cols>
    <col min="1" max="1" width="2.85546875" bestFit="1" customWidth="1"/>
    <col min="2" max="2" width="49" bestFit="1" customWidth="1"/>
    <col min="3" max="37" width="8.7109375" customWidth="1"/>
  </cols>
  <sheetData>
    <row r="1" spans="1:40" ht="1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 ht="15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 ht="15" x14ac:dyDescent="0.25">
      <c r="A3" s="2"/>
      <c r="B3" s="3" t="s">
        <v>7229</v>
      </c>
      <c r="C3" s="4" t="s">
        <v>7230</v>
      </c>
      <c r="D3" s="4" t="s">
        <v>7231</v>
      </c>
      <c r="E3" s="4" t="s">
        <v>7232</v>
      </c>
      <c r="F3" s="4" t="s">
        <v>7233</v>
      </c>
      <c r="G3" s="4" t="s">
        <v>7055</v>
      </c>
      <c r="H3" s="4" t="s">
        <v>7056</v>
      </c>
      <c r="I3" s="4" t="s">
        <v>7057</v>
      </c>
      <c r="J3" s="4" t="s">
        <v>7058</v>
      </c>
      <c r="K3" s="4" t="s">
        <v>7059</v>
      </c>
      <c r="L3" s="4" t="s">
        <v>7060</v>
      </c>
      <c r="M3" s="4" t="s">
        <v>7061</v>
      </c>
      <c r="N3" s="4" t="s">
        <v>7062</v>
      </c>
      <c r="O3" s="4" t="s">
        <v>7063</v>
      </c>
      <c r="P3" s="4" t="s">
        <v>7064</v>
      </c>
      <c r="Q3" s="4" t="s">
        <v>7065</v>
      </c>
      <c r="R3" s="4" t="s">
        <v>7066</v>
      </c>
      <c r="S3" s="4" t="s">
        <v>7067</v>
      </c>
      <c r="T3" s="4" t="s">
        <v>7068</v>
      </c>
      <c r="U3" s="4" t="s">
        <v>7069</v>
      </c>
      <c r="V3" s="4" t="s">
        <v>7070</v>
      </c>
      <c r="W3" s="4" t="s">
        <v>7071</v>
      </c>
      <c r="X3" s="4" t="s">
        <v>7072</v>
      </c>
      <c r="Y3" s="4" t="s">
        <v>7073</v>
      </c>
      <c r="Z3" s="4" t="s">
        <v>7074</v>
      </c>
      <c r="AA3" s="4" t="s">
        <v>7075</v>
      </c>
      <c r="AB3" s="4" t="s">
        <v>7076</v>
      </c>
      <c r="AC3" s="4" t="s">
        <v>7077</v>
      </c>
      <c r="AD3" s="4" t="s">
        <v>7078</v>
      </c>
      <c r="AE3" s="4" t="s">
        <v>7079</v>
      </c>
      <c r="AF3" s="4" t="s">
        <v>7080</v>
      </c>
      <c r="AG3" s="4" t="s">
        <v>7081</v>
      </c>
      <c r="AH3" s="4" t="s">
        <v>7082</v>
      </c>
      <c r="AI3" s="4" t="s">
        <v>7083</v>
      </c>
      <c r="AJ3" s="4" t="s">
        <v>7084</v>
      </c>
      <c r="AK3" s="4" t="s">
        <v>7085</v>
      </c>
      <c r="AL3" s="4" t="s">
        <v>7086</v>
      </c>
      <c r="AM3" s="4" t="s">
        <v>7087</v>
      </c>
      <c r="AN3" s="4" t="s">
        <v>7088</v>
      </c>
    </row>
    <row r="4" spans="1:40" ht="15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</row>
    <row r="5" spans="1:40" ht="15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</row>
    <row r="6" spans="1:40" ht="15" x14ac:dyDescent="0.25">
      <c r="A6" s="2"/>
      <c r="B6" s="5" t="s">
        <v>7089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</row>
    <row r="7" spans="1:40" ht="15" x14ac:dyDescent="0.25">
      <c r="A7" s="2"/>
      <c r="B7" s="6" t="s">
        <v>7090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</row>
    <row r="8" spans="1:40" ht="5.0999999999999996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</row>
    <row r="9" spans="1:40" ht="15" x14ac:dyDescent="0.25">
      <c r="A9" s="2"/>
      <c r="B9" s="10" t="s">
        <v>7234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</row>
    <row r="10" spans="1:40" ht="15" x14ac:dyDescent="0.25">
      <c r="A10" s="2"/>
      <c r="B10" s="12" t="s">
        <v>7158</v>
      </c>
      <c r="C10" s="9">
        <v>-125</v>
      </c>
      <c r="D10" s="9">
        <v>-140</v>
      </c>
      <c r="E10" s="9">
        <v>-153</v>
      </c>
      <c r="F10" s="9">
        <v>-127</v>
      </c>
      <c r="G10" s="9">
        <v>-121</v>
      </c>
      <c r="H10" s="9">
        <v>-136</v>
      </c>
      <c r="I10" s="9">
        <v>-131</v>
      </c>
      <c r="J10" s="9">
        <v>-134</v>
      </c>
      <c r="K10" s="9">
        <v>-124</v>
      </c>
      <c r="L10" s="9">
        <v>-115</v>
      </c>
      <c r="M10" s="9">
        <v>-135</v>
      </c>
      <c r="N10" s="9">
        <v>-139</v>
      </c>
      <c r="O10" s="9">
        <v>-150</v>
      </c>
      <c r="P10" s="9">
        <v>-157</v>
      </c>
      <c r="Q10" s="9">
        <v>-148</v>
      </c>
      <c r="R10" s="9">
        <v>-183</v>
      </c>
      <c r="S10" s="9">
        <v>-193</v>
      </c>
      <c r="T10" s="9">
        <v>-240</v>
      </c>
      <c r="U10" s="9">
        <v>-188</v>
      </c>
      <c r="V10" s="9">
        <v>-184</v>
      </c>
      <c r="W10" s="9">
        <v>-122</v>
      </c>
      <c r="X10" s="9">
        <v>-136</v>
      </c>
      <c r="Y10" s="9">
        <v>-227</v>
      </c>
      <c r="Z10" s="9">
        <v>-166</v>
      </c>
      <c r="AA10" s="9">
        <v>-175</v>
      </c>
      <c r="AB10" s="9">
        <v>-179</v>
      </c>
      <c r="AC10" s="9">
        <v>-180</v>
      </c>
      <c r="AD10" s="9">
        <v>-183</v>
      </c>
      <c r="AE10" s="9">
        <v>-172</v>
      </c>
      <c r="AF10" s="9">
        <v>-188</v>
      </c>
      <c r="AG10" s="9">
        <v>-173</v>
      </c>
      <c r="AH10" s="9">
        <v>-154</v>
      </c>
      <c r="AI10" s="9">
        <v>-130</v>
      </c>
      <c r="AJ10" s="9">
        <v>-142</v>
      </c>
      <c r="AK10" s="9">
        <v>-140</v>
      </c>
      <c r="AL10" s="9">
        <f>'[1]04. DFC'!AL50</f>
        <v>-229</v>
      </c>
      <c r="AM10" s="9">
        <f>'[1]04. DFC'!AM50</f>
        <v>-103</v>
      </c>
      <c r="AN10" s="9">
        <f>'[1]04. DFC'!AN50</f>
        <v>-113</v>
      </c>
    </row>
    <row r="11" spans="1:40" ht="15" x14ac:dyDescent="0.25">
      <c r="A11" s="2"/>
      <c r="B11" s="19" t="s">
        <v>7176</v>
      </c>
      <c r="C11" s="9">
        <v>-69</v>
      </c>
      <c r="D11" s="9">
        <v>-60</v>
      </c>
      <c r="E11" s="9">
        <v>-61</v>
      </c>
      <c r="F11" s="9">
        <v>-58</v>
      </c>
      <c r="G11" s="9">
        <v>-59</v>
      </c>
      <c r="H11" s="9">
        <v>-57</v>
      </c>
      <c r="I11" s="9">
        <v>-68</v>
      </c>
      <c r="J11" s="9">
        <v>-71</v>
      </c>
      <c r="K11" s="9">
        <v>-74</v>
      </c>
      <c r="L11" s="9">
        <v>-74</v>
      </c>
      <c r="M11" s="9">
        <v>-67</v>
      </c>
      <c r="N11" s="9">
        <v>-108</v>
      </c>
      <c r="O11" s="9">
        <v>-63</v>
      </c>
      <c r="P11" s="9">
        <v>-80</v>
      </c>
      <c r="Q11" s="9">
        <v>-85</v>
      </c>
      <c r="R11" s="9">
        <v>-95</v>
      </c>
      <c r="S11" s="9">
        <v>-101</v>
      </c>
      <c r="T11" s="9">
        <v>-93</v>
      </c>
      <c r="U11" s="9">
        <v>-101</v>
      </c>
      <c r="V11" s="9">
        <v>-137</v>
      </c>
      <c r="W11" s="9">
        <v>-92</v>
      </c>
      <c r="X11" s="9">
        <v>-114</v>
      </c>
      <c r="Y11" s="9">
        <v>-125</v>
      </c>
      <c r="Z11" s="9">
        <v>-160</v>
      </c>
      <c r="AA11" s="9">
        <v>-105</v>
      </c>
      <c r="AB11" s="9">
        <v>-104</v>
      </c>
      <c r="AC11" s="9">
        <v>-156</v>
      </c>
      <c r="AD11" s="9">
        <v>-201</v>
      </c>
      <c r="AE11" s="9">
        <v>-126</v>
      </c>
      <c r="AF11" s="9">
        <v>-136</v>
      </c>
      <c r="AG11" s="9">
        <v>-171</v>
      </c>
      <c r="AH11" s="9">
        <v>-169</v>
      </c>
      <c r="AI11" s="9">
        <v>-156</v>
      </c>
      <c r="AJ11" s="9">
        <v>-167</v>
      </c>
      <c r="AK11" s="20">
        <v>-160</v>
      </c>
      <c r="AL11" s="20">
        <f>'[1]04. DFC'!AL69-AL12</f>
        <v>-249.74700000000001</v>
      </c>
      <c r="AM11" s="20">
        <f>'[1]04. DFC'!AM69-AM12</f>
        <v>-174.89099999999999</v>
      </c>
      <c r="AN11" s="20">
        <f>'[1]04. DFC'!AN69-AN12</f>
        <v>-175.595</v>
      </c>
    </row>
    <row r="12" spans="1:40" ht="15" x14ac:dyDescent="0.25">
      <c r="A12" s="2"/>
      <c r="B12" s="19" t="s">
        <v>7235</v>
      </c>
      <c r="C12" s="9">
        <v>-10</v>
      </c>
      <c r="D12" s="9">
        <v>-9</v>
      </c>
      <c r="E12" s="9">
        <v>-14</v>
      </c>
      <c r="F12" s="9">
        <v>-22</v>
      </c>
      <c r="G12" s="9">
        <v>-78</v>
      </c>
      <c r="H12" s="9">
        <v>-89</v>
      </c>
      <c r="I12" s="9">
        <v>-82</v>
      </c>
      <c r="J12" s="9">
        <v>-79</v>
      </c>
      <c r="K12" s="9">
        <v>-50</v>
      </c>
      <c r="L12" s="9">
        <v>-75</v>
      </c>
      <c r="M12" s="9">
        <v>-74</v>
      </c>
      <c r="N12" s="9">
        <v>-50</v>
      </c>
      <c r="O12" s="9">
        <v>-55</v>
      </c>
      <c r="P12" s="9">
        <v>-58</v>
      </c>
      <c r="Q12" s="9">
        <v>-66</v>
      </c>
      <c r="R12" s="9">
        <v>-74</v>
      </c>
      <c r="S12" s="9">
        <v>-78</v>
      </c>
      <c r="T12" s="9">
        <v>-82</v>
      </c>
      <c r="U12" s="9">
        <v>-87</v>
      </c>
      <c r="V12" s="9">
        <v>-89</v>
      </c>
      <c r="W12" s="9">
        <v>-96</v>
      </c>
      <c r="X12" s="9">
        <v>-99</v>
      </c>
      <c r="Y12" s="9">
        <v>-133</v>
      </c>
      <c r="Z12" s="9">
        <v>-174</v>
      </c>
      <c r="AA12" s="9">
        <v>-141</v>
      </c>
      <c r="AB12" s="9">
        <v>-139</v>
      </c>
      <c r="AC12" s="9">
        <v>-92</v>
      </c>
      <c r="AD12" s="9">
        <v>-79</v>
      </c>
      <c r="AE12" s="9">
        <v>-67</v>
      </c>
      <c r="AF12" s="9">
        <v>-76</v>
      </c>
      <c r="AG12" s="9">
        <v>-82</v>
      </c>
      <c r="AH12" s="9">
        <v>-83</v>
      </c>
      <c r="AI12" s="9">
        <v>-82</v>
      </c>
      <c r="AJ12" s="9">
        <v>-98</v>
      </c>
      <c r="AK12" s="20">
        <v>-106</v>
      </c>
      <c r="AL12" s="20">
        <v>-109.253</v>
      </c>
      <c r="AM12" s="20">
        <v>-50.109000000000002</v>
      </c>
      <c r="AN12" s="20">
        <v>-59.405000000000001</v>
      </c>
    </row>
    <row r="13" spans="1:40" ht="15" x14ac:dyDescent="0.25">
      <c r="A13" s="2"/>
      <c r="B13" s="12" t="s">
        <v>7236</v>
      </c>
      <c r="C13" s="9" t="s">
        <v>7237</v>
      </c>
      <c r="D13" s="9" t="s">
        <v>7237</v>
      </c>
      <c r="E13" s="9" t="s">
        <v>7237</v>
      </c>
      <c r="F13" s="9">
        <v>7617</v>
      </c>
      <c r="G13" s="9">
        <v>7406</v>
      </c>
      <c r="H13" s="9">
        <v>7501</v>
      </c>
      <c r="I13" s="9">
        <v>7572</v>
      </c>
      <c r="J13" s="9">
        <v>7665</v>
      </c>
      <c r="K13" s="9">
        <v>7703</v>
      </c>
      <c r="L13" s="9">
        <v>7797</v>
      </c>
      <c r="M13" s="9">
        <v>7826</v>
      </c>
      <c r="N13" s="9">
        <v>7817</v>
      </c>
      <c r="O13" s="9">
        <v>7818</v>
      </c>
      <c r="P13" s="9">
        <v>7774</v>
      </c>
      <c r="Q13" s="9">
        <v>7857</v>
      </c>
      <c r="R13" s="9">
        <v>8022</v>
      </c>
      <c r="S13" s="9">
        <v>8058</v>
      </c>
      <c r="T13" s="9">
        <v>8076</v>
      </c>
      <c r="U13" s="9">
        <v>8127</v>
      </c>
      <c r="V13" s="9">
        <v>8201</v>
      </c>
      <c r="W13" s="9">
        <v>8214</v>
      </c>
      <c r="X13" s="9">
        <v>8273</v>
      </c>
      <c r="Y13" s="9">
        <v>8234</v>
      </c>
      <c r="Z13" s="9">
        <v>8383</v>
      </c>
      <c r="AA13" s="9">
        <v>8381</v>
      </c>
      <c r="AB13" s="9">
        <v>8383</v>
      </c>
      <c r="AC13" s="9">
        <v>8383</v>
      </c>
      <c r="AD13" s="9">
        <v>8198</v>
      </c>
      <c r="AE13" s="9">
        <v>8062</v>
      </c>
      <c r="AF13" s="9">
        <v>8023</v>
      </c>
      <c r="AG13" s="9">
        <v>8023</v>
      </c>
      <c r="AH13" s="9">
        <v>7897</v>
      </c>
      <c r="AI13" s="9">
        <v>7946</v>
      </c>
      <c r="AJ13" s="9">
        <v>7989</v>
      </c>
      <c r="AK13" s="9">
        <v>7922</v>
      </c>
      <c r="AL13" s="9">
        <v>7456</v>
      </c>
      <c r="AM13" s="9">
        <v>7514</v>
      </c>
      <c r="AN13" s="9">
        <v>7556</v>
      </c>
    </row>
    <row r="14" spans="1:40" ht="5.0999999999999996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</row>
    <row r="16" spans="1:40" ht="15" hidden="1" x14ac:dyDescent="0.25">
      <c r="AK16">
        <v>312</v>
      </c>
      <c r="AL16">
        <v>312</v>
      </c>
      <c r="AM16">
        <v>312</v>
      </c>
      <c r="AN16">
        <v>312</v>
      </c>
    </row>
    <row r="18" spans="37:40" ht="15" hidden="1" x14ac:dyDescent="0.25">
      <c r="AK18">
        <v>12</v>
      </c>
      <c r="AL18">
        <v>12</v>
      </c>
      <c r="AM18">
        <v>12</v>
      </c>
      <c r="AN18">
        <v>12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8E597-4B7D-46E7-B935-181EF252FA48}">
  <sheetPr>
    <tabColor theme="5"/>
  </sheetPr>
  <dimension ref="A1:AK34"/>
  <sheetViews>
    <sheetView workbookViewId="0">
      <pane xSplit="2" ySplit="3" topLeftCell="O4" activePane="bottomRight" state="frozen"/>
      <selection activeCell="AG12" sqref="AG12"/>
      <selection pane="topRight" activeCell="AG12" sqref="AG12"/>
      <selection pane="bottomLeft" activeCell="AG12" sqref="AG12"/>
      <selection pane="bottomRight" activeCell="AG29" sqref="AG29"/>
    </sheetView>
  </sheetViews>
  <sheetFormatPr defaultRowHeight="14.45" customHeight="1" zeroHeight="1" x14ac:dyDescent="0.25"/>
  <cols>
    <col min="1" max="1" width="2.85546875" bestFit="1" customWidth="1"/>
    <col min="2" max="2" width="52.85546875" bestFit="1" customWidth="1"/>
    <col min="3" max="35" width="8.7109375" customWidth="1"/>
  </cols>
  <sheetData>
    <row r="1" spans="1:37" ht="1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spans="1:37" ht="15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spans="1:37" ht="15" x14ac:dyDescent="0.25">
      <c r="A3" s="2"/>
      <c r="B3" s="3" t="s">
        <v>7211</v>
      </c>
      <c r="C3" s="4">
        <v>2017</v>
      </c>
      <c r="D3" s="4" t="s">
        <v>7055</v>
      </c>
      <c r="E3" s="4" t="s">
        <v>7056</v>
      </c>
      <c r="F3" s="4" t="s">
        <v>7057</v>
      </c>
      <c r="G3" s="4" t="s">
        <v>7058</v>
      </c>
      <c r="H3" s="4" t="s">
        <v>7059</v>
      </c>
      <c r="I3" s="4" t="s">
        <v>7060</v>
      </c>
      <c r="J3" s="4" t="s">
        <v>7061</v>
      </c>
      <c r="K3" s="4" t="s">
        <v>7062</v>
      </c>
      <c r="L3" s="4" t="s">
        <v>7063</v>
      </c>
      <c r="M3" s="4" t="s">
        <v>7064</v>
      </c>
      <c r="N3" s="4" t="s">
        <v>7065</v>
      </c>
      <c r="O3" s="4" t="s">
        <v>7066</v>
      </c>
      <c r="P3" s="4" t="s">
        <v>7067</v>
      </c>
      <c r="Q3" s="4" t="s">
        <v>7068</v>
      </c>
      <c r="R3" s="4" t="s">
        <v>7069</v>
      </c>
      <c r="S3" s="4" t="s">
        <v>7070</v>
      </c>
      <c r="T3" s="4" t="s">
        <v>7071</v>
      </c>
      <c r="U3" s="4" t="s">
        <v>7072</v>
      </c>
      <c r="V3" s="4" t="s">
        <v>7073</v>
      </c>
      <c r="W3" s="4" t="s">
        <v>7074</v>
      </c>
      <c r="X3" s="4" t="s">
        <v>7075</v>
      </c>
      <c r="Y3" s="4" t="s">
        <v>7076</v>
      </c>
      <c r="Z3" s="4" t="s">
        <v>7077</v>
      </c>
      <c r="AA3" s="4" t="s">
        <v>7078</v>
      </c>
      <c r="AB3" s="4" t="s">
        <v>7079</v>
      </c>
      <c r="AC3" s="4" t="s">
        <v>7080</v>
      </c>
      <c r="AD3" s="4" t="s">
        <v>7081</v>
      </c>
      <c r="AE3" s="4" t="s">
        <v>7082</v>
      </c>
      <c r="AF3" s="4" t="s">
        <v>7083</v>
      </c>
      <c r="AG3" s="4" t="s">
        <v>7084</v>
      </c>
      <c r="AH3" s="4" t="s">
        <v>7085</v>
      </c>
      <c r="AI3" s="4" t="s">
        <v>7086</v>
      </c>
      <c r="AJ3" s="4" t="s">
        <v>7087</v>
      </c>
      <c r="AK3" s="4" t="s">
        <v>7088</v>
      </c>
    </row>
    <row r="4" spans="1:37" ht="15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</row>
    <row r="5" spans="1:37" ht="15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</row>
    <row r="6" spans="1:37" ht="15" x14ac:dyDescent="0.25">
      <c r="A6" s="2"/>
      <c r="B6" s="5" t="s">
        <v>7089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</row>
    <row r="7" spans="1:37" ht="15" x14ac:dyDescent="0.25">
      <c r="A7" s="2"/>
      <c r="B7" s="6" t="s">
        <v>7090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</row>
    <row r="8" spans="1:37" ht="5.0999999999999996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</row>
    <row r="9" spans="1:37" ht="15" x14ac:dyDescent="0.25">
      <c r="A9" s="2"/>
      <c r="B9" s="12" t="s">
        <v>7191</v>
      </c>
      <c r="C9" s="9">
        <v>4640</v>
      </c>
      <c r="D9" s="9">
        <v>4585</v>
      </c>
      <c r="E9" s="9">
        <v>4521</v>
      </c>
      <c r="F9" s="9">
        <v>5552</v>
      </c>
      <c r="G9" s="9">
        <v>5524</v>
      </c>
      <c r="H9" s="9">
        <v>5434</v>
      </c>
      <c r="I9" s="9">
        <v>5412</v>
      </c>
      <c r="J9" s="9">
        <v>5489</v>
      </c>
      <c r="K9" s="9">
        <v>5957</v>
      </c>
      <c r="L9" s="9">
        <v>9531</v>
      </c>
      <c r="M9" s="9">
        <v>8424</v>
      </c>
      <c r="N9" s="9">
        <v>8512</v>
      </c>
      <c r="O9" s="9">
        <v>7757</v>
      </c>
      <c r="P9" s="9">
        <v>9014</v>
      </c>
      <c r="Q9" s="9">
        <v>8299</v>
      </c>
      <c r="R9" s="9">
        <v>9930</v>
      </c>
      <c r="S9" s="9">
        <v>13538</v>
      </c>
      <c r="T9" s="9">
        <v>13082</v>
      </c>
      <c r="U9" s="9">
        <v>14953</v>
      </c>
      <c r="V9" s="9">
        <v>16826</v>
      </c>
      <c r="W9" s="9">
        <v>16557</v>
      </c>
      <c r="X9" s="9">
        <v>16451</v>
      </c>
      <c r="Y9" s="9">
        <v>16106</v>
      </c>
      <c r="Z9" s="9">
        <v>15229</v>
      </c>
      <c r="AA9" s="9">
        <v>14770</v>
      </c>
      <c r="AB9" s="9">
        <v>14902</v>
      </c>
      <c r="AC9" s="9">
        <v>18333</v>
      </c>
      <c r="AD9" s="9">
        <v>16724</v>
      </c>
      <c r="AE9" s="9">
        <v>20449</v>
      </c>
      <c r="AF9" s="9">
        <f>SUM('[1]03. Balanço Patrimonial'!AI46,'[1]03. Balanço Patrimonial'!AI47,'[1]03. Balanço Patrimonial'!AI68)</f>
        <v>25951</v>
      </c>
      <c r="AG9" s="9">
        <f>SUM('[1]03. Balanço Patrimonial'!AJ46,'[1]03. Balanço Patrimonial'!AJ47,'[1]03. Balanço Patrimonial'!AJ68)</f>
        <v>24987</v>
      </c>
      <c r="AH9" s="9">
        <f>SUM('[1]03. Balanço Patrimonial'!AK46,'[1]03. Balanço Patrimonial'!AK47,'[1]03. Balanço Patrimonial'!AK68)</f>
        <v>24259</v>
      </c>
      <c r="AI9" s="9">
        <f>SUM('[1]03. Balanço Patrimonial'!AL46,'[1]03. Balanço Patrimonial'!AL47,'[1]03. Balanço Patrimonial'!AL68)</f>
        <v>22365</v>
      </c>
      <c r="AJ9" s="9">
        <f>SUM('[1]03. Balanço Patrimonial'!AM47,'[1]03. Balanço Patrimonial'!AM68)</f>
        <v>22379</v>
      </c>
      <c r="AK9" s="9">
        <f>SUM('[1]03. Balanço Patrimonial'!AN47,'[1]03. Balanço Patrimonial'!AN68)</f>
        <v>20967</v>
      </c>
    </row>
    <row r="10" spans="1:37" ht="15" x14ac:dyDescent="0.25">
      <c r="A10" s="2"/>
      <c r="B10" s="12" t="s">
        <v>7212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588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f>'[1]03. Balanço Patrimonial'!AM46</f>
        <v>738</v>
      </c>
      <c r="AK10" s="9">
        <f>'[1]03. Balanço Patrimonial'!AN46</f>
        <v>0</v>
      </c>
    </row>
    <row r="11" spans="1:37" ht="15" x14ac:dyDescent="0.25">
      <c r="A11" s="2"/>
      <c r="B11" s="12" t="s">
        <v>7213</v>
      </c>
      <c r="C11" s="9">
        <v>72</v>
      </c>
      <c r="D11" s="9">
        <v>73</v>
      </c>
      <c r="E11" s="9">
        <v>74</v>
      </c>
      <c r="F11" s="9">
        <v>73</v>
      </c>
      <c r="G11" s="9">
        <v>48</v>
      </c>
      <c r="H11" s="9">
        <v>923</v>
      </c>
      <c r="I11" s="9">
        <v>743</v>
      </c>
      <c r="J11" s="9">
        <v>731</v>
      </c>
      <c r="K11" s="9">
        <v>818</v>
      </c>
      <c r="L11" s="9">
        <v>810</v>
      </c>
      <c r="M11" s="9">
        <v>796</v>
      </c>
      <c r="N11" s="9">
        <v>779</v>
      </c>
      <c r="O11" s="9">
        <v>796</v>
      </c>
      <c r="P11" s="9">
        <v>834</v>
      </c>
      <c r="Q11" s="9">
        <v>829</v>
      </c>
      <c r="R11" s="9">
        <v>858</v>
      </c>
      <c r="S11" s="9">
        <v>824</v>
      </c>
      <c r="T11" s="9">
        <v>818</v>
      </c>
      <c r="U11" s="9">
        <v>822</v>
      </c>
      <c r="V11" s="9">
        <v>859</v>
      </c>
      <c r="W11" s="9">
        <v>834</v>
      </c>
      <c r="X11" s="9">
        <v>817</v>
      </c>
      <c r="Y11" s="9">
        <v>792</v>
      </c>
      <c r="Z11" s="9">
        <v>774</v>
      </c>
      <c r="AA11" s="9">
        <v>748</v>
      </c>
      <c r="AB11" s="9">
        <v>745</v>
      </c>
      <c r="AC11" s="9">
        <v>373</v>
      </c>
      <c r="AD11" s="9">
        <v>362</v>
      </c>
      <c r="AE11" s="9">
        <v>359</v>
      </c>
      <c r="AF11" s="9">
        <f>SUM('[1]03. Balanço Patrimonial'!AI50,'[1]03. Balanço Patrimonial'!AI69)</f>
        <v>666</v>
      </c>
      <c r="AG11" s="9">
        <f>SUM('[1]03. Balanço Patrimonial'!AJ50,'[1]03. Balanço Patrimonial'!AJ69)</f>
        <v>709</v>
      </c>
      <c r="AH11" s="9">
        <v>736</v>
      </c>
      <c r="AI11" s="9">
        <v>851</v>
      </c>
      <c r="AJ11" s="9">
        <f>SUM('[1]03. Balanço Patrimonial'!AM50,'[1]03. Balanço Patrimonial'!AM69)</f>
        <v>880</v>
      </c>
      <c r="AK11" s="9">
        <f>SUM('[1]03. Balanço Patrimonial'!AN50,'[1]03. Balanço Patrimonial'!AN69)</f>
        <v>959</v>
      </c>
    </row>
    <row r="12" spans="1:37" ht="15" x14ac:dyDescent="0.25">
      <c r="A12" s="2"/>
      <c r="B12" s="14" t="s">
        <v>7214</v>
      </c>
      <c r="C12" s="15">
        <f t="shared" ref="C12:R12" si="0">C9+C11</f>
        <v>4712</v>
      </c>
      <c r="D12" s="15">
        <f t="shared" si="0"/>
        <v>4658</v>
      </c>
      <c r="E12" s="15">
        <f t="shared" si="0"/>
        <v>4595</v>
      </c>
      <c r="F12" s="15">
        <f t="shared" si="0"/>
        <v>5625</v>
      </c>
      <c r="G12" s="15">
        <f t="shared" si="0"/>
        <v>5572</v>
      </c>
      <c r="H12" s="15">
        <f t="shared" si="0"/>
        <v>6357</v>
      </c>
      <c r="I12" s="15">
        <f t="shared" si="0"/>
        <v>6155</v>
      </c>
      <c r="J12" s="15">
        <f t="shared" si="0"/>
        <v>6220</v>
      </c>
      <c r="K12" s="15">
        <f t="shared" si="0"/>
        <v>6775</v>
      </c>
      <c r="L12" s="15">
        <f t="shared" si="0"/>
        <v>10341</v>
      </c>
      <c r="M12" s="15">
        <f t="shared" si="0"/>
        <v>9220</v>
      </c>
      <c r="N12" s="15">
        <f t="shared" si="0"/>
        <v>9291</v>
      </c>
      <c r="O12" s="15">
        <f t="shared" si="0"/>
        <v>8553</v>
      </c>
      <c r="P12" s="15">
        <f t="shared" si="0"/>
        <v>9848</v>
      </c>
      <c r="Q12" s="15">
        <f t="shared" si="0"/>
        <v>9128</v>
      </c>
      <c r="R12" s="15">
        <f t="shared" si="0"/>
        <v>10788</v>
      </c>
      <c r="S12" s="15">
        <f>S9+S11</f>
        <v>14362</v>
      </c>
      <c r="T12" s="15">
        <v>13900</v>
      </c>
      <c r="U12" s="15">
        <f t="shared" ref="U12:AJ12" si="1">SUM(U9:U11)</f>
        <v>15775</v>
      </c>
      <c r="V12" s="15">
        <f t="shared" si="1"/>
        <v>17685</v>
      </c>
      <c r="W12" s="15">
        <f t="shared" si="1"/>
        <v>17391</v>
      </c>
      <c r="X12" s="15">
        <f t="shared" si="1"/>
        <v>17856</v>
      </c>
      <c r="Y12" s="15">
        <f t="shared" si="1"/>
        <v>16898</v>
      </c>
      <c r="Z12" s="15">
        <f t="shared" si="1"/>
        <v>16003</v>
      </c>
      <c r="AA12" s="15">
        <f t="shared" si="1"/>
        <v>15518</v>
      </c>
      <c r="AB12" s="15">
        <f t="shared" si="1"/>
        <v>15647</v>
      </c>
      <c r="AC12" s="15">
        <f t="shared" si="1"/>
        <v>18706</v>
      </c>
      <c r="AD12" s="15">
        <f t="shared" si="1"/>
        <v>17086</v>
      </c>
      <c r="AE12" s="15">
        <f t="shared" si="1"/>
        <v>20808</v>
      </c>
      <c r="AF12" s="15">
        <f t="shared" si="1"/>
        <v>26617</v>
      </c>
      <c r="AG12" s="15">
        <f t="shared" si="1"/>
        <v>25696</v>
      </c>
      <c r="AH12" s="15">
        <f t="shared" si="1"/>
        <v>24995</v>
      </c>
      <c r="AI12" s="15">
        <f t="shared" si="1"/>
        <v>23216</v>
      </c>
      <c r="AJ12" s="15">
        <f t="shared" si="1"/>
        <v>23997</v>
      </c>
      <c r="AK12" s="15">
        <f>SUM(AK9:AK11)</f>
        <v>21926</v>
      </c>
    </row>
    <row r="13" spans="1:37" ht="5.0999999999999996" customHeight="1" x14ac:dyDescent="0.25">
      <c r="A13" s="2"/>
      <c r="B13" s="8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</row>
    <row r="14" spans="1:37" ht="15" x14ac:dyDescent="0.25">
      <c r="A14" s="2"/>
      <c r="B14" s="12" t="s">
        <v>7215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-421</v>
      </c>
      <c r="M14" s="9">
        <v>-631</v>
      </c>
      <c r="N14" s="9">
        <v>-733</v>
      </c>
      <c r="O14" s="9">
        <v>-504</v>
      </c>
      <c r="P14" s="9">
        <v>-821</v>
      </c>
      <c r="Q14" s="9">
        <v>-183</v>
      </c>
      <c r="R14" s="9">
        <v>-578</v>
      </c>
      <c r="S14" s="9">
        <v>-626</v>
      </c>
      <c r="T14" s="9">
        <v>624</v>
      </c>
      <c r="U14" s="9">
        <v>279</v>
      </c>
      <c r="V14" s="9">
        <v>172</v>
      </c>
      <c r="W14" s="9">
        <v>483</v>
      </c>
      <c r="X14" s="9">
        <v>527</v>
      </c>
      <c r="Y14" s="9">
        <v>961</v>
      </c>
      <c r="Z14" s="9">
        <v>600</v>
      </c>
      <c r="AA14" s="9">
        <v>644</v>
      </c>
      <c r="AB14" s="9">
        <v>480</v>
      </c>
      <c r="AC14" s="9">
        <v>-58</v>
      </c>
      <c r="AD14" s="9">
        <v>-196</v>
      </c>
      <c r="AE14" s="9">
        <v>-874</v>
      </c>
      <c r="AF14" s="9">
        <v>-61</v>
      </c>
      <c r="AG14" s="9">
        <v>142</v>
      </c>
      <c r="AH14" s="9">
        <v>222</v>
      </c>
      <c r="AI14" s="9">
        <v>119</v>
      </c>
      <c r="AJ14" s="9">
        <v>287</v>
      </c>
      <c r="AK14" s="9">
        <v>430</v>
      </c>
    </row>
    <row r="15" spans="1:37" ht="15" x14ac:dyDescent="0.25">
      <c r="A15" s="2"/>
      <c r="B15" s="14" t="s">
        <v>7216</v>
      </c>
      <c r="C15" s="15">
        <f t="shared" ref="C15:AF15" si="2">SUM(C12,C14)</f>
        <v>4712</v>
      </c>
      <c r="D15" s="15">
        <f t="shared" si="2"/>
        <v>4658</v>
      </c>
      <c r="E15" s="15">
        <f t="shared" si="2"/>
        <v>4595</v>
      </c>
      <c r="F15" s="15">
        <f t="shared" si="2"/>
        <v>5625</v>
      </c>
      <c r="G15" s="15">
        <f t="shared" si="2"/>
        <v>5572</v>
      </c>
      <c r="H15" s="15">
        <f t="shared" si="2"/>
        <v>6357</v>
      </c>
      <c r="I15" s="15">
        <f t="shared" si="2"/>
        <v>6155</v>
      </c>
      <c r="J15" s="15">
        <f t="shared" si="2"/>
        <v>6220</v>
      </c>
      <c r="K15" s="15">
        <f t="shared" si="2"/>
        <v>6775</v>
      </c>
      <c r="L15" s="15">
        <f t="shared" si="2"/>
        <v>9920</v>
      </c>
      <c r="M15" s="15">
        <f t="shared" si="2"/>
        <v>8589</v>
      </c>
      <c r="N15" s="15">
        <f t="shared" si="2"/>
        <v>8558</v>
      </c>
      <c r="O15" s="15">
        <f t="shared" si="2"/>
        <v>8049</v>
      </c>
      <c r="P15" s="15">
        <f t="shared" si="2"/>
        <v>9027</v>
      </c>
      <c r="Q15" s="15">
        <f t="shared" si="2"/>
        <v>8945</v>
      </c>
      <c r="R15" s="15">
        <f t="shared" si="2"/>
        <v>10210</v>
      </c>
      <c r="S15" s="15">
        <f t="shared" si="2"/>
        <v>13736</v>
      </c>
      <c r="T15" s="15">
        <f t="shared" si="2"/>
        <v>14524</v>
      </c>
      <c r="U15" s="15">
        <f t="shared" si="2"/>
        <v>16054</v>
      </c>
      <c r="V15" s="15">
        <f t="shared" si="2"/>
        <v>17857</v>
      </c>
      <c r="W15" s="15">
        <f t="shared" si="2"/>
        <v>17874</v>
      </c>
      <c r="X15" s="15">
        <f t="shared" si="2"/>
        <v>18383</v>
      </c>
      <c r="Y15" s="15">
        <f t="shared" si="2"/>
        <v>17859</v>
      </c>
      <c r="Z15" s="15">
        <f t="shared" si="2"/>
        <v>16603</v>
      </c>
      <c r="AA15" s="15">
        <f t="shared" si="2"/>
        <v>16162</v>
      </c>
      <c r="AB15" s="15">
        <f t="shared" si="2"/>
        <v>16127</v>
      </c>
      <c r="AC15" s="15">
        <f t="shared" si="2"/>
        <v>18648</v>
      </c>
      <c r="AD15" s="15">
        <f t="shared" si="2"/>
        <v>16890</v>
      </c>
      <c r="AE15" s="15">
        <f t="shared" si="2"/>
        <v>19934</v>
      </c>
      <c r="AF15" s="15">
        <f t="shared" si="2"/>
        <v>26556</v>
      </c>
      <c r="AG15" s="15">
        <f>SUM(AG12,AG14)</f>
        <v>25838</v>
      </c>
      <c r="AH15" s="15">
        <f>SUM(AH12,AH14)</f>
        <v>25217</v>
      </c>
      <c r="AI15" s="15">
        <f>SUM(AI12,AI14)</f>
        <v>23335</v>
      </c>
      <c r="AJ15" s="15">
        <f>SUM(AJ12,AJ14)</f>
        <v>24284</v>
      </c>
      <c r="AK15" s="15">
        <f>SUM(AK12,AK14)</f>
        <v>22356</v>
      </c>
    </row>
    <row r="16" spans="1:37" ht="5.0999999999999996" customHeight="1" x14ac:dyDescent="0.25">
      <c r="A16" s="2"/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</row>
    <row r="17" spans="1:37" ht="15" x14ac:dyDescent="0.25">
      <c r="A17" s="2"/>
      <c r="B17" s="12" t="s">
        <v>7217</v>
      </c>
      <c r="C17" s="9">
        <v>483</v>
      </c>
      <c r="D17" s="9">
        <v>1105</v>
      </c>
      <c r="E17" s="9">
        <v>1352</v>
      </c>
      <c r="F17" s="9">
        <v>1500</v>
      </c>
      <c r="G17" s="9">
        <v>3057</v>
      </c>
      <c r="H17" s="9">
        <v>3849</v>
      </c>
      <c r="I17" s="9">
        <v>1885</v>
      </c>
      <c r="J17" s="9">
        <v>3909</v>
      </c>
      <c r="K17" s="9">
        <v>2362</v>
      </c>
      <c r="L17" s="9">
        <v>5997</v>
      </c>
      <c r="M17" s="9">
        <v>5307</v>
      </c>
      <c r="N17" s="9">
        <v>4476</v>
      </c>
      <c r="O17" s="9">
        <v>3358</v>
      </c>
      <c r="P17" s="9">
        <v>3893</v>
      </c>
      <c r="Q17" s="9">
        <v>2311</v>
      </c>
      <c r="R17" s="9">
        <v>2030</v>
      </c>
      <c r="S17" s="9">
        <v>3625</v>
      </c>
      <c r="T17" s="9">
        <v>4309</v>
      </c>
      <c r="U17" s="9">
        <v>2759</v>
      </c>
      <c r="V17" s="9">
        <v>3113</v>
      </c>
      <c r="W17" s="9">
        <v>4145</v>
      </c>
      <c r="X17" s="9">
        <v>5816</v>
      </c>
      <c r="Y17" s="9">
        <v>5662</v>
      </c>
      <c r="Z17" s="9">
        <v>6436</v>
      </c>
      <c r="AA17" s="9">
        <v>6666</v>
      </c>
      <c r="AB17" s="9">
        <v>5476</v>
      </c>
      <c r="AC17" s="9">
        <v>8225</v>
      </c>
      <c r="AD17" s="9">
        <v>7589</v>
      </c>
      <c r="AE17" s="9">
        <v>10480</v>
      </c>
      <c r="AF17" s="9">
        <f>SUM('[1]03. Balanço Patrimonial'!AI10:AI12,'[1]03. Balanço Patrimonial'!AI25:AI26)</f>
        <v>6010</v>
      </c>
      <c r="AG17" s="9">
        <f>SUM('[1]03. Balanço Patrimonial'!AJ10:AJ12,'[1]03. Balanço Patrimonial'!AJ25:AJ26)</f>
        <v>4833</v>
      </c>
      <c r="AH17" s="9">
        <f>SUM('[1]03. Balanço Patrimonial'!AK10:AK12,'[1]03. Balanço Patrimonial'!AK25:AK26)</f>
        <v>6467</v>
      </c>
      <c r="AI17" s="9">
        <f>SUM('[1]03. Balanço Patrimonial'!AL10:AL12,'[1]03. Balanço Patrimonial'!AL25:AL26)</f>
        <v>4146</v>
      </c>
      <c r="AJ17" s="9">
        <f>SUM('[1]03. Balanço Patrimonial'!AM10)</f>
        <v>5107</v>
      </c>
      <c r="AK17" s="9">
        <f>SUM('[1]03. Balanço Patrimonial'!AN10)</f>
        <v>5784</v>
      </c>
    </row>
    <row r="18" spans="1:37" ht="15" x14ac:dyDescent="0.25">
      <c r="A18" s="2"/>
      <c r="B18" s="12" t="s">
        <v>7218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>
        <f>SUM('[1]03. Balanço Patrimonial'!AM11,'[1]03. Balanço Patrimonial'!AM25)</f>
        <v>184</v>
      </c>
      <c r="AK18" s="9">
        <f>SUM('[1]03. Balanço Patrimonial'!AN11,'[1]03. Balanço Patrimonial'!AN25)</f>
        <v>133</v>
      </c>
    </row>
    <row r="19" spans="1:37" ht="15" x14ac:dyDescent="0.25">
      <c r="A19" s="2"/>
      <c r="B19" s="12" t="s">
        <v>7219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>
        <f>SUM('[1]03. Balanço Patrimonial'!AM12,'[1]03. Balanço Patrimonial'!AM26)</f>
        <v>378</v>
      </c>
      <c r="AK19" s="9">
        <f>SUM('[1]03. Balanço Patrimonial'!AN12,'[1]03. Balanço Patrimonial'!AN26)</f>
        <v>377</v>
      </c>
    </row>
    <row r="20" spans="1:37" ht="15" x14ac:dyDescent="0.25">
      <c r="A20" s="2"/>
      <c r="B20" s="14" t="s">
        <v>7220</v>
      </c>
      <c r="C20" s="15">
        <f>C15-C17</f>
        <v>4229</v>
      </c>
      <c r="D20" s="15">
        <f t="shared" ref="D20:AI20" si="3">D15-D17</f>
        <v>3553</v>
      </c>
      <c r="E20" s="15">
        <f t="shared" si="3"/>
        <v>3243</v>
      </c>
      <c r="F20" s="15">
        <f t="shared" si="3"/>
        <v>4125</v>
      </c>
      <c r="G20" s="15">
        <f t="shared" si="3"/>
        <v>2515</v>
      </c>
      <c r="H20" s="15">
        <f t="shared" si="3"/>
        <v>2508</v>
      </c>
      <c r="I20" s="15">
        <f t="shared" si="3"/>
        <v>4270</v>
      </c>
      <c r="J20" s="15">
        <f t="shared" si="3"/>
        <v>2311</v>
      </c>
      <c r="K20" s="15">
        <f t="shared" si="3"/>
        <v>4413</v>
      </c>
      <c r="L20" s="15">
        <f t="shared" si="3"/>
        <v>3923</v>
      </c>
      <c r="M20" s="15">
        <f t="shared" si="3"/>
        <v>3282</v>
      </c>
      <c r="N20" s="15">
        <f t="shared" si="3"/>
        <v>4082</v>
      </c>
      <c r="O20" s="15">
        <f t="shared" si="3"/>
        <v>4691</v>
      </c>
      <c r="P20" s="15">
        <f t="shared" si="3"/>
        <v>5134</v>
      </c>
      <c r="Q20" s="15">
        <f t="shared" si="3"/>
        <v>6634</v>
      </c>
      <c r="R20" s="15">
        <f t="shared" si="3"/>
        <v>8180</v>
      </c>
      <c r="S20" s="15">
        <f t="shared" si="3"/>
        <v>10111</v>
      </c>
      <c r="T20" s="15">
        <f t="shared" si="3"/>
        <v>10215</v>
      </c>
      <c r="U20" s="15">
        <f t="shared" si="3"/>
        <v>13295</v>
      </c>
      <c r="V20" s="15">
        <f t="shared" si="3"/>
        <v>14744</v>
      </c>
      <c r="W20" s="15">
        <f t="shared" si="3"/>
        <v>13729</v>
      </c>
      <c r="X20" s="15">
        <f t="shared" si="3"/>
        <v>12567</v>
      </c>
      <c r="Y20" s="15">
        <f t="shared" si="3"/>
        <v>12197</v>
      </c>
      <c r="Z20" s="15">
        <f t="shared" si="3"/>
        <v>10167</v>
      </c>
      <c r="AA20" s="15">
        <f t="shared" si="3"/>
        <v>9496</v>
      </c>
      <c r="AB20" s="15">
        <f t="shared" si="3"/>
        <v>10651</v>
      </c>
      <c r="AC20" s="15">
        <f t="shared" si="3"/>
        <v>10423</v>
      </c>
      <c r="AD20" s="15">
        <f t="shared" si="3"/>
        <v>9301</v>
      </c>
      <c r="AE20" s="15">
        <f t="shared" si="3"/>
        <v>9454</v>
      </c>
      <c r="AF20" s="15">
        <f t="shared" si="3"/>
        <v>20546</v>
      </c>
      <c r="AG20" s="15">
        <f t="shared" si="3"/>
        <v>21005</v>
      </c>
      <c r="AH20" s="15">
        <f t="shared" si="3"/>
        <v>18750</v>
      </c>
      <c r="AI20" s="15">
        <f t="shared" si="3"/>
        <v>19189</v>
      </c>
      <c r="AJ20" s="15">
        <f>AJ15-SUM(AJ17:AJ19)</f>
        <v>18615</v>
      </c>
      <c r="AK20" s="15">
        <f>AK15-SUM(AK17:AK19)</f>
        <v>16062</v>
      </c>
    </row>
    <row r="21" spans="1:37" ht="5.0999999999999996" customHeight="1" x14ac:dyDescent="0.25">
      <c r="A21" s="2"/>
      <c r="B21" s="8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</row>
    <row r="22" spans="1:37" ht="15" x14ac:dyDescent="0.25">
      <c r="A22" s="2"/>
      <c r="B22" s="12" t="s">
        <v>7221</v>
      </c>
      <c r="C22" s="9">
        <v>3067</v>
      </c>
      <c r="D22" s="9">
        <v>3193</v>
      </c>
      <c r="E22" s="9">
        <v>3220</v>
      </c>
      <c r="F22" s="9">
        <v>2795</v>
      </c>
      <c r="G22" s="9">
        <v>2558</v>
      </c>
      <c r="H22" s="9">
        <v>2645</v>
      </c>
      <c r="I22" s="9">
        <v>2643</v>
      </c>
      <c r="J22" s="9">
        <v>2831</v>
      </c>
      <c r="K22" s="9">
        <v>3132</v>
      </c>
      <c r="L22" s="9">
        <v>2817</v>
      </c>
      <c r="M22" s="9">
        <v>3127</v>
      </c>
      <c r="N22" s="9">
        <v>3142</v>
      </c>
      <c r="O22" s="9">
        <v>3811</v>
      </c>
      <c r="P22" s="9">
        <v>4448</v>
      </c>
      <c r="Q22" s="9">
        <v>4650</v>
      </c>
      <c r="R22" s="9">
        <v>5001</v>
      </c>
      <c r="S22" s="9">
        <v>4983</v>
      </c>
      <c r="T22" s="9">
        <v>4908</v>
      </c>
      <c r="U22" s="9">
        <v>5502</v>
      </c>
      <c r="V22" s="9">
        <v>5242</v>
      </c>
      <c r="W22" s="9">
        <v>5225</v>
      </c>
      <c r="X22" s="9">
        <v>4709</v>
      </c>
      <c r="Y22" s="9">
        <v>4021</v>
      </c>
      <c r="Z22" s="9">
        <v>5438</v>
      </c>
      <c r="AA22" s="9">
        <v>8850</v>
      </c>
      <c r="AB22" s="9">
        <v>10107</v>
      </c>
      <c r="AC22" s="9">
        <v>10747</v>
      </c>
      <c r="AD22" s="9">
        <v>14476</v>
      </c>
      <c r="AE22" s="9">
        <v>10864</v>
      </c>
      <c r="AF22" s="9">
        <v>11634</v>
      </c>
      <c r="AG22" s="9">
        <v>11393</v>
      </c>
      <c r="AH22" s="9">
        <v>6868</v>
      </c>
      <c r="AI22" s="9">
        <v>7923</v>
      </c>
      <c r="AJ22" s="9">
        <f>SUM('[1]05. Resultado por Segmento'!AM17:AP17)</f>
        <v>9102</v>
      </c>
      <c r="AK22" s="9">
        <f>SUM('[1]05. Resultado por Segmento'!AN17:AQ17)</f>
        <v>12129</v>
      </c>
    </row>
    <row r="23" spans="1:37" ht="15" x14ac:dyDescent="0.25">
      <c r="A23" s="2"/>
      <c r="B23" s="12" t="s">
        <v>7222</v>
      </c>
      <c r="C23" s="22">
        <f t="shared" ref="C23:W23" si="4">C20/C22</f>
        <v>1.3788718617541571</v>
      </c>
      <c r="D23" s="22">
        <f t="shared" si="4"/>
        <v>1.1127466332602569</v>
      </c>
      <c r="E23" s="22">
        <f t="shared" si="4"/>
        <v>1.0071428571428571</v>
      </c>
      <c r="F23" s="22">
        <f t="shared" si="4"/>
        <v>1.4758497316636852</v>
      </c>
      <c r="G23" s="22">
        <f>G20/G22</f>
        <v>0.98318999218139169</v>
      </c>
      <c r="H23" s="22">
        <f t="shared" si="4"/>
        <v>0.94820415879017017</v>
      </c>
      <c r="I23" s="22">
        <f t="shared" si="4"/>
        <v>1.6155883465758607</v>
      </c>
      <c r="J23" s="22">
        <f t="shared" si="4"/>
        <v>0.81631932179441891</v>
      </c>
      <c r="K23" s="22">
        <f t="shared" si="4"/>
        <v>1.4090038314176245</v>
      </c>
      <c r="L23" s="22">
        <f t="shared" si="4"/>
        <v>1.3926162584309549</v>
      </c>
      <c r="M23" s="22">
        <f t="shared" si="4"/>
        <v>1.049568276303166</v>
      </c>
      <c r="N23" s="22">
        <f t="shared" si="4"/>
        <v>1.2991725015913431</v>
      </c>
      <c r="O23" s="22">
        <f t="shared" si="4"/>
        <v>1.2309105221726582</v>
      </c>
      <c r="P23" s="22">
        <f t="shared" si="4"/>
        <v>1.1542266187050361</v>
      </c>
      <c r="Q23" s="22">
        <f t="shared" si="4"/>
        <v>1.4266666666666667</v>
      </c>
      <c r="R23" s="22">
        <f t="shared" si="4"/>
        <v>1.6356728654269146</v>
      </c>
      <c r="S23" s="22">
        <f t="shared" si="4"/>
        <v>2.0290989363837046</v>
      </c>
      <c r="T23" s="22">
        <f t="shared" si="4"/>
        <v>2.0812958435207825</v>
      </c>
      <c r="U23" s="22">
        <f t="shared" si="4"/>
        <v>2.4163940385314433</v>
      </c>
      <c r="V23" s="22">
        <f t="shared" si="4"/>
        <v>2.8126669210225104</v>
      </c>
      <c r="W23" s="22">
        <f t="shared" si="4"/>
        <v>2.6275598086124403</v>
      </c>
      <c r="X23" s="22">
        <f>X20/X22</f>
        <v>2.6687194733489061</v>
      </c>
      <c r="Y23" s="22">
        <f>Y20/Y22</f>
        <v>3.0333250435215122</v>
      </c>
      <c r="Z23" s="22">
        <f>Z20/Z22</f>
        <v>1.8696211842589188</v>
      </c>
      <c r="AA23" s="22">
        <f>AA20/AA22</f>
        <v>1.0729943502824859</v>
      </c>
      <c r="AB23" s="22">
        <f t="shared" ref="AB23:AK23" si="5">AB20/AB22</f>
        <v>1.0538240823191847</v>
      </c>
      <c r="AC23" s="22">
        <f t="shared" si="5"/>
        <v>0.96985205173536804</v>
      </c>
      <c r="AD23" s="22">
        <f t="shared" si="5"/>
        <v>0.64251174357557339</v>
      </c>
      <c r="AE23" s="22">
        <f t="shared" si="5"/>
        <v>0.87021354933726069</v>
      </c>
      <c r="AF23" s="22">
        <f t="shared" si="5"/>
        <v>1.7660305999656181</v>
      </c>
      <c r="AG23" s="22">
        <f t="shared" si="5"/>
        <v>1.8436759413675063</v>
      </c>
      <c r="AH23" s="22">
        <f t="shared" si="5"/>
        <v>2.7300524170064064</v>
      </c>
      <c r="AI23" s="22">
        <f t="shared" si="5"/>
        <v>2.4219361353022846</v>
      </c>
      <c r="AJ23" s="22">
        <f t="shared" si="5"/>
        <v>2.0451549110085696</v>
      </c>
      <c r="AK23" s="22">
        <f t="shared" si="5"/>
        <v>1.324264160277022</v>
      </c>
    </row>
    <row r="24" spans="1:37" ht="5.0999999999999996" customHeight="1" x14ac:dyDescent="0.25">
      <c r="A24" s="2"/>
      <c r="B24" s="8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  <row r="25" spans="1:37" s="23" customFormat="1" ht="15" x14ac:dyDescent="0.25">
      <c r="B25" s="16" t="s">
        <v>7223</v>
      </c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>
        <v>1.38E-2</v>
      </c>
      <c r="AC25" s="24">
        <v>1.35E-2</v>
      </c>
      <c r="AD25" s="24">
        <v>1.35E-2</v>
      </c>
      <c r="AE25" s="24">
        <v>1.2999999999999999E-2</v>
      </c>
      <c r="AF25" s="24">
        <v>9.2000000000000137E-3</v>
      </c>
      <c r="AG25" s="24">
        <v>1.6300000000000009E-2</v>
      </c>
      <c r="AH25" s="24">
        <v>7.3000000000000001E-3</v>
      </c>
      <c r="AI25" s="24">
        <v>6.6E-3</v>
      </c>
      <c r="AJ25" s="24">
        <v>5.7214773184921467E-3</v>
      </c>
      <c r="AK25" s="24">
        <v>2.2000000000000001E-3</v>
      </c>
    </row>
    <row r="26" spans="1:37" ht="5.0999999999999996" customHeight="1" x14ac:dyDescent="0.25">
      <c r="A26" s="2"/>
      <c r="B26" s="8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</row>
    <row r="27" spans="1:37" ht="15" x14ac:dyDescent="0.25">
      <c r="A27" s="2"/>
      <c r="B27" s="14" t="s">
        <v>7224</v>
      </c>
      <c r="C27" s="25">
        <v>2.8</v>
      </c>
      <c r="D27" s="25">
        <v>2.7</v>
      </c>
      <c r="E27" s="25">
        <v>2.5</v>
      </c>
      <c r="F27" s="25">
        <v>2.7</v>
      </c>
      <c r="G27" s="25">
        <v>2.5</v>
      </c>
      <c r="H27" s="25">
        <v>2.2604041499556855</v>
      </c>
      <c r="I27" s="25">
        <v>2.0096984053552207</v>
      </c>
      <c r="J27" s="25">
        <v>1.7974923052278831</v>
      </c>
      <c r="K27" s="25">
        <v>1.493916623395946</v>
      </c>
      <c r="L27" s="25">
        <v>2.0319165129420034</v>
      </c>
      <c r="M27" s="25">
        <v>2.6603642200966742</v>
      </c>
      <c r="N27" s="25">
        <v>2.3917508025507215</v>
      </c>
      <c r="O27" s="25">
        <v>2.29</v>
      </c>
      <c r="P27" s="25">
        <v>3.65</v>
      </c>
      <c r="Q27" s="25">
        <v>3.45</v>
      </c>
      <c r="R27" s="25">
        <v>3.74</v>
      </c>
      <c r="S27" s="25">
        <v>4.43</v>
      </c>
      <c r="T27" s="25">
        <v>4.49</v>
      </c>
      <c r="U27" s="25">
        <v>4.3</v>
      </c>
      <c r="V27" s="25">
        <v>4.3</v>
      </c>
      <c r="W27" s="25">
        <v>4.2</v>
      </c>
      <c r="X27" s="25">
        <v>4.0999999999999996</v>
      </c>
      <c r="Y27" s="25">
        <v>3.8</v>
      </c>
      <c r="Z27" s="25">
        <v>4</v>
      </c>
      <c r="AA27" s="25">
        <v>3.8</v>
      </c>
      <c r="AB27" s="25">
        <v>3.6</v>
      </c>
      <c r="AC27" s="25">
        <v>4.0999999999999996</v>
      </c>
      <c r="AD27" s="25">
        <v>3.9</v>
      </c>
      <c r="AE27" s="25">
        <v>3.9</v>
      </c>
      <c r="AF27" s="25">
        <v>4.5999999999999996</v>
      </c>
      <c r="AG27" s="25">
        <v>4.5</v>
      </c>
      <c r="AH27" s="25">
        <v>4.5</v>
      </c>
      <c r="AI27" s="25">
        <v>4.55</v>
      </c>
      <c r="AJ27" s="25">
        <v>4.54</v>
      </c>
      <c r="AK27" s="25">
        <v>5.0999999999999996</v>
      </c>
    </row>
    <row r="28" spans="1:37" ht="5.0999999999999996" customHeight="1" x14ac:dyDescent="0.25">
      <c r="A28" s="2"/>
      <c r="B28" s="8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</row>
    <row r="29" spans="1:37" ht="15" x14ac:dyDescent="0.25">
      <c r="A29" s="2"/>
      <c r="B29" s="12" t="s">
        <v>7225</v>
      </c>
      <c r="C29" s="26">
        <v>6.8900000000000003E-2</v>
      </c>
      <c r="D29" s="26">
        <v>6.3899999999999998E-2</v>
      </c>
      <c r="E29" s="26">
        <v>6.3899999999999998E-2</v>
      </c>
      <c r="F29" s="26">
        <v>6.3899999999999998E-2</v>
      </c>
      <c r="G29" s="26">
        <v>6.4000000000000001E-2</v>
      </c>
      <c r="H29" s="26">
        <v>6.4000000000000001E-2</v>
      </c>
      <c r="I29" s="26">
        <v>6.4000000000000001E-2</v>
      </c>
      <c r="J29" s="26">
        <v>5.4000000000000006E-2</v>
      </c>
      <c r="K29" s="26">
        <v>4.4000000000000004E-2</v>
      </c>
      <c r="L29" s="26">
        <v>3.6499999999999998E-2</v>
      </c>
      <c r="M29" s="26">
        <v>2.1499999999999998E-2</v>
      </c>
      <c r="N29" s="26">
        <v>1.9E-2</v>
      </c>
      <c r="O29" s="26">
        <v>1.9E-2</v>
      </c>
      <c r="P29" s="26">
        <v>2.6499999999999999E-2</v>
      </c>
      <c r="Q29" s="26">
        <v>4.1500000000000002E-2</v>
      </c>
      <c r="R29" s="26">
        <v>6.1500000000000006E-2</v>
      </c>
      <c r="S29" s="26">
        <v>9.1499999999999998E-2</v>
      </c>
      <c r="T29" s="26">
        <v>0.11650000000000001</v>
      </c>
      <c r="U29" s="26">
        <v>0.13150000000000001</v>
      </c>
      <c r="V29" s="26">
        <v>0.13650000000000001</v>
      </c>
      <c r="W29" s="26">
        <v>0.13650000000000001</v>
      </c>
      <c r="X29" s="26">
        <v>0.13700000000000001</v>
      </c>
      <c r="Y29" s="26">
        <v>0.13700000000000001</v>
      </c>
      <c r="Z29" s="26">
        <v>0.127</v>
      </c>
      <c r="AA29" s="26">
        <v>0.11700000000000001</v>
      </c>
      <c r="AB29" s="26">
        <v>0.1065</v>
      </c>
      <c r="AC29" s="26">
        <v>0.104</v>
      </c>
      <c r="AD29" s="26">
        <v>0.1065</v>
      </c>
      <c r="AE29" s="26">
        <v>0.122</v>
      </c>
      <c r="AF29" s="26">
        <v>0.14199999999999999</v>
      </c>
      <c r="AG29" s="26">
        <v>0.14199999999999999</v>
      </c>
      <c r="AH29" s="26">
        <v>0.14599999999999999</v>
      </c>
      <c r="AI29" s="26">
        <v>0.14899999999999999</v>
      </c>
      <c r="AJ29" s="26">
        <v>0.14649999999999999</v>
      </c>
      <c r="AK29" s="26">
        <v>0.14774743880518004</v>
      </c>
    </row>
    <row r="30" spans="1:37" ht="15" x14ac:dyDescent="0.25">
      <c r="A30" s="2"/>
      <c r="B30" s="12" t="s">
        <v>7226</v>
      </c>
      <c r="C30" s="26">
        <v>2.7999999999999997E-2</v>
      </c>
      <c r="D30" s="26">
        <v>2.8399999999999998E-2</v>
      </c>
      <c r="E30" s="26">
        <v>2.86E-2</v>
      </c>
      <c r="F30" s="26">
        <v>4.1900000000000007E-2</v>
      </c>
      <c r="G30" s="26">
        <v>4.0500000000000001E-2</v>
      </c>
      <c r="H30" s="26">
        <v>3.8900000000000004E-2</v>
      </c>
      <c r="I30" s="26">
        <v>4.6600000000000003E-2</v>
      </c>
      <c r="J30" s="26">
        <v>3.4300000000000004E-2</v>
      </c>
      <c r="K30" s="26">
        <v>3.27E-2</v>
      </c>
      <c r="L30" s="26">
        <v>4.0099999999999997E-2</v>
      </c>
      <c r="M30" s="26">
        <v>1.8799999999999997E-2</v>
      </c>
      <c r="N30" s="26">
        <v>2.4384647595665498E-2</v>
      </c>
      <c r="O30" s="26">
        <v>4.3112233257791566E-2</v>
      </c>
      <c r="P30" s="26">
        <v>5.1953786425932069E-2</v>
      </c>
      <c r="Q30" s="26">
        <v>8.0560654410588572E-2</v>
      </c>
      <c r="R30" s="26">
        <v>9.6797736240681539E-2</v>
      </c>
      <c r="S30" s="26">
        <v>0.10738499999999999</v>
      </c>
      <c r="T30" s="26">
        <v>0.105436</v>
      </c>
      <c r="U30" s="26">
        <v>0.117311</v>
      </c>
      <c r="V30" s="26">
        <v>8.7300000000000003E-2</v>
      </c>
      <c r="W30" s="26">
        <v>5.79E-2</v>
      </c>
      <c r="X30" s="26">
        <v>4.65E-2</v>
      </c>
      <c r="Y30" s="26">
        <v>3.1600000000000003E-2</v>
      </c>
      <c r="Z30" s="26">
        <v>5.1900000000000002E-2</v>
      </c>
      <c r="AA30" s="26">
        <v>4.6199999999999998E-2</v>
      </c>
      <c r="AB30" s="26">
        <v>3.9300000000000002E-2</v>
      </c>
      <c r="AC30" s="26">
        <v>4.2299999999999997E-2</v>
      </c>
      <c r="AD30" s="26">
        <v>4.4200000000000003E-2</v>
      </c>
      <c r="AE30" s="26">
        <v>4.8300000000000003E-2</v>
      </c>
      <c r="AF30" s="26">
        <v>5.0599999999999999E-2</v>
      </c>
      <c r="AG30" s="26">
        <v>5.0599999999999999E-2</v>
      </c>
      <c r="AH30" s="26">
        <v>4.8899999999999999E-2</v>
      </c>
      <c r="AI30" s="26">
        <v>4.4600000000000001E-2</v>
      </c>
      <c r="AJ30" s="26">
        <v>4.1099999999999998E-2</v>
      </c>
      <c r="AK30" s="26">
        <v>5.165187152200823E-2</v>
      </c>
    </row>
    <row r="31" spans="1:37" ht="15" x14ac:dyDescent="0.25">
      <c r="A31" s="2"/>
      <c r="B31" s="12" t="s">
        <v>7227</v>
      </c>
      <c r="C31" s="27">
        <v>3.2480333333333333</v>
      </c>
      <c r="D31" s="27">
        <v>3.2439666666666667</v>
      </c>
      <c r="E31" s="27">
        <v>3.6088333333333331</v>
      </c>
      <c r="F31" s="27">
        <v>3.956433333333333</v>
      </c>
      <c r="G31" s="27">
        <v>3.8142333333333336</v>
      </c>
      <c r="H31" s="27">
        <v>3.7681333333333336</v>
      </c>
      <c r="I31" s="27">
        <v>3.9183999999999997</v>
      </c>
      <c r="J31" s="27">
        <v>3.9797666666666665</v>
      </c>
      <c r="K31" s="27">
        <v>4.1183000000000005</v>
      </c>
      <c r="L31" s="27">
        <v>4.4665333333333335</v>
      </c>
      <c r="M31" s="27">
        <v>5.3896333333333333</v>
      </c>
      <c r="N31" s="27">
        <v>5.3844333333333338</v>
      </c>
      <c r="O31" s="27">
        <v>5.4013</v>
      </c>
      <c r="P31" s="27">
        <v>5.4738000000000007</v>
      </c>
      <c r="Q31" s="27">
        <v>5.2923</v>
      </c>
      <c r="R31" s="27">
        <v>5.2330666666666668</v>
      </c>
      <c r="S31" s="27">
        <v>5.5804999999999998</v>
      </c>
      <c r="T31" s="27">
        <v>4.7378</v>
      </c>
      <c r="U31" s="27">
        <v>5.2380000000000004</v>
      </c>
      <c r="V31" s="27">
        <v>5.4066000000000001</v>
      </c>
      <c r="W31" s="27">
        <v>5.2176999999999998</v>
      </c>
      <c r="X31" s="27">
        <v>5.0804</v>
      </c>
      <c r="Y31" s="27">
        <v>4.8192000000000004</v>
      </c>
      <c r="Z31" s="27">
        <v>5.0076000000000001</v>
      </c>
      <c r="AA31" s="27">
        <v>4.8413000000000004</v>
      </c>
      <c r="AB31" s="27">
        <v>4.9962</v>
      </c>
      <c r="AC31" s="27">
        <v>5.5589000000000004</v>
      </c>
      <c r="AD31" s="27">
        <v>5.4481000000000002</v>
      </c>
      <c r="AE31" s="27">
        <v>6.1923000000000004</v>
      </c>
      <c r="AF31" s="27">
        <v>5.7370000000000001</v>
      </c>
      <c r="AG31" s="27">
        <v>6.7370000000000001</v>
      </c>
      <c r="AH31" s="27">
        <v>6.2779999999999996</v>
      </c>
      <c r="AI31" s="27">
        <v>5.5023999999999997</v>
      </c>
      <c r="AJ31" s="27">
        <v>5.2194000000000003</v>
      </c>
      <c r="AK31" s="27">
        <v>5.1765999999999996</v>
      </c>
    </row>
    <row r="32" spans="1:37" ht="5.0999999999999996" customHeight="1" x14ac:dyDescent="0.25">
      <c r="A32" s="2"/>
      <c r="B32" s="8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</row>
    <row r="33" spans="1:37" ht="14.45" customHeight="1" x14ac:dyDescent="0.25">
      <c r="B33" s="28" t="s">
        <v>7228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9"/>
      <c r="AH33" s="2"/>
      <c r="AI33" s="2"/>
      <c r="AJ33" s="2"/>
      <c r="AK33" s="2"/>
    </row>
    <row r="34" spans="1:37" ht="5.0999999999999996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</row>
  </sheetData>
  <pageMargins left="0.511811024" right="0.511811024" top="0.78740157499999996" bottom="0.78740157499999996" header="0.31496062000000002" footer="0.31496062000000002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5BB39-200A-46EF-B318-31438B011513}">
  <dimension ref="A1:A4879"/>
  <sheetViews>
    <sheetView workbookViewId="0"/>
  </sheetViews>
  <sheetFormatPr defaultRowHeight="15" x14ac:dyDescent="0.25"/>
  <sheetData>
    <row r="1" spans="1:1" x14ac:dyDescent="0.25">
      <c r="A1" t="s">
        <v>4</v>
      </c>
    </row>
    <row r="2" spans="1:1" x14ac:dyDescent="0.25">
      <c r="A2" t="s">
        <v>2176</v>
      </c>
    </row>
    <row r="3" spans="1:1" x14ac:dyDescent="0.25">
      <c r="A3" t="s">
        <v>2177</v>
      </c>
    </row>
    <row r="4" spans="1:1" x14ac:dyDescent="0.25">
      <c r="A4" t="s">
        <v>2178</v>
      </c>
    </row>
    <row r="5" spans="1:1" x14ac:dyDescent="0.25">
      <c r="A5" t="s">
        <v>2179</v>
      </c>
    </row>
    <row r="6" spans="1:1" x14ac:dyDescent="0.25">
      <c r="A6" t="s">
        <v>2180</v>
      </c>
    </row>
    <row r="7" spans="1:1" x14ac:dyDescent="0.25">
      <c r="A7" t="s">
        <v>2181</v>
      </c>
    </row>
    <row r="8" spans="1:1" x14ac:dyDescent="0.25">
      <c r="A8" t="s">
        <v>2182</v>
      </c>
    </row>
    <row r="9" spans="1:1" x14ac:dyDescent="0.25">
      <c r="A9" t="s">
        <v>2183</v>
      </c>
    </row>
    <row r="10" spans="1:1" x14ac:dyDescent="0.25">
      <c r="A10" t="s">
        <v>2184</v>
      </c>
    </row>
    <row r="11" spans="1:1" x14ac:dyDescent="0.25">
      <c r="A11" t="s">
        <v>2185</v>
      </c>
    </row>
    <row r="12" spans="1:1" x14ac:dyDescent="0.25">
      <c r="A12" t="s">
        <v>2186</v>
      </c>
    </row>
    <row r="13" spans="1:1" x14ac:dyDescent="0.25">
      <c r="A13" t="s">
        <v>2187</v>
      </c>
    </row>
    <row r="14" spans="1:1" x14ac:dyDescent="0.25">
      <c r="A14" t="s">
        <v>2188</v>
      </c>
    </row>
    <row r="15" spans="1:1" x14ac:dyDescent="0.25">
      <c r="A15" t="s">
        <v>2189</v>
      </c>
    </row>
    <row r="16" spans="1:1" x14ac:dyDescent="0.25">
      <c r="A16" t="s">
        <v>2190</v>
      </c>
    </row>
    <row r="17" spans="1:1" x14ac:dyDescent="0.25">
      <c r="A17" t="s">
        <v>2191</v>
      </c>
    </row>
    <row r="18" spans="1:1" x14ac:dyDescent="0.25">
      <c r="A18" t="s">
        <v>2192</v>
      </c>
    </row>
    <row r="19" spans="1:1" x14ac:dyDescent="0.25">
      <c r="A19" t="s">
        <v>2193</v>
      </c>
    </row>
    <row r="20" spans="1:1" x14ac:dyDescent="0.25">
      <c r="A20" t="s">
        <v>2194</v>
      </c>
    </row>
    <row r="21" spans="1:1" x14ac:dyDescent="0.25">
      <c r="A21" t="s">
        <v>2195</v>
      </c>
    </row>
    <row r="22" spans="1:1" x14ac:dyDescent="0.25">
      <c r="A22" t="s">
        <v>2196</v>
      </c>
    </row>
    <row r="23" spans="1:1" x14ac:dyDescent="0.25">
      <c r="A23" t="s">
        <v>2197</v>
      </c>
    </row>
    <row r="24" spans="1:1" x14ac:dyDescent="0.25">
      <c r="A24" t="s">
        <v>2198</v>
      </c>
    </row>
    <row r="25" spans="1:1" x14ac:dyDescent="0.25">
      <c r="A25" t="s">
        <v>2199</v>
      </c>
    </row>
    <row r="26" spans="1:1" x14ac:dyDescent="0.25">
      <c r="A26" t="s">
        <v>2200</v>
      </c>
    </row>
    <row r="27" spans="1:1" x14ac:dyDescent="0.25">
      <c r="A27" t="s">
        <v>2201</v>
      </c>
    </row>
    <row r="28" spans="1:1" x14ac:dyDescent="0.25">
      <c r="A28" t="s">
        <v>2202</v>
      </c>
    </row>
    <row r="29" spans="1:1" x14ac:dyDescent="0.25">
      <c r="A29" t="s">
        <v>2203</v>
      </c>
    </row>
    <row r="30" spans="1:1" x14ac:dyDescent="0.25">
      <c r="A30" t="s">
        <v>2204</v>
      </c>
    </row>
    <row r="31" spans="1:1" x14ac:dyDescent="0.25">
      <c r="A31" t="s">
        <v>2205</v>
      </c>
    </row>
    <row r="32" spans="1:1" x14ac:dyDescent="0.25">
      <c r="A32" t="s">
        <v>2206</v>
      </c>
    </row>
    <row r="33" spans="1:1" x14ac:dyDescent="0.25">
      <c r="A33" t="s">
        <v>2207</v>
      </c>
    </row>
    <row r="34" spans="1:1" x14ac:dyDescent="0.25">
      <c r="A34" t="s">
        <v>2208</v>
      </c>
    </row>
    <row r="35" spans="1:1" x14ac:dyDescent="0.25">
      <c r="A35" t="s">
        <v>2209</v>
      </c>
    </row>
    <row r="36" spans="1:1" x14ac:dyDescent="0.25">
      <c r="A36" t="s">
        <v>2210</v>
      </c>
    </row>
    <row r="37" spans="1:1" x14ac:dyDescent="0.25">
      <c r="A37" t="s">
        <v>2211</v>
      </c>
    </row>
    <row r="38" spans="1:1" x14ac:dyDescent="0.25">
      <c r="A38" t="s">
        <v>2212</v>
      </c>
    </row>
    <row r="39" spans="1:1" x14ac:dyDescent="0.25">
      <c r="A39" t="s">
        <v>2213</v>
      </c>
    </row>
    <row r="40" spans="1:1" x14ac:dyDescent="0.25">
      <c r="A40" t="s">
        <v>2214</v>
      </c>
    </row>
    <row r="41" spans="1:1" x14ac:dyDescent="0.25">
      <c r="A41" t="s">
        <v>2215</v>
      </c>
    </row>
    <row r="42" spans="1:1" x14ac:dyDescent="0.25">
      <c r="A42" t="s">
        <v>2216</v>
      </c>
    </row>
    <row r="43" spans="1:1" x14ac:dyDescent="0.25">
      <c r="A43" t="s">
        <v>2217</v>
      </c>
    </row>
    <row r="44" spans="1:1" x14ac:dyDescent="0.25">
      <c r="A44" t="s">
        <v>2218</v>
      </c>
    </row>
    <row r="45" spans="1:1" x14ac:dyDescent="0.25">
      <c r="A45" t="s">
        <v>2219</v>
      </c>
    </row>
    <row r="46" spans="1:1" x14ac:dyDescent="0.25">
      <c r="A46" t="s">
        <v>2220</v>
      </c>
    </row>
    <row r="47" spans="1:1" x14ac:dyDescent="0.25">
      <c r="A47" t="s">
        <v>2221</v>
      </c>
    </row>
    <row r="48" spans="1:1" x14ac:dyDescent="0.25">
      <c r="A48" t="s">
        <v>2222</v>
      </c>
    </row>
    <row r="49" spans="1:1" x14ac:dyDescent="0.25">
      <c r="A49" t="s">
        <v>2223</v>
      </c>
    </row>
    <row r="50" spans="1:1" x14ac:dyDescent="0.25">
      <c r="A50" t="s">
        <v>2224</v>
      </c>
    </row>
    <row r="51" spans="1:1" x14ac:dyDescent="0.25">
      <c r="A51" t="s">
        <v>2225</v>
      </c>
    </row>
    <row r="52" spans="1:1" x14ac:dyDescent="0.25">
      <c r="A52" t="s">
        <v>2226</v>
      </c>
    </row>
    <row r="53" spans="1:1" x14ac:dyDescent="0.25">
      <c r="A53" t="s">
        <v>2227</v>
      </c>
    </row>
    <row r="54" spans="1:1" x14ac:dyDescent="0.25">
      <c r="A54" t="s">
        <v>2228</v>
      </c>
    </row>
    <row r="55" spans="1:1" x14ac:dyDescent="0.25">
      <c r="A55" t="s">
        <v>2229</v>
      </c>
    </row>
    <row r="56" spans="1:1" x14ac:dyDescent="0.25">
      <c r="A56" t="s">
        <v>2230</v>
      </c>
    </row>
    <row r="57" spans="1:1" x14ac:dyDescent="0.25">
      <c r="A57" t="s">
        <v>2231</v>
      </c>
    </row>
    <row r="58" spans="1:1" x14ac:dyDescent="0.25">
      <c r="A58" t="s">
        <v>2232</v>
      </c>
    </row>
    <row r="59" spans="1:1" x14ac:dyDescent="0.25">
      <c r="A59" t="s">
        <v>2233</v>
      </c>
    </row>
    <row r="60" spans="1:1" x14ac:dyDescent="0.25">
      <c r="A60" t="s">
        <v>2234</v>
      </c>
    </row>
    <row r="61" spans="1:1" x14ac:dyDescent="0.25">
      <c r="A61" t="s">
        <v>2235</v>
      </c>
    </row>
    <row r="62" spans="1:1" x14ac:dyDescent="0.25">
      <c r="A62" t="s">
        <v>2236</v>
      </c>
    </row>
    <row r="63" spans="1:1" x14ac:dyDescent="0.25">
      <c r="A63" t="s">
        <v>2237</v>
      </c>
    </row>
    <row r="64" spans="1:1" x14ac:dyDescent="0.25">
      <c r="A64" t="s">
        <v>2238</v>
      </c>
    </row>
    <row r="65" spans="1:1" x14ac:dyDescent="0.25">
      <c r="A65" t="s">
        <v>2239</v>
      </c>
    </row>
    <row r="66" spans="1:1" x14ac:dyDescent="0.25">
      <c r="A66" t="s">
        <v>2240</v>
      </c>
    </row>
    <row r="67" spans="1:1" x14ac:dyDescent="0.25">
      <c r="A67" t="s">
        <v>2241</v>
      </c>
    </row>
    <row r="68" spans="1:1" x14ac:dyDescent="0.25">
      <c r="A68" t="s">
        <v>2242</v>
      </c>
    </row>
    <row r="69" spans="1:1" x14ac:dyDescent="0.25">
      <c r="A69" t="s">
        <v>2243</v>
      </c>
    </row>
    <row r="70" spans="1:1" x14ac:dyDescent="0.25">
      <c r="A70" t="s">
        <v>2244</v>
      </c>
    </row>
    <row r="71" spans="1:1" x14ac:dyDescent="0.25">
      <c r="A71" t="s">
        <v>2245</v>
      </c>
    </row>
    <row r="72" spans="1:1" x14ac:dyDescent="0.25">
      <c r="A72" t="s">
        <v>2246</v>
      </c>
    </row>
    <row r="73" spans="1:1" x14ac:dyDescent="0.25">
      <c r="A73" t="s">
        <v>2247</v>
      </c>
    </row>
    <row r="74" spans="1:1" x14ac:dyDescent="0.25">
      <c r="A74" t="s">
        <v>2248</v>
      </c>
    </row>
    <row r="75" spans="1:1" x14ac:dyDescent="0.25">
      <c r="A75" t="s">
        <v>2249</v>
      </c>
    </row>
    <row r="76" spans="1:1" x14ac:dyDescent="0.25">
      <c r="A76" t="s">
        <v>2250</v>
      </c>
    </row>
    <row r="77" spans="1:1" x14ac:dyDescent="0.25">
      <c r="A77" t="s">
        <v>2251</v>
      </c>
    </row>
    <row r="78" spans="1:1" x14ac:dyDescent="0.25">
      <c r="A78" t="s">
        <v>2252</v>
      </c>
    </row>
    <row r="79" spans="1:1" x14ac:dyDescent="0.25">
      <c r="A79" t="s">
        <v>2253</v>
      </c>
    </row>
    <row r="80" spans="1:1" x14ac:dyDescent="0.25">
      <c r="A80" t="s">
        <v>2254</v>
      </c>
    </row>
    <row r="81" spans="1:1" x14ac:dyDescent="0.25">
      <c r="A81" t="s">
        <v>2255</v>
      </c>
    </row>
    <row r="82" spans="1:1" x14ac:dyDescent="0.25">
      <c r="A82" t="s">
        <v>2256</v>
      </c>
    </row>
    <row r="83" spans="1:1" x14ac:dyDescent="0.25">
      <c r="A83" t="s">
        <v>2257</v>
      </c>
    </row>
    <row r="84" spans="1:1" x14ac:dyDescent="0.25">
      <c r="A84" t="s">
        <v>2258</v>
      </c>
    </row>
    <row r="85" spans="1:1" x14ac:dyDescent="0.25">
      <c r="A85" t="s">
        <v>2259</v>
      </c>
    </row>
    <row r="86" spans="1:1" x14ac:dyDescent="0.25">
      <c r="A86" t="s">
        <v>2260</v>
      </c>
    </row>
    <row r="87" spans="1:1" x14ac:dyDescent="0.25">
      <c r="A87" t="s">
        <v>2261</v>
      </c>
    </row>
    <row r="88" spans="1:1" x14ac:dyDescent="0.25">
      <c r="A88" t="s">
        <v>2262</v>
      </c>
    </row>
    <row r="89" spans="1:1" x14ac:dyDescent="0.25">
      <c r="A89" t="s">
        <v>2263</v>
      </c>
    </row>
    <row r="90" spans="1:1" x14ac:dyDescent="0.25">
      <c r="A90" t="s">
        <v>2264</v>
      </c>
    </row>
    <row r="91" spans="1:1" x14ac:dyDescent="0.25">
      <c r="A91" t="s">
        <v>2265</v>
      </c>
    </row>
    <row r="92" spans="1:1" x14ac:dyDescent="0.25">
      <c r="A92" t="s">
        <v>2266</v>
      </c>
    </row>
    <row r="93" spans="1:1" x14ac:dyDescent="0.25">
      <c r="A93" t="s">
        <v>2267</v>
      </c>
    </row>
    <row r="94" spans="1:1" x14ac:dyDescent="0.25">
      <c r="A94" t="s">
        <v>2268</v>
      </c>
    </row>
    <row r="95" spans="1:1" x14ac:dyDescent="0.25">
      <c r="A95" t="s">
        <v>2269</v>
      </c>
    </row>
    <row r="96" spans="1:1" x14ac:dyDescent="0.25">
      <c r="A96" t="s">
        <v>2270</v>
      </c>
    </row>
    <row r="97" spans="1:1" x14ac:dyDescent="0.25">
      <c r="A97" t="s">
        <v>2271</v>
      </c>
    </row>
    <row r="98" spans="1:1" x14ac:dyDescent="0.25">
      <c r="A98" t="s">
        <v>2272</v>
      </c>
    </row>
    <row r="99" spans="1:1" x14ac:dyDescent="0.25">
      <c r="A99" t="s">
        <v>2273</v>
      </c>
    </row>
    <row r="100" spans="1:1" x14ac:dyDescent="0.25">
      <c r="A100" t="s">
        <v>2274</v>
      </c>
    </row>
    <row r="101" spans="1:1" x14ac:dyDescent="0.25">
      <c r="A101" t="s">
        <v>2275</v>
      </c>
    </row>
    <row r="102" spans="1:1" x14ac:dyDescent="0.25">
      <c r="A102" t="s">
        <v>2276</v>
      </c>
    </row>
    <row r="103" spans="1:1" x14ac:dyDescent="0.25">
      <c r="A103" t="s">
        <v>2277</v>
      </c>
    </row>
    <row r="104" spans="1:1" x14ac:dyDescent="0.25">
      <c r="A104" t="s">
        <v>2278</v>
      </c>
    </row>
    <row r="105" spans="1:1" x14ac:dyDescent="0.25">
      <c r="A105" t="s">
        <v>2279</v>
      </c>
    </row>
    <row r="106" spans="1:1" x14ac:dyDescent="0.25">
      <c r="A106" t="s">
        <v>2280</v>
      </c>
    </row>
    <row r="107" spans="1:1" x14ac:dyDescent="0.25">
      <c r="A107" t="s">
        <v>2281</v>
      </c>
    </row>
    <row r="108" spans="1:1" x14ac:dyDescent="0.25">
      <c r="A108" t="s">
        <v>2282</v>
      </c>
    </row>
    <row r="109" spans="1:1" x14ac:dyDescent="0.25">
      <c r="A109" t="s">
        <v>2283</v>
      </c>
    </row>
    <row r="110" spans="1:1" x14ac:dyDescent="0.25">
      <c r="A110" t="s">
        <v>2284</v>
      </c>
    </row>
    <row r="111" spans="1:1" x14ac:dyDescent="0.25">
      <c r="A111" t="s">
        <v>2285</v>
      </c>
    </row>
    <row r="112" spans="1:1" x14ac:dyDescent="0.25">
      <c r="A112" t="s">
        <v>2286</v>
      </c>
    </row>
    <row r="113" spans="1:1" x14ac:dyDescent="0.25">
      <c r="A113" t="s">
        <v>2287</v>
      </c>
    </row>
    <row r="114" spans="1:1" x14ac:dyDescent="0.25">
      <c r="A114" t="s">
        <v>2288</v>
      </c>
    </row>
    <row r="115" spans="1:1" x14ac:dyDescent="0.25">
      <c r="A115" t="s">
        <v>2289</v>
      </c>
    </row>
    <row r="116" spans="1:1" x14ac:dyDescent="0.25">
      <c r="A116" t="s">
        <v>2290</v>
      </c>
    </row>
    <row r="117" spans="1:1" x14ac:dyDescent="0.25">
      <c r="A117" t="s">
        <v>2291</v>
      </c>
    </row>
    <row r="118" spans="1:1" x14ac:dyDescent="0.25">
      <c r="A118" t="s">
        <v>2292</v>
      </c>
    </row>
    <row r="119" spans="1:1" x14ac:dyDescent="0.25">
      <c r="A119" t="s">
        <v>2293</v>
      </c>
    </row>
    <row r="120" spans="1:1" x14ac:dyDescent="0.25">
      <c r="A120" t="s">
        <v>2294</v>
      </c>
    </row>
    <row r="121" spans="1:1" x14ac:dyDescent="0.25">
      <c r="A121" t="s">
        <v>2295</v>
      </c>
    </row>
    <row r="122" spans="1:1" x14ac:dyDescent="0.25">
      <c r="A122" t="s">
        <v>2296</v>
      </c>
    </row>
    <row r="123" spans="1:1" x14ac:dyDescent="0.25">
      <c r="A123" t="s">
        <v>2297</v>
      </c>
    </row>
    <row r="124" spans="1:1" x14ac:dyDescent="0.25">
      <c r="A124" t="s">
        <v>2298</v>
      </c>
    </row>
    <row r="125" spans="1:1" x14ac:dyDescent="0.25">
      <c r="A125" t="s">
        <v>2299</v>
      </c>
    </row>
    <row r="126" spans="1:1" x14ac:dyDescent="0.25">
      <c r="A126" t="s">
        <v>2300</v>
      </c>
    </row>
    <row r="127" spans="1:1" x14ac:dyDescent="0.25">
      <c r="A127" t="s">
        <v>2301</v>
      </c>
    </row>
    <row r="128" spans="1:1" x14ac:dyDescent="0.25">
      <c r="A128" t="s">
        <v>2302</v>
      </c>
    </row>
    <row r="129" spans="1:1" x14ac:dyDescent="0.25">
      <c r="A129" t="s">
        <v>2303</v>
      </c>
    </row>
    <row r="130" spans="1:1" x14ac:dyDescent="0.25">
      <c r="A130" t="s">
        <v>2304</v>
      </c>
    </row>
    <row r="131" spans="1:1" x14ac:dyDescent="0.25">
      <c r="A131" t="s">
        <v>2305</v>
      </c>
    </row>
    <row r="132" spans="1:1" x14ac:dyDescent="0.25">
      <c r="A132" t="s">
        <v>2306</v>
      </c>
    </row>
    <row r="133" spans="1:1" x14ac:dyDescent="0.25">
      <c r="A133" t="s">
        <v>2307</v>
      </c>
    </row>
    <row r="134" spans="1:1" x14ac:dyDescent="0.25">
      <c r="A134" t="s">
        <v>2308</v>
      </c>
    </row>
    <row r="135" spans="1:1" x14ac:dyDescent="0.25">
      <c r="A135" t="s">
        <v>2309</v>
      </c>
    </row>
    <row r="136" spans="1:1" x14ac:dyDescent="0.25">
      <c r="A136" t="s">
        <v>2310</v>
      </c>
    </row>
    <row r="137" spans="1:1" x14ac:dyDescent="0.25">
      <c r="A137" t="s">
        <v>2311</v>
      </c>
    </row>
    <row r="138" spans="1:1" x14ac:dyDescent="0.25">
      <c r="A138" t="s">
        <v>2312</v>
      </c>
    </row>
    <row r="139" spans="1:1" x14ac:dyDescent="0.25">
      <c r="A139" t="s">
        <v>2313</v>
      </c>
    </row>
    <row r="140" spans="1:1" x14ac:dyDescent="0.25">
      <c r="A140" t="s">
        <v>2314</v>
      </c>
    </row>
    <row r="141" spans="1:1" x14ac:dyDescent="0.25">
      <c r="A141" t="s">
        <v>2315</v>
      </c>
    </row>
    <row r="142" spans="1:1" x14ac:dyDescent="0.25">
      <c r="A142" t="s">
        <v>2316</v>
      </c>
    </row>
    <row r="143" spans="1:1" x14ac:dyDescent="0.25">
      <c r="A143" t="s">
        <v>2317</v>
      </c>
    </row>
    <row r="144" spans="1:1" x14ac:dyDescent="0.25">
      <c r="A144" t="s">
        <v>2318</v>
      </c>
    </row>
    <row r="145" spans="1:1" x14ac:dyDescent="0.25">
      <c r="A145" t="s">
        <v>2319</v>
      </c>
    </row>
    <row r="146" spans="1:1" x14ac:dyDescent="0.25">
      <c r="A146" t="s">
        <v>2320</v>
      </c>
    </row>
    <row r="147" spans="1:1" x14ac:dyDescent="0.25">
      <c r="A147" t="s">
        <v>2321</v>
      </c>
    </row>
    <row r="148" spans="1:1" x14ac:dyDescent="0.25">
      <c r="A148" t="s">
        <v>2322</v>
      </c>
    </row>
    <row r="149" spans="1:1" x14ac:dyDescent="0.25">
      <c r="A149" t="s">
        <v>2323</v>
      </c>
    </row>
    <row r="150" spans="1:1" x14ac:dyDescent="0.25">
      <c r="A150" t="s">
        <v>2324</v>
      </c>
    </row>
    <row r="151" spans="1:1" x14ac:dyDescent="0.25">
      <c r="A151" t="s">
        <v>2325</v>
      </c>
    </row>
    <row r="152" spans="1:1" x14ac:dyDescent="0.25">
      <c r="A152" t="s">
        <v>2326</v>
      </c>
    </row>
    <row r="153" spans="1:1" x14ac:dyDescent="0.25">
      <c r="A153" t="s">
        <v>2327</v>
      </c>
    </row>
    <row r="154" spans="1:1" x14ac:dyDescent="0.25">
      <c r="A154" t="s">
        <v>2328</v>
      </c>
    </row>
    <row r="155" spans="1:1" x14ac:dyDescent="0.25">
      <c r="A155" t="s">
        <v>2329</v>
      </c>
    </row>
    <row r="156" spans="1:1" x14ac:dyDescent="0.25">
      <c r="A156" t="s">
        <v>2330</v>
      </c>
    </row>
    <row r="157" spans="1:1" x14ac:dyDescent="0.25">
      <c r="A157" t="s">
        <v>2331</v>
      </c>
    </row>
    <row r="158" spans="1:1" x14ac:dyDescent="0.25">
      <c r="A158" t="s">
        <v>2332</v>
      </c>
    </row>
    <row r="159" spans="1:1" x14ac:dyDescent="0.25">
      <c r="A159" t="s">
        <v>2333</v>
      </c>
    </row>
    <row r="160" spans="1:1" x14ac:dyDescent="0.25">
      <c r="A160" t="s">
        <v>2334</v>
      </c>
    </row>
    <row r="161" spans="1:1" x14ac:dyDescent="0.25">
      <c r="A161" t="s">
        <v>2335</v>
      </c>
    </row>
    <row r="162" spans="1:1" x14ac:dyDescent="0.25">
      <c r="A162" t="s">
        <v>2336</v>
      </c>
    </row>
    <row r="163" spans="1:1" x14ac:dyDescent="0.25">
      <c r="A163" t="s">
        <v>2337</v>
      </c>
    </row>
    <row r="164" spans="1:1" x14ac:dyDescent="0.25">
      <c r="A164" t="s">
        <v>2338</v>
      </c>
    </row>
    <row r="165" spans="1:1" x14ac:dyDescent="0.25">
      <c r="A165" t="s">
        <v>2339</v>
      </c>
    </row>
    <row r="166" spans="1:1" x14ac:dyDescent="0.25">
      <c r="A166" t="s">
        <v>2340</v>
      </c>
    </row>
    <row r="167" spans="1:1" x14ac:dyDescent="0.25">
      <c r="A167" t="s">
        <v>2341</v>
      </c>
    </row>
    <row r="168" spans="1:1" x14ac:dyDescent="0.25">
      <c r="A168" t="s">
        <v>2342</v>
      </c>
    </row>
    <row r="169" spans="1:1" x14ac:dyDescent="0.25">
      <c r="A169" t="s">
        <v>2343</v>
      </c>
    </row>
    <row r="170" spans="1:1" x14ac:dyDescent="0.25">
      <c r="A170" t="s">
        <v>2344</v>
      </c>
    </row>
    <row r="171" spans="1:1" x14ac:dyDescent="0.25">
      <c r="A171" t="s">
        <v>2345</v>
      </c>
    </row>
    <row r="172" spans="1:1" x14ac:dyDescent="0.25">
      <c r="A172" t="s">
        <v>2346</v>
      </c>
    </row>
    <row r="173" spans="1:1" x14ac:dyDescent="0.25">
      <c r="A173" t="s">
        <v>2347</v>
      </c>
    </row>
    <row r="174" spans="1:1" x14ac:dyDescent="0.25">
      <c r="A174" t="s">
        <v>2348</v>
      </c>
    </row>
    <row r="175" spans="1:1" x14ac:dyDescent="0.25">
      <c r="A175" t="s">
        <v>2349</v>
      </c>
    </row>
    <row r="176" spans="1:1" x14ac:dyDescent="0.25">
      <c r="A176" t="s">
        <v>2350</v>
      </c>
    </row>
    <row r="177" spans="1:1" x14ac:dyDescent="0.25">
      <c r="A177" t="s">
        <v>2351</v>
      </c>
    </row>
    <row r="178" spans="1:1" x14ac:dyDescent="0.25">
      <c r="A178" t="s">
        <v>2352</v>
      </c>
    </row>
    <row r="179" spans="1:1" x14ac:dyDescent="0.25">
      <c r="A179" t="s">
        <v>2353</v>
      </c>
    </row>
    <row r="180" spans="1:1" x14ac:dyDescent="0.25">
      <c r="A180" t="s">
        <v>2354</v>
      </c>
    </row>
    <row r="181" spans="1:1" x14ac:dyDescent="0.25">
      <c r="A181" t="s">
        <v>2355</v>
      </c>
    </row>
    <row r="182" spans="1:1" x14ac:dyDescent="0.25">
      <c r="A182" t="s">
        <v>2356</v>
      </c>
    </row>
    <row r="183" spans="1:1" x14ac:dyDescent="0.25">
      <c r="A183" t="s">
        <v>2357</v>
      </c>
    </row>
    <row r="184" spans="1:1" x14ac:dyDescent="0.25">
      <c r="A184" t="s">
        <v>2358</v>
      </c>
    </row>
    <row r="185" spans="1:1" x14ac:dyDescent="0.25">
      <c r="A185" t="s">
        <v>2359</v>
      </c>
    </row>
    <row r="186" spans="1:1" x14ac:dyDescent="0.25">
      <c r="A186" t="s">
        <v>2360</v>
      </c>
    </row>
    <row r="187" spans="1:1" x14ac:dyDescent="0.25">
      <c r="A187" t="s">
        <v>2361</v>
      </c>
    </row>
    <row r="188" spans="1:1" x14ac:dyDescent="0.25">
      <c r="A188" t="s">
        <v>2362</v>
      </c>
    </row>
    <row r="189" spans="1:1" x14ac:dyDescent="0.25">
      <c r="A189" t="s">
        <v>2363</v>
      </c>
    </row>
    <row r="190" spans="1:1" x14ac:dyDescent="0.25">
      <c r="A190" t="s">
        <v>2364</v>
      </c>
    </row>
    <row r="191" spans="1:1" x14ac:dyDescent="0.25">
      <c r="A191" t="s">
        <v>2365</v>
      </c>
    </row>
    <row r="192" spans="1:1" x14ac:dyDescent="0.25">
      <c r="A192" t="s">
        <v>2366</v>
      </c>
    </row>
    <row r="193" spans="1:1" x14ac:dyDescent="0.25">
      <c r="A193" t="s">
        <v>2367</v>
      </c>
    </row>
    <row r="194" spans="1:1" x14ac:dyDescent="0.25">
      <c r="A194" t="s">
        <v>2368</v>
      </c>
    </row>
    <row r="195" spans="1:1" x14ac:dyDescent="0.25">
      <c r="A195" t="s">
        <v>2369</v>
      </c>
    </row>
    <row r="196" spans="1:1" x14ac:dyDescent="0.25">
      <c r="A196" t="s">
        <v>2370</v>
      </c>
    </row>
    <row r="197" spans="1:1" x14ac:dyDescent="0.25">
      <c r="A197" t="s">
        <v>2371</v>
      </c>
    </row>
    <row r="198" spans="1:1" x14ac:dyDescent="0.25">
      <c r="A198" t="s">
        <v>2372</v>
      </c>
    </row>
    <row r="199" spans="1:1" x14ac:dyDescent="0.25">
      <c r="A199" t="s">
        <v>2373</v>
      </c>
    </row>
    <row r="200" spans="1:1" x14ac:dyDescent="0.25">
      <c r="A200" t="s">
        <v>2374</v>
      </c>
    </row>
    <row r="201" spans="1:1" x14ac:dyDescent="0.25">
      <c r="A201" t="s">
        <v>2375</v>
      </c>
    </row>
    <row r="202" spans="1:1" x14ac:dyDescent="0.25">
      <c r="A202" t="s">
        <v>2376</v>
      </c>
    </row>
    <row r="203" spans="1:1" x14ac:dyDescent="0.25">
      <c r="A203" t="s">
        <v>2377</v>
      </c>
    </row>
    <row r="204" spans="1:1" x14ac:dyDescent="0.25">
      <c r="A204" t="s">
        <v>2378</v>
      </c>
    </row>
    <row r="205" spans="1:1" x14ac:dyDescent="0.25">
      <c r="A205" t="s">
        <v>2379</v>
      </c>
    </row>
    <row r="206" spans="1:1" x14ac:dyDescent="0.25">
      <c r="A206" t="s">
        <v>2380</v>
      </c>
    </row>
    <row r="207" spans="1:1" x14ac:dyDescent="0.25">
      <c r="A207" t="s">
        <v>2381</v>
      </c>
    </row>
    <row r="208" spans="1:1" x14ac:dyDescent="0.25">
      <c r="A208" t="s">
        <v>2382</v>
      </c>
    </row>
    <row r="209" spans="1:1" x14ac:dyDescent="0.25">
      <c r="A209" t="s">
        <v>2383</v>
      </c>
    </row>
    <row r="210" spans="1:1" x14ac:dyDescent="0.25">
      <c r="A210" t="s">
        <v>2384</v>
      </c>
    </row>
    <row r="211" spans="1:1" x14ac:dyDescent="0.25">
      <c r="A211" t="s">
        <v>2385</v>
      </c>
    </row>
    <row r="212" spans="1:1" x14ac:dyDescent="0.25">
      <c r="A212" t="s">
        <v>2386</v>
      </c>
    </row>
    <row r="213" spans="1:1" x14ac:dyDescent="0.25">
      <c r="A213" t="s">
        <v>2387</v>
      </c>
    </row>
    <row r="214" spans="1:1" x14ac:dyDescent="0.25">
      <c r="A214" t="s">
        <v>2388</v>
      </c>
    </row>
    <row r="215" spans="1:1" x14ac:dyDescent="0.25">
      <c r="A215" t="s">
        <v>2389</v>
      </c>
    </row>
    <row r="216" spans="1:1" x14ac:dyDescent="0.25">
      <c r="A216" t="s">
        <v>2390</v>
      </c>
    </row>
    <row r="217" spans="1:1" x14ac:dyDescent="0.25">
      <c r="A217" t="s">
        <v>2391</v>
      </c>
    </row>
    <row r="218" spans="1:1" x14ac:dyDescent="0.25">
      <c r="A218" t="s">
        <v>2392</v>
      </c>
    </row>
    <row r="219" spans="1:1" x14ac:dyDescent="0.25">
      <c r="A219" t="s">
        <v>2393</v>
      </c>
    </row>
    <row r="220" spans="1:1" x14ac:dyDescent="0.25">
      <c r="A220" t="s">
        <v>2394</v>
      </c>
    </row>
    <row r="221" spans="1:1" x14ac:dyDescent="0.25">
      <c r="A221" t="s">
        <v>2395</v>
      </c>
    </row>
    <row r="222" spans="1:1" x14ac:dyDescent="0.25">
      <c r="A222" t="s">
        <v>2396</v>
      </c>
    </row>
    <row r="223" spans="1:1" x14ac:dyDescent="0.25">
      <c r="A223" t="s">
        <v>2397</v>
      </c>
    </row>
    <row r="224" spans="1:1" x14ac:dyDescent="0.25">
      <c r="A224" t="s">
        <v>2398</v>
      </c>
    </row>
    <row r="225" spans="1:1" x14ac:dyDescent="0.25">
      <c r="A225" t="s">
        <v>2399</v>
      </c>
    </row>
    <row r="226" spans="1:1" x14ac:dyDescent="0.25">
      <c r="A226" t="s">
        <v>2400</v>
      </c>
    </row>
    <row r="227" spans="1:1" x14ac:dyDescent="0.25">
      <c r="A227" t="s">
        <v>2401</v>
      </c>
    </row>
    <row r="228" spans="1:1" x14ac:dyDescent="0.25">
      <c r="A228" t="s">
        <v>2402</v>
      </c>
    </row>
    <row r="229" spans="1:1" x14ac:dyDescent="0.25">
      <c r="A229" t="s">
        <v>2403</v>
      </c>
    </row>
    <row r="230" spans="1:1" x14ac:dyDescent="0.25">
      <c r="A230" t="s">
        <v>2404</v>
      </c>
    </row>
    <row r="231" spans="1:1" x14ac:dyDescent="0.25">
      <c r="A231" t="s">
        <v>2405</v>
      </c>
    </row>
    <row r="232" spans="1:1" x14ac:dyDescent="0.25">
      <c r="A232" t="s">
        <v>2406</v>
      </c>
    </row>
    <row r="233" spans="1:1" x14ac:dyDescent="0.25">
      <c r="A233" t="s">
        <v>2407</v>
      </c>
    </row>
    <row r="234" spans="1:1" x14ac:dyDescent="0.25">
      <c r="A234" t="s">
        <v>2408</v>
      </c>
    </row>
    <row r="235" spans="1:1" x14ac:dyDescent="0.25">
      <c r="A235" t="s">
        <v>2409</v>
      </c>
    </row>
    <row r="236" spans="1:1" x14ac:dyDescent="0.25">
      <c r="A236" t="s">
        <v>2410</v>
      </c>
    </row>
    <row r="237" spans="1:1" x14ac:dyDescent="0.25">
      <c r="A237" t="s">
        <v>2411</v>
      </c>
    </row>
    <row r="238" spans="1:1" x14ac:dyDescent="0.25">
      <c r="A238" t="s">
        <v>2412</v>
      </c>
    </row>
    <row r="239" spans="1:1" x14ac:dyDescent="0.25">
      <c r="A239" t="s">
        <v>2413</v>
      </c>
    </row>
    <row r="240" spans="1:1" x14ac:dyDescent="0.25">
      <c r="A240" t="s">
        <v>2414</v>
      </c>
    </row>
    <row r="241" spans="1:1" x14ac:dyDescent="0.25">
      <c r="A241" t="s">
        <v>2415</v>
      </c>
    </row>
    <row r="242" spans="1:1" x14ac:dyDescent="0.25">
      <c r="A242" t="s">
        <v>2416</v>
      </c>
    </row>
    <row r="243" spans="1:1" x14ac:dyDescent="0.25">
      <c r="A243" t="s">
        <v>2417</v>
      </c>
    </row>
    <row r="244" spans="1:1" x14ac:dyDescent="0.25">
      <c r="A244" t="s">
        <v>2418</v>
      </c>
    </row>
    <row r="245" spans="1:1" x14ac:dyDescent="0.25">
      <c r="A245" t="s">
        <v>2419</v>
      </c>
    </row>
    <row r="246" spans="1:1" x14ac:dyDescent="0.25">
      <c r="A246" t="s">
        <v>2420</v>
      </c>
    </row>
    <row r="247" spans="1:1" x14ac:dyDescent="0.25">
      <c r="A247" t="s">
        <v>2421</v>
      </c>
    </row>
    <row r="248" spans="1:1" x14ac:dyDescent="0.25">
      <c r="A248" t="s">
        <v>2422</v>
      </c>
    </row>
    <row r="249" spans="1:1" x14ac:dyDescent="0.25">
      <c r="A249" t="s">
        <v>2423</v>
      </c>
    </row>
    <row r="250" spans="1:1" x14ac:dyDescent="0.25">
      <c r="A250" t="s">
        <v>2424</v>
      </c>
    </row>
    <row r="251" spans="1:1" x14ac:dyDescent="0.25">
      <c r="A251" t="s">
        <v>2425</v>
      </c>
    </row>
    <row r="252" spans="1:1" x14ac:dyDescent="0.25">
      <c r="A252" t="s">
        <v>2426</v>
      </c>
    </row>
    <row r="253" spans="1:1" x14ac:dyDescent="0.25">
      <c r="A253" t="s">
        <v>2427</v>
      </c>
    </row>
    <row r="254" spans="1:1" x14ac:dyDescent="0.25">
      <c r="A254" t="s">
        <v>2428</v>
      </c>
    </row>
    <row r="255" spans="1:1" x14ac:dyDescent="0.25">
      <c r="A255" t="s">
        <v>2429</v>
      </c>
    </row>
    <row r="256" spans="1:1" x14ac:dyDescent="0.25">
      <c r="A256" t="s">
        <v>2430</v>
      </c>
    </row>
    <row r="257" spans="1:1" x14ac:dyDescent="0.25">
      <c r="A257" t="s">
        <v>2431</v>
      </c>
    </row>
    <row r="258" spans="1:1" x14ac:dyDescent="0.25">
      <c r="A258" t="s">
        <v>2432</v>
      </c>
    </row>
    <row r="259" spans="1:1" x14ac:dyDescent="0.25">
      <c r="A259" t="s">
        <v>2433</v>
      </c>
    </row>
    <row r="260" spans="1:1" x14ac:dyDescent="0.25">
      <c r="A260" t="s">
        <v>2434</v>
      </c>
    </row>
    <row r="261" spans="1:1" x14ac:dyDescent="0.25">
      <c r="A261" t="s">
        <v>2435</v>
      </c>
    </row>
    <row r="262" spans="1:1" x14ac:dyDescent="0.25">
      <c r="A262" t="s">
        <v>2436</v>
      </c>
    </row>
    <row r="263" spans="1:1" x14ac:dyDescent="0.25">
      <c r="A263" t="s">
        <v>2437</v>
      </c>
    </row>
    <row r="264" spans="1:1" x14ac:dyDescent="0.25">
      <c r="A264" t="s">
        <v>2438</v>
      </c>
    </row>
    <row r="265" spans="1:1" x14ac:dyDescent="0.25">
      <c r="A265" t="s">
        <v>2439</v>
      </c>
    </row>
    <row r="266" spans="1:1" x14ac:dyDescent="0.25">
      <c r="A266" t="s">
        <v>2440</v>
      </c>
    </row>
    <row r="267" spans="1:1" x14ac:dyDescent="0.25">
      <c r="A267" t="s">
        <v>2441</v>
      </c>
    </row>
    <row r="268" spans="1:1" x14ac:dyDescent="0.25">
      <c r="A268" t="s">
        <v>2442</v>
      </c>
    </row>
    <row r="269" spans="1:1" x14ac:dyDescent="0.25">
      <c r="A269" t="s">
        <v>2443</v>
      </c>
    </row>
    <row r="270" spans="1:1" x14ac:dyDescent="0.25">
      <c r="A270" t="s">
        <v>2444</v>
      </c>
    </row>
    <row r="271" spans="1:1" x14ac:dyDescent="0.25">
      <c r="A271" t="s">
        <v>2445</v>
      </c>
    </row>
    <row r="272" spans="1:1" x14ac:dyDescent="0.25">
      <c r="A272" t="s">
        <v>2446</v>
      </c>
    </row>
    <row r="273" spans="1:1" x14ac:dyDescent="0.25">
      <c r="A273" t="s">
        <v>2447</v>
      </c>
    </row>
    <row r="274" spans="1:1" x14ac:dyDescent="0.25">
      <c r="A274" t="s">
        <v>2448</v>
      </c>
    </row>
    <row r="275" spans="1:1" x14ac:dyDescent="0.25">
      <c r="A275" t="s">
        <v>2449</v>
      </c>
    </row>
    <row r="276" spans="1:1" x14ac:dyDescent="0.25">
      <c r="A276" t="s">
        <v>2450</v>
      </c>
    </row>
    <row r="277" spans="1:1" x14ac:dyDescent="0.25">
      <c r="A277" t="s">
        <v>2451</v>
      </c>
    </row>
    <row r="278" spans="1:1" x14ac:dyDescent="0.25">
      <c r="A278" t="s">
        <v>2452</v>
      </c>
    </row>
    <row r="279" spans="1:1" x14ac:dyDescent="0.25">
      <c r="A279" t="s">
        <v>2453</v>
      </c>
    </row>
    <row r="280" spans="1:1" x14ac:dyDescent="0.25">
      <c r="A280" t="s">
        <v>2454</v>
      </c>
    </row>
    <row r="281" spans="1:1" x14ac:dyDescent="0.25">
      <c r="A281" t="s">
        <v>2455</v>
      </c>
    </row>
    <row r="282" spans="1:1" x14ac:dyDescent="0.25">
      <c r="A282" t="s">
        <v>2456</v>
      </c>
    </row>
    <row r="283" spans="1:1" x14ac:dyDescent="0.25">
      <c r="A283" t="s">
        <v>2457</v>
      </c>
    </row>
    <row r="284" spans="1:1" x14ac:dyDescent="0.25">
      <c r="A284" t="s">
        <v>2458</v>
      </c>
    </row>
    <row r="285" spans="1:1" x14ac:dyDescent="0.25">
      <c r="A285" t="s">
        <v>2459</v>
      </c>
    </row>
    <row r="286" spans="1:1" x14ac:dyDescent="0.25">
      <c r="A286" t="s">
        <v>2460</v>
      </c>
    </row>
    <row r="287" spans="1:1" x14ac:dyDescent="0.25">
      <c r="A287" t="s">
        <v>2461</v>
      </c>
    </row>
    <row r="288" spans="1:1" x14ac:dyDescent="0.25">
      <c r="A288" t="s">
        <v>2462</v>
      </c>
    </row>
    <row r="289" spans="1:1" x14ac:dyDescent="0.25">
      <c r="A289" t="s">
        <v>2463</v>
      </c>
    </row>
    <row r="290" spans="1:1" x14ac:dyDescent="0.25">
      <c r="A290" t="s">
        <v>2464</v>
      </c>
    </row>
    <row r="291" spans="1:1" x14ac:dyDescent="0.25">
      <c r="A291" t="s">
        <v>2465</v>
      </c>
    </row>
    <row r="292" spans="1:1" x14ac:dyDescent="0.25">
      <c r="A292" t="s">
        <v>2466</v>
      </c>
    </row>
    <row r="293" spans="1:1" x14ac:dyDescent="0.25">
      <c r="A293" t="s">
        <v>2467</v>
      </c>
    </row>
    <row r="294" spans="1:1" x14ac:dyDescent="0.25">
      <c r="A294" t="s">
        <v>2468</v>
      </c>
    </row>
    <row r="295" spans="1:1" x14ac:dyDescent="0.25">
      <c r="A295" t="s">
        <v>2469</v>
      </c>
    </row>
    <row r="296" spans="1:1" x14ac:dyDescent="0.25">
      <c r="A296" t="s">
        <v>2470</v>
      </c>
    </row>
    <row r="297" spans="1:1" x14ac:dyDescent="0.25">
      <c r="A297" t="s">
        <v>2471</v>
      </c>
    </row>
    <row r="298" spans="1:1" x14ac:dyDescent="0.25">
      <c r="A298" t="s">
        <v>2472</v>
      </c>
    </row>
    <row r="299" spans="1:1" x14ac:dyDescent="0.25">
      <c r="A299" t="s">
        <v>2473</v>
      </c>
    </row>
    <row r="300" spans="1:1" x14ac:dyDescent="0.25">
      <c r="A300" t="s">
        <v>2474</v>
      </c>
    </row>
    <row r="301" spans="1:1" x14ac:dyDescent="0.25">
      <c r="A301" t="s">
        <v>2475</v>
      </c>
    </row>
    <row r="302" spans="1:1" x14ac:dyDescent="0.25">
      <c r="A302" t="s">
        <v>2476</v>
      </c>
    </row>
    <row r="303" spans="1:1" x14ac:dyDescent="0.25">
      <c r="A303" t="s">
        <v>2477</v>
      </c>
    </row>
    <row r="304" spans="1:1" x14ac:dyDescent="0.25">
      <c r="A304" t="s">
        <v>2478</v>
      </c>
    </row>
    <row r="305" spans="1:1" x14ac:dyDescent="0.25">
      <c r="A305" t="s">
        <v>2479</v>
      </c>
    </row>
    <row r="306" spans="1:1" x14ac:dyDescent="0.25">
      <c r="A306" t="s">
        <v>2480</v>
      </c>
    </row>
    <row r="307" spans="1:1" x14ac:dyDescent="0.25">
      <c r="A307" t="s">
        <v>2481</v>
      </c>
    </row>
    <row r="308" spans="1:1" x14ac:dyDescent="0.25">
      <c r="A308" t="s">
        <v>2482</v>
      </c>
    </row>
    <row r="309" spans="1:1" x14ac:dyDescent="0.25">
      <c r="A309" t="s">
        <v>2483</v>
      </c>
    </row>
    <row r="310" spans="1:1" x14ac:dyDescent="0.25">
      <c r="A310" t="s">
        <v>2484</v>
      </c>
    </row>
    <row r="311" spans="1:1" x14ac:dyDescent="0.25">
      <c r="A311" t="s">
        <v>2485</v>
      </c>
    </row>
    <row r="312" spans="1:1" x14ac:dyDescent="0.25">
      <c r="A312" t="s">
        <v>2486</v>
      </c>
    </row>
    <row r="313" spans="1:1" x14ac:dyDescent="0.25">
      <c r="A313" t="s">
        <v>2487</v>
      </c>
    </row>
    <row r="314" spans="1:1" x14ac:dyDescent="0.25">
      <c r="A314" t="s">
        <v>2488</v>
      </c>
    </row>
    <row r="315" spans="1:1" x14ac:dyDescent="0.25">
      <c r="A315" t="s">
        <v>2489</v>
      </c>
    </row>
    <row r="316" spans="1:1" x14ac:dyDescent="0.25">
      <c r="A316" t="s">
        <v>2490</v>
      </c>
    </row>
    <row r="317" spans="1:1" x14ac:dyDescent="0.25">
      <c r="A317" t="s">
        <v>2491</v>
      </c>
    </row>
    <row r="318" spans="1:1" x14ac:dyDescent="0.25">
      <c r="A318" t="s">
        <v>2492</v>
      </c>
    </row>
    <row r="319" spans="1:1" x14ac:dyDescent="0.25">
      <c r="A319" t="s">
        <v>2493</v>
      </c>
    </row>
    <row r="320" spans="1:1" x14ac:dyDescent="0.25">
      <c r="A320" t="s">
        <v>2494</v>
      </c>
    </row>
    <row r="321" spans="1:1" x14ac:dyDescent="0.25">
      <c r="A321" t="s">
        <v>2495</v>
      </c>
    </row>
    <row r="322" spans="1:1" x14ac:dyDescent="0.25">
      <c r="A322" t="s">
        <v>2496</v>
      </c>
    </row>
    <row r="323" spans="1:1" x14ac:dyDescent="0.25">
      <c r="A323" t="s">
        <v>2497</v>
      </c>
    </row>
    <row r="324" spans="1:1" x14ac:dyDescent="0.25">
      <c r="A324" t="s">
        <v>2498</v>
      </c>
    </row>
    <row r="325" spans="1:1" x14ac:dyDescent="0.25">
      <c r="A325" t="s">
        <v>2499</v>
      </c>
    </row>
    <row r="326" spans="1:1" x14ac:dyDescent="0.25">
      <c r="A326" t="s">
        <v>2500</v>
      </c>
    </row>
    <row r="327" spans="1:1" x14ac:dyDescent="0.25">
      <c r="A327" t="s">
        <v>2501</v>
      </c>
    </row>
    <row r="328" spans="1:1" x14ac:dyDescent="0.25">
      <c r="A328" t="s">
        <v>2502</v>
      </c>
    </row>
    <row r="329" spans="1:1" x14ac:dyDescent="0.25">
      <c r="A329" t="s">
        <v>2503</v>
      </c>
    </row>
    <row r="330" spans="1:1" x14ac:dyDescent="0.25">
      <c r="A330" t="s">
        <v>2504</v>
      </c>
    </row>
    <row r="331" spans="1:1" x14ac:dyDescent="0.25">
      <c r="A331" t="s">
        <v>2505</v>
      </c>
    </row>
    <row r="332" spans="1:1" x14ac:dyDescent="0.25">
      <c r="A332" t="s">
        <v>2506</v>
      </c>
    </row>
    <row r="333" spans="1:1" x14ac:dyDescent="0.25">
      <c r="A333" t="s">
        <v>2507</v>
      </c>
    </row>
    <row r="334" spans="1:1" x14ac:dyDescent="0.25">
      <c r="A334" t="s">
        <v>2508</v>
      </c>
    </row>
    <row r="335" spans="1:1" x14ac:dyDescent="0.25">
      <c r="A335" t="s">
        <v>2509</v>
      </c>
    </row>
    <row r="336" spans="1:1" x14ac:dyDescent="0.25">
      <c r="A336" t="s">
        <v>2510</v>
      </c>
    </row>
    <row r="337" spans="1:1" x14ac:dyDescent="0.25">
      <c r="A337" t="s">
        <v>2511</v>
      </c>
    </row>
    <row r="338" spans="1:1" x14ac:dyDescent="0.25">
      <c r="A338" t="s">
        <v>2512</v>
      </c>
    </row>
    <row r="339" spans="1:1" x14ac:dyDescent="0.25">
      <c r="A339" t="s">
        <v>2513</v>
      </c>
    </row>
    <row r="340" spans="1:1" x14ac:dyDescent="0.25">
      <c r="A340" t="s">
        <v>2514</v>
      </c>
    </row>
    <row r="341" spans="1:1" x14ac:dyDescent="0.25">
      <c r="A341" t="s">
        <v>2515</v>
      </c>
    </row>
    <row r="342" spans="1:1" x14ac:dyDescent="0.25">
      <c r="A342" t="s">
        <v>2516</v>
      </c>
    </row>
    <row r="343" spans="1:1" x14ac:dyDescent="0.25">
      <c r="A343" t="s">
        <v>2517</v>
      </c>
    </row>
    <row r="344" spans="1:1" x14ac:dyDescent="0.25">
      <c r="A344" t="s">
        <v>2518</v>
      </c>
    </row>
    <row r="345" spans="1:1" x14ac:dyDescent="0.25">
      <c r="A345" t="s">
        <v>2519</v>
      </c>
    </row>
    <row r="346" spans="1:1" x14ac:dyDescent="0.25">
      <c r="A346" t="s">
        <v>2520</v>
      </c>
    </row>
    <row r="347" spans="1:1" x14ac:dyDescent="0.25">
      <c r="A347" t="s">
        <v>2521</v>
      </c>
    </row>
    <row r="348" spans="1:1" x14ac:dyDescent="0.25">
      <c r="A348" t="s">
        <v>2522</v>
      </c>
    </row>
    <row r="349" spans="1:1" x14ac:dyDescent="0.25">
      <c r="A349" t="s">
        <v>2523</v>
      </c>
    </row>
    <row r="350" spans="1:1" x14ac:dyDescent="0.25">
      <c r="A350" t="s">
        <v>2524</v>
      </c>
    </row>
    <row r="351" spans="1:1" x14ac:dyDescent="0.25">
      <c r="A351" t="s">
        <v>2525</v>
      </c>
    </row>
    <row r="352" spans="1:1" x14ac:dyDescent="0.25">
      <c r="A352" t="s">
        <v>2526</v>
      </c>
    </row>
    <row r="353" spans="1:1" x14ac:dyDescent="0.25">
      <c r="A353" t="s">
        <v>2527</v>
      </c>
    </row>
    <row r="354" spans="1:1" x14ac:dyDescent="0.25">
      <c r="A354" t="s">
        <v>2528</v>
      </c>
    </row>
    <row r="355" spans="1:1" x14ac:dyDescent="0.25">
      <c r="A355" t="s">
        <v>2529</v>
      </c>
    </row>
    <row r="356" spans="1:1" x14ac:dyDescent="0.25">
      <c r="A356" t="s">
        <v>2530</v>
      </c>
    </row>
    <row r="357" spans="1:1" x14ac:dyDescent="0.25">
      <c r="A357" t="s">
        <v>2531</v>
      </c>
    </row>
    <row r="358" spans="1:1" x14ac:dyDescent="0.25">
      <c r="A358" t="s">
        <v>2532</v>
      </c>
    </row>
    <row r="359" spans="1:1" x14ac:dyDescent="0.25">
      <c r="A359" t="s">
        <v>2533</v>
      </c>
    </row>
    <row r="360" spans="1:1" x14ac:dyDescent="0.25">
      <c r="A360" t="s">
        <v>2534</v>
      </c>
    </row>
    <row r="361" spans="1:1" x14ac:dyDescent="0.25">
      <c r="A361" t="s">
        <v>2535</v>
      </c>
    </row>
    <row r="362" spans="1:1" x14ac:dyDescent="0.25">
      <c r="A362" t="s">
        <v>2536</v>
      </c>
    </row>
    <row r="363" spans="1:1" x14ac:dyDescent="0.25">
      <c r="A363" t="s">
        <v>2537</v>
      </c>
    </row>
    <row r="364" spans="1:1" x14ac:dyDescent="0.25">
      <c r="A364" t="s">
        <v>2538</v>
      </c>
    </row>
    <row r="365" spans="1:1" x14ac:dyDescent="0.25">
      <c r="A365" t="s">
        <v>2539</v>
      </c>
    </row>
    <row r="366" spans="1:1" x14ac:dyDescent="0.25">
      <c r="A366" t="s">
        <v>2540</v>
      </c>
    </row>
    <row r="367" spans="1:1" x14ac:dyDescent="0.25">
      <c r="A367" t="s">
        <v>2541</v>
      </c>
    </row>
    <row r="368" spans="1:1" x14ac:dyDescent="0.25">
      <c r="A368" t="s">
        <v>2542</v>
      </c>
    </row>
    <row r="369" spans="1:1" x14ac:dyDescent="0.25">
      <c r="A369" t="s">
        <v>2543</v>
      </c>
    </row>
    <row r="370" spans="1:1" x14ac:dyDescent="0.25">
      <c r="A370" t="s">
        <v>2544</v>
      </c>
    </row>
    <row r="371" spans="1:1" x14ac:dyDescent="0.25">
      <c r="A371" t="s">
        <v>2545</v>
      </c>
    </row>
    <row r="372" spans="1:1" x14ac:dyDescent="0.25">
      <c r="A372" t="s">
        <v>2546</v>
      </c>
    </row>
    <row r="373" spans="1:1" x14ac:dyDescent="0.25">
      <c r="A373" t="s">
        <v>2547</v>
      </c>
    </row>
    <row r="374" spans="1:1" x14ac:dyDescent="0.25">
      <c r="A374" t="s">
        <v>2548</v>
      </c>
    </row>
    <row r="375" spans="1:1" x14ac:dyDescent="0.25">
      <c r="A375" t="s">
        <v>2549</v>
      </c>
    </row>
    <row r="376" spans="1:1" x14ac:dyDescent="0.25">
      <c r="A376" t="s">
        <v>2550</v>
      </c>
    </row>
    <row r="377" spans="1:1" x14ac:dyDescent="0.25">
      <c r="A377" t="s">
        <v>2551</v>
      </c>
    </row>
    <row r="378" spans="1:1" x14ac:dyDescent="0.25">
      <c r="A378" t="s">
        <v>2552</v>
      </c>
    </row>
    <row r="379" spans="1:1" x14ac:dyDescent="0.25">
      <c r="A379" t="s">
        <v>2553</v>
      </c>
    </row>
    <row r="380" spans="1:1" x14ac:dyDescent="0.25">
      <c r="A380" t="s">
        <v>2554</v>
      </c>
    </row>
    <row r="381" spans="1:1" x14ac:dyDescent="0.25">
      <c r="A381" t="s">
        <v>2555</v>
      </c>
    </row>
    <row r="382" spans="1:1" x14ac:dyDescent="0.25">
      <c r="A382" t="s">
        <v>2556</v>
      </c>
    </row>
    <row r="383" spans="1:1" x14ac:dyDescent="0.25">
      <c r="A383" t="s">
        <v>2557</v>
      </c>
    </row>
    <row r="384" spans="1:1" x14ac:dyDescent="0.25">
      <c r="A384" t="s">
        <v>2558</v>
      </c>
    </row>
    <row r="385" spans="1:1" x14ac:dyDescent="0.25">
      <c r="A385" t="s">
        <v>2559</v>
      </c>
    </row>
    <row r="386" spans="1:1" x14ac:dyDescent="0.25">
      <c r="A386" t="s">
        <v>2560</v>
      </c>
    </row>
    <row r="387" spans="1:1" x14ac:dyDescent="0.25">
      <c r="A387" t="s">
        <v>2561</v>
      </c>
    </row>
    <row r="388" spans="1:1" x14ac:dyDescent="0.25">
      <c r="A388" t="s">
        <v>2562</v>
      </c>
    </row>
    <row r="389" spans="1:1" x14ac:dyDescent="0.25">
      <c r="A389" t="s">
        <v>2563</v>
      </c>
    </row>
    <row r="390" spans="1:1" x14ac:dyDescent="0.25">
      <c r="A390" t="s">
        <v>2564</v>
      </c>
    </row>
    <row r="391" spans="1:1" x14ac:dyDescent="0.25">
      <c r="A391" t="s">
        <v>2565</v>
      </c>
    </row>
    <row r="392" spans="1:1" x14ac:dyDescent="0.25">
      <c r="A392" t="s">
        <v>2566</v>
      </c>
    </row>
    <row r="393" spans="1:1" x14ac:dyDescent="0.25">
      <c r="A393" t="s">
        <v>2567</v>
      </c>
    </row>
    <row r="394" spans="1:1" x14ac:dyDescent="0.25">
      <c r="A394" t="s">
        <v>2568</v>
      </c>
    </row>
    <row r="395" spans="1:1" x14ac:dyDescent="0.25">
      <c r="A395" t="s">
        <v>2569</v>
      </c>
    </row>
    <row r="396" spans="1:1" x14ac:dyDescent="0.25">
      <c r="A396" t="s">
        <v>2570</v>
      </c>
    </row>
    <row r="397" spans="1:1" x14ac:dyDescent="0.25">
      <c r="A397" t="s">
        <v>2571</v>
      </c>
    </row>
    <row r="398" spans="1:1" x14ac:dyDescent="0.25">
      <c r="A398" t="s">
        <v>2572</v>
      </c>
    </row>
    <row r="399" spans="1:1" x14ac:dyDescent="0.25">
      <c r="A399" t="s">
        <v>2573</v>
      </c>
    </row>
    <row r="400" spans="1:1" x14ac:dyDescent="0.25">
      <c r="A400" t="s">
        <v>2574</v>
      </c>
    </row>
    <row r="401" spans="1:1" x14ac:dyDescent="0.25">
      <c r="A401" t="s">
        <v>2575</v>
      </c>
    </row>
    <row r="402" spans="1:1" x14ac:dyDescent="0.25">
      <c r="A402" t="s">
        <v>2576</v>
      </c>
    </row>
    <row r="403" spans="1:1" x14ac:dyDescent="0.25">
      <c r="A403" t="s">
        <v>2577</v>
      </c>
    </row>
    <row r="404" spans="1:1" x14ac:dyDescent="0.25">
      <c r="A404" t="s">
        <v>2578</v>
      </c>
    </row>
    <row r="405" spans="1:1" x14ac:dyDescent="0.25">
      <c r="A405" t="s">
        <v>2579</v>
      </c>
    </row>
    <row r="406" spans="1:1" x14ac:dyDescent="0.25">
      <c r="A406" t="s">
        <v>2580</v>
      </c>
    </row>
    <row r="407" spans="1:1" x14ac:dyDescent="0.25">
      <c r="A407" t="s">
        <v>2581</v>
      </c>
    </row>
    <row r="408" spans="1:1" x14ac:dyDescent="0.25">
      <c r="A408" t="s">
        <v>2582</v>
      </c>
    </row>
    <row r="409" spans="1:1" x14ac:dyDescent="0.25">
      <c r="A409" t="s">
        <v>2583</v>
      </c>
    </row>
    <row r="410" spans="1:1" x14ac:dyDescent="0.25">
      <c r="A410" t="s">
        <v>2584</v>
      </c>
    </row>
    <row r="411" spans="1:1" x14ac:dyDescent="0.25">
      <c r="A411" t="s">
        <v>2585</v>
      </c>
    </row>
    <row r="412" spans="1:1" x14ac:dyDescent="0.25">
      <c r="A412" t="s">
        <v>2586</v>
      </c>
    </row>
    <row r="413" spans="1:1" x14ac:dyDescent="0.25">
      <c r="A413" t="s">
        <v>2587</v>
      </c>
    </row>
    <row r="414" spans="1:1" x14ac:dyDescent="0.25">
      <c r="A414" t="s">
        <v>2588</v>
      </c>
    </row>
    <row r="415" spans="1:1" x14ac:dyDescent="0.25">
      <c r="A415" t="s">
        <v>2589</v>
      </c>
    </row>
    <row r="416" spans="1:1" x14ac:dyDescent="0.25">
      <c r="A416" t="s">
        <v>2590</v>
      </c>
    </row>
    <row r="417" spans="1:1" x14ac:dyDescent="0.25">
      <c r="A417" t="s">
        <v>2591</v>
      </c>
    </row>
    <row r="418" spans="1:1" x14ac:dyDescent="0.25">
      <c r="A418" t="s">
        <v>2592</v>
      </c>
    </row>
    <row r="419" spans="1:1" x14ac:dyDescent="0.25">
      <c r="A419" t="s">
        <v>2593</v>
      </c>
    </row>
    <row r="420" spans="1:1" x14ac:dyDescent="0.25">
      <c r="A420" t="s">
        <v>2594</v>
      </c>
    </row>
    <row r="421" spans="1:1" x14ac:dyDescent="0.25">
      <c r="A421" t="s">
        <v>2595</v>
      </c>
    </row>
    <row r="422" spans="1:1" x14ac:dyDescent="0.25">
      <c r="A422" t="s">
        <v>2596</v>
      </c>
    </row>
    <row r="423" spans="1:1" x14ac:dyDescent="0.25">
      <c r="A423" t="s">
        <v>2597</v>
      </c>
    </row>
    <row r="424" spans="1:1" x14ac:dyDescent="0.25">
      <c r="A424" t="s">
        <v>2598</v>
      </c>
    </row>
    <row r="425" spans="1:1" x14ac:dyDescent="0.25">
      <c r="A425" t="s">
        <v>2599</v>
      </c>
    </row>
    <row r="426" spans="1:1" x14ac:dyDescent="0.25">
      <c r="A426" t="s">
        <v>2600</v>
      </c>
    </row>
    <row r="427" spans="1:1" x14ac:dyDescent="0.25">
      <c r="A427" t="s">
        <v>2601</v>
      </c>
    </row>
    <row r="428" spans="1:1" x14ac:dyDescent="0.25">
      <c r="A428" t="s">
        <v>2602</v>
      </c>
    </row>
    <row r="429" spans="1:1" x14ac:dyDescent="0.25">
      <c r="A429" t="s">
        <v>2603</v>
      </c>
    </row>
    <row r="430" spans="1:1" x14ac:dyDescent="0.25">
      <c r="A430" t="s">
        <v>2604</v>
      </c>
    </row>
    <row r="431" spans="1:1" x14ac:dyDescent="0.25">
      <c r="A431" t="s">
        <v>2605</v>
      </c>
    </row>
    <row r="432" spans="1:1" x14ac:dyDescent="0.25">
      <c r="A432" t="s">
        <v>2606</v>
      </c>
    </row>
    <row r="433" spans="1:1" x14ac:dyDescent="0.25">
      <c r="A433" t="s">
        <v>2607</v>
      </c>
    </row>
    <row r="434" spans="1:1" x14ac:dyDescent="0.25">
      <c r="A434" t="s">
        <v>2608</v>
      </c>
    </row>
    <row r="435" spans="1:1" x14ac:dyDescent="0.25">
      <c r="A435" t="s">
        <v>2609</v>
      </c>
    </row>
    <row r="436" spans="1:1" x14ac:dyDescent="0.25">
      <c r="A436" t="s">
        <v>2610</v>
      </c>
    </row>
    <row r="437" spans="1:1" x14ac:dyDescent="0.25">
      <c r="A437" t="s">
        <v>2611</v>
      </c>
    </row>
    <row r="438" spans="1:1" x14ac:dyDescent="0.25">
      <c r="A438" t="s">
        <v>2612</v>
      </c>
    </row>
    <row r="439" spans="1:1" x14ac:dyDescent="0.25">
      <c r="A439" t="s">
        <v>2613</v>
      </c>
    </row>
    <row r="440" spans="1:1" x14ac:dyDescent="0.25">
      <c r="A440" t="s">
        <v>2614</v>
      </c>
    </row>
    <row r="441" spans="1:1" x14ac:dyDescent="0.25">
      <c r="A441" t="s">
        <v>2615</v>
      </c>
    </row>
    <row r="442" spans="1:1" x14ac:dyDescent="0.25">
      <c r="A442" t="s">
        <v>2616</v>
      </c>
    </row>
    <row r="443" spans="1:1" x14ac:dyDescent="0.25">
      <c r="A443" t="s">
        <v>2617</v>
      </c>
    </row>
    <row r="444" spans="1:1" x14ac:dyDescent="0.25">
      <c r="A444" t="s">
        <v>2618</v>
      </c>
    </row>
    <row r="445" spans="1:1" x14ac:dyDescent="0.25">
      <c r="A445" t="s">
        <v>2619</v>
      </c>
    </row>
    <row r="446" spans="1:1" x14ac:dyDescent="0.25">
      <c r="A446" t="s">
        <v>2620</v>
      </c>
    </row>
    <row r="447" spans="1:1" x14ac:dyDescent="0.25">
      <c r="A447" t="s">
        <v>2621</v>
      </c>
    </row>
    <row r="448" spans="1:1" x14ac:dyDescent="0.25">
      <c r="A448" t="s">
        <v>2622</v>
      </c>
    </row>
    <row r="449" spans="1:1" x14ac:dyDescent="0.25">
      <c r="A449" t="s">
        <v>2623</v>
      </c>
    </row>
    <row r="450" spans="1:1" x14ac:dyDescent="0.25">
      <c r="A450" t="s">
        <v>2624</v>
      </c>
    </row>
    <row r="451" spans="1:1" x14ac:dyDescent="0.25">
      <c r="A451" t="s">
        <v>2625</v>
      </c>
    </row>
    <row r="452" spans="1:1" x14ac:dyDescent="0.25">
      <c r="A452" t="s">
        <v>2626</v>
      </c>
    </row>
    <row r="453" spans="1:1" x14ac:dyDescent="0.25">
      <c r="A453" t="s">
        <v>2627</v>
      </c>
    </row>
    <row r="454" spans="1:1" x14ac:dyDescent="0.25">
      <c r="A454" t="s">
        <v>2628</v>
      </c>
    </row>
    <row r="455" spans="1:1" x14ac:dyDescent="0.25">
      <c r="A455" t="s">
        <v>2629</v>
      </c>
    </row>
    <row r="456" spans="1:1" x14ac:dyDescent="0.25">
      <c r="A456" t="s">
        <v>2630</v>
      </c>
    </row>
    <row r="457" spans="1:1" x14ac:dyDescent="0.25">
      <c r="A457" t="s">
        <v>2631</v>
      </c>
    </row>
    <row r="458" spans="1:1" x14ac:dyDescent="0.25">
      <c r="A458" t="s">
        <v>2632</v>
      </c>
    </row>
    <row r="459" spans="1:1" x14ac:dyDescent="0.25">
      <c r="A459" t="s">
        <v>2633</v>
      </c>
    </row>
    <row r="460" spans="1:1" x14ac:dyDescent="0.25">
      <c r="A460" t="s">
        <v>2634</v>
      </c>
    </row>
    <row r="461" spans="1:1" x14ac:dyDescent="0.25">
      <c r="A461" t="s">
        <v>2635</v>
      </c>
    </row>
    <row r="462" spans="1:1" x14ac:dyDescent="0.25">
      <c r="A462" t="s">
        <v>2636</v>
      </c>
    </row>
    <row r="463" spans="1:1" x14ac:dyDescent="0.25">
      <c r="A463" t="s">
        <v>2637</v>
      </c>
    </row>
    <row r="464" spans="1:1" x14ac:dyDescent="0.25">
      <c r="A464" t="s">
        <v>2638</v>
      </c>
    </row>
    <row r="465" spans="1:1" x14ac:dyDescent="0.25">
      <c r="A465" t="s">
        <v>2639</v>
      </c>
    </row>
    <row r="466" spans="1:1" x14ac:dyDescent="0.25">
      <c r="A466" t="s">
        <v>2640</v>
      </c>
    </row>
    <row r="467" spans="1:1" x14ac:dyDescent="0.25">
      <c r="A467" t="s">
        <v>2641</v>
      </c>
    </row>
    <row r="468" spans="1:1" x14ac:dyDescent="0.25">
      <c r="A468" t="s">
        <v>2642</v>
      </c>
    </row>
    <row r="469" spans="1:1" x14ac:dyDescent="0.25">
      <c r="A469" t="s">
        <v>2643</v>
      </c>
    </row>
    <row r="470" spans="1:1" x14ac:dyDescent="0.25">
      <c r="A470" t="s">
        <v>2644</v>
      </c>
    </row>
    <row r="471" spans="1:1" x14ac:dyDescent="0.25">
      <c r="A471" t="s">
        <v>2645</v>
      </c>
    </row>
    <row r="472" spans="1:1" x14ac:dyDescent="0.25">
      <c r="A472" t="s">
        <v>2646</v>
      </c>
    </row>
    <row r="473" spans="1:1" x14ac:dyDescent="0.25">
      <c r="A473" t="s">
        <v>2647</v>
      </c>
    </row>
    <row r="474" spans="1:1" x14ac:dyDescent="0.25">
      <c r="A474" t="s">
        <v>2648</v>
      </c>
    </row>
    <row r="475" spans="1:1" x14ac:dyDescent="0.25">
      <c r="A475" t="s">
        <v>2649</v>
      </c>
    </row>
    <row r="476" spans="1:1" x14ac:dyDescent="0.25">
      <c r="A476" t="s">
        <v>2650</v>
      </c>
    </row>
    <row r="477" spans="1:1" x14ac:dyDescent="0.25">
      <c r="A477" t="s">
        <v>2651</v>
      </c>
    </row>
    <row r="478" spans="1:1" x14ac:dyDescent="0.25">
      <c r="A478" t="s">
        <v>2652</v>
      </c>
    </row>
    <row r="479" spans="1:1" x14ac:dyDescent="0.25">
      <c r="A479" t="s">
        <v>2653</v>
      </c>
    </row>
    <row r="480" spans="1:1" x14ac:dyDescent="0.25">
      <c r="A480" t="s">
        <v>2654</v>
      </c>
    </row>
    <row r="481" spans="1:1" x14ac:dyDescent="0.25">
      <c r="A481" t="s">
        <v>2655</v>
      </c>
    </row>
    <row r="482" spans="1:1" x14ac:dyDescent="0.25">
      <c r="A482" t="s">
        <v>2656</v>
      </c>
    </row>
    <row r="483" spans="1:1" x14ac:dyDescent="0.25">
      <c r="A483" t="s">
        <v>2657</v>
      </c>
    </row>
    <row r="484" spans="1:1" x14ac:dyDescent="0.25">
      <c r="A484" t="s">
        <v>2658</v>
      </c>
    </row>
    <row r="485" spans="1:1" x14ac:dyDescent="0.25">
      <c r="A485" t="s">
        <v>2659</v>
      </c>
    </row>
    <row r="486" spans="1:1" x14ac:dyDescent="0.25">
      <c r="A486" t="s">
        <v>2660</v>
      </c>
    </row>
    <row r="487" spans="1:1" x14ac:dyDescent="0.25">
      <c r="A487" t="s">
        <v>2661</v>
      </c>
    </row>
    <row r="488" spans="1:1" x14ac:dyDescent="0.25">
      <c r="A488" t="s">
        <v>2662</v>
      </c>
    </row>
    <row r="489" spans="1:1" x14ac:dyDescent="0.25">
      <c r="A489" t="s">
        <v>2663</v>
      </c>
    </row>
    <row r="490" spans="1:1" x14ac:dyDescent="0.25">
      <c r="A490" t="s">
        <v>2664</v>
      </c>
    </row>
    <row r="491" spans="1:1" x14ac:dyDescent="0.25">
      <c r="A491" t="s">
        <v>2665</v>
      </c>
    </row>
    <row r="492" spans="1:1" x14ac:dyDescent="0.25">
      <c r="A492" t="s">
        <v>2666</v>
      </c>
    </row>
    <row r="493" spans="1:1" x14ac:dyDescent="0.25">
      <c r="A493" t="s">
        <v>2667</v>
      </c>
    </row>
    <row r="494" spans="1:1" x14ac:dyDescent="0.25">
      <c r="A494" t="s">
        <v>2668</v>
      </c>
    </row>
    <row r="495" spans="1:1" x14ac:dyDescent="0.25">
      <c r="A495" t="s">
        <v>2669</v>
      </c>
    </row>
    <row r="496" spans="1:1" x14ac:dyDescent="0.25">
      <c r="A496" t="s">
        <v>2670</v>
      </c>
    </row>
    <row r="497" spans="1:1" x14ac:dyDescent="0.25">
      <c r="A497" t="s">
        <v>2671</v>
      </c>
    </row>
    <row r="498" spans="1:1" x14ac:dyDescent="0.25">
      <c r="A498" t="s">
        <v>2672</v>
      </c>
    </row>
    <row r="499" spans="1:1" x14ac:dyDescent="0.25">
      <c r="A499" t="s">
        <v>2673</v>
      </c>
    </row>
    <row r="500" spans="1:1" x14ac:dyDescent="0.25">
      <c r="A500" t="s">
        <v>2674</v>
      </c>
    </row>
    <row r="501" spans="1:1" x14ac:dyDescent="0.25">
      <c r="A501" t="s">
        <v>2675</v>
      </c>
    </row>
    <row r="502" spans="1:1" x14ac:dyDescent="0.25">
      <c r="A502" t="s">
        <v>2676</v>
      </c>
    </row>
    <row r="503" spans="1:1" x14ac:dyDescent="0.25">
      <c r="A503" t="s">
        <v>2677</v>
      </c>
    </row>
    <row r="504" spans="1:1" x14ac:dyDescent="0.25">
      <c r="A504" t="s">
        <v>2678</v>
      </c>
    </row>
    <row r="505" spans="1:1" x14ac:dyDescent="0.25">
      <c r="A505" t="s">
        <v>2679</v>
      </c>
    </row>
    <row r="506" spans="1:1" x14ac:dyDescent="0.25">
      <c r="A506" t="s">
        <v>2680</v>
      </c>
    </row>
    <row r="507" spans="1:1" x14ac:dyDescent="0.25">
      <c r="A507" t="s">
        <v>2681</v>
      </c>
    </row>
    <row r="508" spans="1:1" x14ac:dyDescent="0.25">
      <c r="A508" t="s">
        <v>2682</v>
      </c>
    </row>
    <row r="509" spans="1:1" x14ac:dyDescent="0.25">
      <c r="A509" t="s">
        <v>2683</v>
      </c>
    </row>
    <row r="510" spans="1:1" x14ac:dyDescent="0.25">
      <c r="A510" t="s">
        <v>2684</v>
      </c>
    </row>
    <row r="511" spans="1:1" x14ac:dyDescent="0.25">
      <c r="A511" t="s">
        <v>2685</v>
      </c>
    </row>
    <row r="512" spans="1:1" x14ac:dyDescent="0.25">
      <c r="A512" t="s">
        <v>2686</v>
      </c>
    </row>
    <row r="513" spans="1:1" x14ac:dyDescent="0.25">
      <c r="A513" t="s">
        <v>2687</v>
      </c>
    </row>
    <row r="514" spans="1:1" x14ac:dyDescent="0.25">
      <c r="A514" t="s">
        <v>2688</v>
      </c>
    </row>
    <row r="515" spans="1:1" x14ac:dyDescent="0.25">
      <c r="A515" t="s">
        <v>2689</v>
      </c>
    </row>
    <row r="516" spans="1:1" x14ac:dyDescent="0.25">
      <c r="A516" t="s">
        <v>2690</v>
      </c>
    </row>
    <row r="517" spans="1:1" x14ac:dyDescent="0.25">
      <c r="A517" t="s">
        <v>2691</v>
      </c>
    </row>
    <row r="518" spans="1:1" x14ac:dyDescent="0.25">
      <c r="A518" t="s">
        <v>2692</v>
      </c>
    </row>
    <row r="519" spans="1:1" x14ac:dyDescent="0.25">
      <c r="A519" t="s">
        <v>2693</v>
      </c>
    </row>
    <row r="520" spans="1:1" x14ac:dyDescent="0.25">
      <c r="A520" t="s">
        <v>2694</v>
      </c>
    </row>
    <row r="521" spans="1:1" x14ac:dyDescent="0.25">
      <c r="A521" t="s">
        <v>2695</v>
      </c>
    </row>
    <row r="522" spans="1:1" x14ac:dyDescent="0.25">
      <c r="A522" t="s">
        <v>2696</v>
      </c>
    </row>
    <row r="523" spans="1:1" x14ac:dyDescent="0.25">
      <c r="A523" t="s">
        <v>2697</v>
      </c>
    </row>
    <row r="524" spans="1:1" x14ac:dyDescent="0.25">
      <c r="A524" t="s">
        <v>2698</v>
      </c>
    </row>
    <row r="525" spans="1:1" x14ac:dyDescent="0.25">
      <c r="A525" t="s">
        <v>2699</v>
      </c>
    </row>
    <row r="526" spans="1:1" x14ac:dyDescent="0.25">
      <c r="A526" t="s">
        <v>2700</v>
      </c>
    </row>
    <row r="527" spans="1:1" x14ac:dyDescent="0.25">
      <c r="A527" t="s">
        <v>2701</v>
      </c>
    </row>
    <row r="528" spans="1:1" x14ac:dyDescent="0.25">
      <c r="A528" t="s">
        <v>2702</v>
      </c>
    </row>
    <row r="529" spans="1:1" x14ac:dyDescent="0.25">
      <c r="A529" t="s">
        <v>2703</v>
      </c>
    </row>
    <row r="530" spans="1:1" x14ac:dyDescent="0.25">
      <c r="A530" t="s">
        <v>2704</v>
      </c>
    </row>
    <row r="531" spans="1:1" x14ac:dyDescent="0.25">
      <c r="A531" t="s">
        <v>2705</v>
      </c>
    </row>
    <row r="532" spans="1:1" x14ac:dyDescent="0.25">
      <c r="A532" t="s">
        <v>2706</v>
      </c>
    </row>
    <row r="533" spans="1:1" x14ac:dyDescent="0.25">
      <c r="A533" t="s">
        <v>2707</v>
      </c>
    </row>
    <row r="534" spans="1:1" x14ac:dyDescent="0.25">
      <c r="A534" t="s">
        <v>2708</v>
      </c>
    </row>
    <row r="535" spans="1:1" x14ac:dyDescent="0.25">
      <c r="A535" t="s">
        <v>2709</v>
      </c>
    </row>
    <row r="536" spans="1:1" x14ac:dyDescent="0.25">
      <c r="A536" t="s">
        <v>2710</v>
      </c>
    </row>
    <row r="537" spans="1:1" x14ac:dyDescent="0.25">
      <c r="A537" t="s">
        <v>2711</v>
      </c>
    </row>
    <row r="538" spans="1:1" x14ac:dyDescent="0.25">
      <c r="A538" t="s">
        <v>2712</v>
      </c>
    </row>
    <row r="539" spans="1:1" x14ac:dyDescent="0.25">
      <c r="A539" t="s">
        <v>2713</v>
      </c>
    </row>
    <row r="540" spans="1:1" x14ac:dyDescent="0.25">
      <c r="A540" t="s">
        <v>2714</v>
      </c>
    </row>
    <row r="541" spans="1:1" x14ac:dyDescent="0.25">
      <c r="A541" t="s">
        <v>2715</v>
      </c>
    </row>
    <row r="542" spans="1:1" x14ac:dyDescent="0.25">
      <c r="A542" t="s">
        <v>2716</v>
      </c>
    </row>
    <row r="543" spans="1:1" x14ac:dyDescent="0.25">
      <c r="A543" t="s">
        <v>2717</v>
      </c>
    </row>
    <row r="544" spans="1:1" x14ac:dyDescent="0.25">
      <c r="A544" t="s">
        <v>2718</v>
      </c>
    </row>
    <row r="545" spans="1:1" x14ac:dyDescent="0.25">
      <c r="A545" t="s">
        <v>2719</v>
      </c>
    </row>
    <row r="546" spans="1:1" x14ac:dyDescent="0.25">
      <c r="A546" t="s">
        <v>2720</v>
      </c>
    </row>
    <row r="547" spans="1:1" x14ac:dyDescent="0.25">
      <c r="A547" t="s">
        <v>2721</v>
      </c>
    </row>
    <row r="548" spans="1:1" x14ac:dyDescent="0.25">
      <c r="A548" t="s">
        <v>2722</v>
      </c>
    </row>
    <row r="549" spans="1:1" x14ac:dyDescent="0.25">
      <c r="A549" t="s">
        <v>2723</v>
      </c>
    </row>
    <row r="550" spans="1:1" x14ac:dyDescent="0.25">
      <c r="A550" t="s">
        <v>2724</v>
      </c>
    </row>
    <row r="551" spans="1:1" x14ac:dyDescent="0.25">
      <c r="A551" t="s">
        <v>2725</v>
      </c>
    </row>
    <row r="552" spans="1:1" x14ac:dyDescent="0.25">
      <c r="A552" t="s">
        <v>2726</v>
      </c>
    </row>
    <row r="553" spans="1:1" x14ac:dyDescent="0.25">
      <c r="A553" t="s">
        <v>2727</v>
      </c>
    </row>
    <row r="554" spans="1:1" x14ac:dyDescent="0.25">
      <c r="A554" t="s">
        <v>2728</v>
      </c>
    </row>
    <row r="555" spans="1:1" x14ac:dyDescent="0.25">
      <c r="A555" t="s">
        <v>2729</v>
      </c>
    </row>
    <row r="556" spans="1:1" x14ac:dyDescent="0.25">
      <c r="A556" t="s">
        <v>2730</v>
      </c>
    </row>
    <row r="557" spans="1:1" x14ac:dyDescent="0.25">
      <c r="A557" t="s">
        <v>2731</v>
      </c>
    </row>
    <row r="558" spans="1:1" x14ac:dyDescent="0.25">
      <c r="A558" t="s">
        <v>2732</v>
      </c>
    </row>
    <row r="559" spans="1:1" x14ac:dyDescent="0.25">
      <c r="A559" t="s">
        <v>2733</v>
      </c>
    </row>
    <row r="560" spans="1:1" x14ac:dyDescent="0.25">
      <c r="A560" t="s">
        <v>2734</v>
      </c>
    </row>
    <row r="561" spans="1:1" x14ac:dyDescent="0.25">
      <c r="A561" t="s">
        <v>2735</v>
      </c>
    </row>
    <row r="562" spans="1:1" x14ac:dyDescent="0.25">
      <c r="A562" t="s">
        <v>2736</v>
      </c>
    </row>
    <row r="563" spans="1:1" x14ac:dyDescent="0.25">
      <c r="A563" t="s">
        <v>2737</v>
      </c>
    </row>
    <row r="564" spans="1:1" x14ac:dyDescent="0.25">
      <c r="A564" t="s">
        <v>2738</v>
      </c>
    </row>
    <row r="565" spans="1:1" x14ac:dyDescent="0.25">
      <c r="A565" t="s">
        <v>2739</v>
      </c>
    </row>
    <row r="566" spans="1:1" x14ac:dyDescent="0.25">
      <c r="A566" t="s">
        <v>2740</v>
      </c>
    </row>
    <row r="567" spans="1:1" x14ac:dyDescent="0.25">
      <c r="A567" t="s">
        <v>2741</v>
      </c>
    </row>
    <row r="568" spans="1:1" x14ac:dyDescent="0.25">
      <c r="A568" t="s">
        <v>2742</v>
      </c>
    </row>
    <row r="569" spans="1:1" x14ac:dyDescent="0.25">
      <c r="A569" t="s">
        <v>2743</v>
      </c>
    </row>
    <row r="570" spans="1:1" x14ac:dyDescent="0.25">
      <c r="A570" t="s">
        <v>2744</v>
      </c>
    </row>
    <row r="571" spans="1:1" x14ac:dyDescent="0.25">
      <c r="A571" t="s">
        <v>2745</v>
      </c>
    </row>
    <row r="572" spans="1:1" x14ac:dyDescent="0.25">
      <c r="A572" t="s">
        <v>2746</v>
      </c>
    </row>
    <row r="573" spans="1:1" x14ac:dyDescent="0.25">
      <c r="A573" t="s">
        <v>2747</v>
      </c>
    </row>
    <row r="574" spans="1:1" x14ac:dyDescent="0.25">
      <c r="A574" t="s">
        <v>2748</v>
      </c>
    </row>
    <row r="575" spans="1:1" x14ac:dyDescent="0.25">
      <c r="A575" t="s">
        <v>2749</v>
      </c>
    </row>
    <row r="576" spans="1:1" x14ac:dyDescent="0.25">
      <c r="A576" t="s">
        <v>2750</v>
      </c>
    </row>
    <row r="577" spans="1:1" x14ac:dyDescent="0.25">
      <c r="A577" t="s">
        <v>2751</v>
      </c>
    </row>
    <row r="578" spans="1:1" x14ac:dyDescent="0.25">
      <c r="A578" t="s">
        <v>2752</v>
      </c>
    </row>
    <row r="579" spans="1:1" x14ac:dyDescent="0.25">
      <c r="A579" t="s">
        <v>2753</v>
      </c>
    </row>
    <row r="580" spans="1:1" x14ac:dyDescent="0.25">
      <c r="A580" t="s">
        <v>2754</v>
      </c>
    </row>
    <row r="581" spans="1:1" x14ac:dyDescent="0.25">
      <c r="A581" t="s">
        <v>2755</v>
      </c>
    </row>
    <row r="582" spans="1:1" x14ac:dyDescent="0.25">
      <c r="A582" t="s">
        <v>2756</v>
      </c>
    </row>
    <row r="583" spans="1:1" x14ac:dyDescent="0.25">
      <c r="A583" t="s">
        <v>2757</v>
      </c>
    </row>
    <row r="584" spans="1:1" x14ac:dyDescent="0.25">
      <c r="A584" t="s">
        <v>2758</v>
      </c>
    </row>
    <row r="585" spans="1:1" x14ac:dyDescent="0.25">
      <c r="A585" t="s">
        <v>2759</v>
      </c>
    </row>
    <row r="586" spans="1:1" x14ac:dyDescent="0.25">
      <c r="A586" t="s">
        <v>2760</v>
      </c>
    </row>
    <row r="587" spans="1:1" x14ac:dyDescent="0.25">
      <c r="A587" t="s">
        <v>2761</v>
      </c>
    </row>
    <row r="588" spans="1:1" x14ac:dyDescent="0.25">
      <c r="A588" t="s">
        <v>2762</v>
      </c>
    </row>
    <row r="589" spans="1:1" x14ac:dyDescent="0.25">
      <c r="A589" t="s">
        <v>2763</v>
      </c>
    </row>
    <row r="590" spans="1:1" x14ac:dyDescent="0.25">
      <c r="A590" t="s">
        <v>2764</v>
      </c>
    </row>
    <row r="591" spans="1:1" x14ac:dyDescent="0.25">
      <c r="A591" t="s">
        <v>2765</v>
      </c>
    </row>
    <row r="592" spans="1:1" x14ac:dyDescent="0.25">
      <c r="A592" t="s">
        <v>2766</v>
      </c>
    </row>
    <row r="593" spans="1:1" x14ac:dyDescent="0.25">
      <c r="A593" t="s">
        <v>2767</v>
      </c>
    </row>
    <row r="594" spans="1:1" x14ac:dyDescent="0.25">
      <c r="A594" t="s">
        <v>2768</v>
      </c>
    </row>
    <row r="595" spans="1:1" x14ac:dyDescent="0.25">
      <c r="A595" t="s">
        <v>2769</v>
      </c>
    </row>
    <row r="596" spans="1:1" x14ac:dyDescent="0.25">
      <c r="A596" t="s">
        <v>2770</v>
      </c>
    </row>
    <row r="597" spans="1:1" x14ac:dyDescent="0.25">
      <c r="A597" t="s">
        <v>2771</v>
      </c>
    </row>
    <row r="598" spans="1:1" x14ac:dyDescent="0.25">
      <c r="A598" t="s">
        <v>2772</v>
      </c>
    </row>
    <row r="599" spans="1:1" x14ac:dyDescent="0.25">
      <c r="A599" t="s">
        <v>2773</v>
      </c>
    </row>
    <row r="600" spans="1:1" x14ac:dyDescent="0.25">
      <c r="A600" t="s">
        <v>2774</v>
      </c>
    </row>
    <row r="601" spans="1:1" x14ac:dyDescent="0.25">
      <c r="A601" t="s">
        <v>2775</v>
      </c>
    </row>
    <row r="602" spans="1:1" x14ac:dyDescent="0.25">
      <c r="A602" t="s">
        <v>2776</v>
      </c>
    </row>
    <row r="603" spans="1:1" x14ac:dyDescent="0.25">
      <c r="A603" t="s">
        <v>2777</v>
      </c>
    </row>
    <row r="604" spans="1:1" x14ac:dyDescent="0.25">
      <c r="A604" t="s">
        <v>2778</v>
      </c>
    </row>
    <row r="605" spans="1:1" x14ac:dyDescent="0.25">
      <c r="A605" t="s">
        <v>2779</v>
      </c>
    </row>
    <row r="606" spans="1:1" x14ac:dyDescent="0.25">
      <c r="A606" t="s">
        <v>2780</v>
      </c>
    </row>
    <row r="607" spans="1:1" x14ac:dyDescent="0.25">
      <c r="A607" t="s">
        <v>2781</v>
      </c>
    </row>
    <row r="608" spans="1:1" x14ac:dyDescent="0.25">
      <c r="A608" t="s">
        <v>2782</v>
      </c>
    </row>
    <row r="609" spans="1:1" x14ac:dyDescent="0.25">
      <c r="A609" t="s">
        <v>2783</v>
      </c>
    </row>
    <row r="610" spans="1:1" x14ac:dyDescent="0.25">
      <c r="A610" t="s">
        <v>2784</v>
      </c>
    </row>
    <row r="611" spans="1:1" x14ac:dyDescent="0.25">
      <c r="A611" t="s">
        <v>2785</v>
      </c>
    </row>
    <row r="612" spans="1:1" x14ac:dyDescent="0.25">
      <c r="A612" t="s">
        <v>2786</v>
      </c>
    </row>
    <row r="613" spans="1:1" x14ac:dyDescent="0.25">
      <c r="A613" t="s">
        <v>2787</v>
      </c>
    </row>
    <row r="614" spans="1:1" x14ac:dyDescent="0.25">
      <c r="A614" t="s">
        <v>2788</v>
      </c>
    </row>
    <row r="615" spans="1:1" x14ac:dyDescent="0.25">
      <c r="A615" t="s">
        <v>2789</v>
      </c>
    </row>
    <row r="616" spans="1:1" x14ac:dyDescent="0.25">
      <c r="A616" t="s">
        <v>2790</v>
      </c>
    </row>
    <row r="617" spans="1:1" x14ac:dyDescent="0.25">
      <c r="A617" t="s">
        <v>2791</v>
      </c>
    </row>
    <row r="618" spans="1:1" x14ac:dyDescent="0.25">
      <c r="A618" t="s">
        <v>2792</v>
      </c>
    </row>
    <row r="619" spans="1:1" x14ac:dyDescent="0.25">
      <c r="A619" t="s">
        <v>2793</v>
      </c>
    </row>
    <row r="620" spans="1:1" x14ac:dyDescent="0.25">
      <c r="A620" t="s">
        <v>2794</v>
      </c>
    </row>
    <row r="621" spans="1:1" x14ac:dyDescent="0.25">
      <c r="A621" t="s">
        <v>2795</v>
      </c>
    </row>
    <row r="622" spans="1:1" x14ac:dyDescent="0.25">
      <c r="A622" t="s">
        <v>2796</v>
      </c>
    </row>
    <row r="623" spans="1:1" x14ac:dyDescent="0.25">
      <c r="A623" t="s">
        <v>2797</v>
      </c>
    </row>
    <row r="624" spans="1:1" x14ac:dyDescent="0.25">
      <c r="A624" t="s">
        <v>2798</v>
      </c>
    </row>
    <row r="625" spans="1:1" x14ac:dyDescent="0.25">
      <c r="A625" t="s">
        <v>2799</v>
      </c>
    </row>
    <row r="626" spans="1:1" x14ac:dyDescent="0.25">
      <c r="A626" t="s">
        <v>2800</v>
      </c>
    </row>
    <row r="627" spans="1:1" x14ac:dyDescent="0.25">
      <c r="A627" t="s">
        <v>2801</v>
      </c>
    </row>
    <row r="628" spans="1:1" x14ac:dyDescent="0.25">
      <c r="A628" t="s">
        <v>2802</v>
      </c>
    </row>
    <row r="629" spans="1:1" x14ac:dyDescent="0.25">
      <c r="A629" t="s">
        <v>2803</v>
      </c>
    </row>
    <row r="630" spans="1:1" x14ac:dyDescent="0.25">
      <c r="A630" t="s">
        <v>2804</v>
      </c>
    </row>
    <row r="631" spans="1:1" x14ac:dyDescent="0.25">
      <c r="A631" t="s">
        <v>2805</v>
      </c>
    </row>
    <row r="632" spans="1:1" x14ac:dyDescent="0.25">
      <c r="A632" t="s">
        <v>2806</v>
      </c>
    </row>
    <row r="633" spans="1:1" x14ac:dyDescent="0.25">
      <c r="A633" t="s">
        <v>2807</v>
      </c>
    </row>
    <row r="634" spans="1:1" x14ac:dyDescent="0.25">
      <c r="A634" t="s">
        <v>2808</v>
      </c>
    </row>
    <row r="635" spans="1:1" x14ac:dyDescent="0.25">
      <c r="A635" t="s">
        <v>2809</v>
      </c>
    </row>
    <row r="636" spans="1:1" x14ac:dyDescent="0.25">
      <c r="A636" t="s">
        <v>2810</v>
      </c>
    </row>
    <row r="637" spans="1:1" x14ac:dyDescent="0.25">
      <c r="A637" t="s">
        <v>2811</v>
      </c>
    </row>
    <row r="638" spans="1:1" x14ac:dyDescent="0.25">
      <c r="A638" t="s">
        <v>2812</v>
      </c>
    </row>
    <row r="639" spans="1:1" x14ac:dyDescent="0.25">
      <c r="A639" t="s">
        <v>2813</v>
      </c>
    </row>
    <row r="640" spans="1:1" x14ac:dyDescent="0.25">
      <c r="A640" t="s">
        <v>2814</v>
      </c>
    </row>
    <row r="641" spans="1:1" x14ac:dyDescent="0.25">
      <c r="A641" t="s">
        <v>2815</v>
      </c>
    </row>
    <row r="642" spans="1:1" x14ac:dyDescent="0.25">
      <c r="A642" t="s">
        <v>2816</v>
      </c>
    </row>
    <row r="643" spans="1:1" x14ac:dyDescent="0.25">
      <c r="A643" t="s">
        <v>2817</v>
      </c>
    </row>
    <row r="644" spans="1:1" x14ac:dyDescent="0.25">
      <c r="A644" t="s">
        <v>2818</v>
      </c>
    </row>
    <row r="645" spans="1:1" x14ac:dyDescent="0.25">
      <c r="A645" t="s">
        <v>2819</v>
      </c>
    </row>
    <row r="646" spans="1:1" x14ac:dyDescent="0.25">
      <c r="A646" t="s">
        <v>2820</v>
      </c>
    </row>
    <row r="647" spans="1:1" x14ac:dyDescent="0.25">
      <c r="A647" t="s">
        <v>2821</v>
      </c>
    </row>
    <row r="648" spans="1:1" x14ac:dyDescent="0.25">
      <c r="A648" t="s">
        <v>2822</v>
      </c>
    </row>
    <row r="649" spans="1:1" x14ac:dyDescent="0.25">
      <c r="A649" t="s">
        <v>2823</v>
      </c>
    </row>
    <row r="650" spans="1:1" x14ac:dyDescent="0.25">
      <c r="A650" t="s">
        <v>2824</v>
      </c>
    </row>
    <row r="651" spans="1:1" x14ac:dyDescent="0.25">
      <c r="A651" t="s">
        <v>2825</v>
      </c>
    </row>
    <row r="652" spans="1:1" x14ac:dyDescent="0.25">
      <c r="A652" t="s">
        <v>2826</v>
      </c>
    </row>
    <row r="653" spans="1:1" x14ac:dyDescent="0.25">
      <c r="A653" t="s">
        <v>2827</v>
      </c>
    </row>
    <row r="654" spans="1:1" x14ac:dyDescent="0.25">
      <c r="A654" t="s">
        <v>2828</v>
      </c>
    </row>
    <row r="655" spans="1:1" x14ac:dyDescent="0.25">
      <c r="A655" t="s">
        <v>2829</v>
      </c>
    </row>
    <row r="656" spans="1:1" x14ac:dyDescent="0.25">
      <c r="A656" t="s">
        <v>2830</v>
      </c>
    </row>
    <row r="657" spans="1:1" x14ac:dyDescent="0.25">
      <c r="A657" t="s">
        <v>2831</v>
      </c>
    </row>
    <row r="658" spans="1:1" x14ac:dyDescent="0.25">
      <c r="A658" t="s">
        <v>2832</v>
      </c>
    </row>
    <row r="659" spans="1:1" x14ac:dyDescent="0.25">
      <c r="A659" t="s">
        <v>2833</v>
      </c>
    </row>
    <row r="660" spans="1:1" x14ac:dyDescent="0.25">
      <c r="A660" t="s">
        <v>2834</v>
      </c>
    </row>
    <row r="661" spans="1:1" x14ac:dyDescent="0.25">
      <c r="A661" t="s">
        <v>2835</v>
      </c>
    </row>
    <row r="662" spans="1:1" x14ac:dyDescent="0.25">
      <c r="A662" t="s">
        <v>2836</v>
      </c>
    </row>
    <row r="663" spans="1:1" x14ac:dyDescent="0.25">
      <c r="A663" t="s">
        <v>2837</v>
      </c>
    </row>
    <row r="664" spans="1:1" x14ac:dyDescent="0.25">
      <c r="A664" t="s">
        <v>2838</v>
      </c>
    </row>
    <row r="665" spans="1:1" x14ac:dyDescent="0.25">
      <c r="A665" t="s">
        <v>2839</v>
      </c>
    </row>
    <row r="666" spans="1:1" x14ac:dyDescent="0.25">
      <c r="A666" t="s">
        <v>2840</v>
      </c>
    </row>
    <row r="667" spans="1:1" x14ac:dyDescent="0.25">
      <c r="A667" t="s">
        <v>2841</v>
      </c>
    </row>
    <row r="668" spans="1:1" x14ac:dyDescent="0.25">
      <c r="A668" t="s">
        <v>2842</v>
      </c>
    </row>
    <row r="669" spans="1:1" x14ac:dyDescent="0.25">
      <c r="A669" t="s">
        <v>2843</v>
      </c>
    </row>
    <row r="670" spans="1:1" x14ac:dyDescent="0.25">
      <c r="A670" t="s">
        <v>2844</v>
      </c>
    </row>
    <row r="671" spans="1:1" x14ac:dyDescent="0.25">
      <c r="A671" t="s">
        <v>2845</v>
      </c>
    </row>
    <row r="672" spans="1:1" x14ac:dyDescent="0.25">
      <c r="A672" t="s">
        <v>2846</v>
      </c>
    </row>
    <row r="673" spans="1:1" x14ac:dyDescent="0.25">
      <c r="A673" t="s">
        <v>2847</v>
      </c>
    </row>
    <row r="674" spans="1:1" x14ac:dyDescent="0.25">
      <c r="A674" t="s">
        <v>2848</v>
      </c>
    </row>
    <row r="675" spans="1:1" x14ac:dyDescent="0.25">
      <c r="A675" t="s">
        <v>2849</v>
      </c>
    </row>
    <row r="676" spans="1:1" x14ac:dyDescent="0.25">
      <c r="A676" t="s">
        <v>2850</v>
      </c>
    </row>
    <row r="677" spans="1:1" x14ac:dyDescent="0.25">
      <c r="A677" t="s">
        <v>2851</v>
      </c>
    </row>
    <row r="678" spans="1:1" x14ac:dyDescent="0.25">
      <c r="A678" t="s">
        <v>2852</v>
      </c>
    </row>
    <row r="679" spans="1:1" x14ac:dyDescent="0.25">
      <c r="A679" t="s">
        <v>2853</v>
      </c>
    </row>
    <row r="680" spans="1:1" x14ac:dyDescent="0.25">
      <c r="A680" t="s">
        <v>2854</v>
      </c>
    </row>
    <row r="681" spans="1:1" x14ac:dyDescent="0.25">
      <c r="A681" t="s">
        <v>2855</v>
      </c>
    </row>
    <row r="682" spans="1:1" x14ac:dyDescent="0.25">
      <c r="A682" t="s">
        <v>2856</v>
      </c>
    </row>
    <row r="683" spans="1:1" x14ac:dyDescent="0.25">
      <c r="A683" t="s">
        <v>2857</v>
      </c>
    </row>
    <row r="684" spans="1:1" x14ac:dyDescent="0.25">
      <c r="A684" t="s">
        <v>2858</v>
      </c>
    </row>
    <row r="685" spans="1:1" x14ac:dyDescent="0.25">
      <c r="A685" t="s">
        <v>2859</v>
      </c>
    </row>
    <row r="686" spans="1:1" x14ac:dyDescent="0.25">
      <c r="A686" t="s">
        <v>2860</v>
      </c>
    </row>
    <row r="687" spans="1:1" x14ac:dyDescent="0.25">
      <c r="A687" t="s">
        <v>2861</v>
      </c>
    </row>
    <row r="688" spans="1:1" x14ac:dyDescent="0.25">
      <c r="A688" t="s">
        <v>2862</v>
      </c>
    </row>
    <row r="689" spans="1:1" x14ac:dyDescent="0.25">
      <c r="A689" t="s">
        <v>2863</v>
      </c>
    </row>
    <row r="690" spans="1:1" x14ac:dyDescent="0.25">
      <c r="A690" t="s">
        <v>2864</v>
      </c>
    </row>
    <row r="691" spans="1:1" x14ac:dyDescent="0.25">
      <c r="A691" t="s">
        <v>2865</v>
      </c>
    </row>
    <row r="692" spans="1:1" x14ac:dyDescent="0.25">
      <c r="A692" t="s">
        <v>2866</v>
      </c>
    </row>
    <row r="693" spans="1:1" x14ac:dyDescent="0.25">
      <c r="A693" t="s">
        <v>2867</v>
      </c>
    </row>
    <row r="694" spans="1:1" x14ac:dyDescent="0.25">
      <c r="A694" t="s">
        <v>2868</v>
      </c>
    </row>
    <row r="695" spans="1:1" x14ac:dyDescent="0.25">
      <c r="A695" t="s">
        <v>2869</v>
      </c>
    </row>
    <row r="696" spans="1:1" x14ac:dyDescent="0.25">
      <c r="A696" t="s">
        <v>2870</v>
      </c>
    </row>
    <row r="697" spans="1:1" x14ac:dyDescent="0.25">
      <c r="A697" t="s">
        <v>2871</v>
      </c>
    </row>
    <row r="698" spans="1:1" x14ac:dyDescent="0.25">
      <c r="A698" t="s">
        <v>2872</v>
      </c>
    </row>
    <row r="699" spans="1:1" x14ac:dyDescent="0.25">
      <c r="A699" t="s">
        <v>2873</v>
      </c>
    </row>
    <row r="700" spans="1:1" x14ac:dyDescent="0.25">
      <c r="A700" t="s">
        <v>2874</v>
      </c>
    </row>
    <row r="701" spans="1:1" x14ac:dyDescent="0.25">
      <c r="A701" t="s">
        <v>2875</v>
      </c>
    </row>
    <row r="702" spans="1:1" x14ac:dyDescent="0.25">
      <c r="A702" t="s">
        <v>2876</v>
      </c>
    </row>
    <row r="703" spans="1:1" x14ac:dyDescent="0.25">
      <c r="A703" t="s">
        <v>2877</v>
      </c>
    </row>
    <row r="704" spans="1:1" x14ac:dyDescent="0.25">
      <c r="A704" t="s">
        <v>2878</v>
      </c>
    </row>
    <row r="705" spans="1:1" x14ac:dyDescent="0.25">
      <c r="A705" t="s">
        <v>2879</v>
      </c>
    </row>
    <row r="706" spans="1:1" x14ac:dyDescent="0.25">
      <c r="A706" t="s">
        <v>2880</v>
      </c>
    </row>
    <row r="707" spans="1:1" x14ac:dyDescent="0.25">
      <c r="A707" t="s">
        <v>2881</v>
      </c>
    </row>
    <row r="708" spans="1:1" x14ac:dyDescent="0.25">
      <c r="A708" t="s">
        <v>2882</v>
      </c>
    </row>
    <row r="709" spans="1:1" x14ac:dyDescent="0.25">
      <c r="A709" t="s">
        <v>2883</v>
      </c>
    </row>
    <row r="710" spans="1:1" x14ac:dyDescent="0.25">
      <c r="A710" t="s">
        <v>2884</v>
      </c>
    </row>
    <row r="711" spans="1:1" x14ac:dyDescent="0.25">
      <c r="A711" t="s">
        <v>2885</v>
      </c>
    </row>
    <row r="712" spans="1:1" x14ac:dyDescent="0.25">
      <c r="A712" t="s">
        <v>2886</v>
      </c>
    </row>
    <row r="713" spans="1:1" x14ac:dyDescent="0.25">
      <c r="A713" t="s">
        <v>2887</v>
      </c>
    </row>
    <row r="714" spans="1:1" x14ac:dyDescent="0.25">
      <c r="A714" t="s">
        <v>2888</v>
      </c>
    </row>
    <row r="715" spans="1:1" x14ac:dyDescent="0.25">
      <c r="A715" t="s">
        <v>2889</v>
      </c>
    </row>
    <row r="716" spans="1:1" x14ac:dyDescent="0.25">
      <c r="A716" t="s">
        <v>2890</v>
      </c>
    </row>
    <row r="717" spans="1:1" x14ac:dyDescent="0.25">
      <c r="A717" t="s">
        <v>2891</v>
      </c>
    </row>
    <row r="718" spans="1:1" x14ac:dyDescent="0.25">
      <c r="A718" t="s">
        <v>2892</v>
      </c>
    </row>
    <row r="719" spans="1:1" x14ac:dyDescent="0.25">
      <c r="A719" t="s">
        <v>2893</v>
      </c>
    </row>
    <row r="720" spans="1:1" x14ac:dyDescent="0.25">
      <c r="A720" t="s">
        <v>2894</v>
      </c>
    </row>
    <row r="721" spans="1:1" x14ac:dyDescent="0.25">
      <c r="A721" t="s">
        <v>2895</v>
      </c>
    </row>
    <row r="722" spans="1:1" x14ac:dyDescent="0.25">
      <c r="A722" t="s">
        <v>2896</v>
      </c>
    </row>
    <row r="723" spans="1:1" x14ac:dyDescent="0.25">
      <c r="A723" t="s">
        <v>2897</v>
      </c>
    </row>
    <row r="724" spans="1:1" x14ac:dyDescent="0.25">
      <c r="A724" t="s">
        <v>2898</v>
      </c>
    </row>
    <row r="725" spans="1:1" x14ac:dyDescent="0.25">
      <c r="A725" t="s">
        <v>2899</v>
      </c>
    </row>
    <row r="726" spans="1:1" x14ac:dyDescent="0.25">
      <c r="A726" t="s">
        <v>2900</v>
      </c>
    </row>
    <row r="727" spans="1:1" x14ac:dyDescent="0.25">
      <c r="A727" t="s">
        <v>2901</v>
      </c>
    </row>
    <row r="728" spans="1:1" x14ac:dyDescent="0.25">
      <c r="A728" t="s">
        <v>2902</v>
      </c>
    </row>
    <row r="729" spans="1:1" x14ac:dyDescent="0.25">
      <c r="A729" t="s">
        <v>2903</v>
      </c>
    </row>
    <row r="730" spans="1:1" x14ac:dyDescent="0.25">
      <c r="A730" t="s">
        <v>2904</v>
      </c>
    </row>
    <row r="731" spans="1:1" x14ac:dyDescent="0.25">
      <c r="A731" t="s">
        <v>2905</v>
      </c>
    </row>
    <row r="732" spans="1:1" x14ac:dyDescent="0.25">
      <c r="A732" t="s">
        <v>2906</v>
      </c>
    </row>
    <row r="733" spans="1:1" x14ac:dyDescent="0.25">
      <c r="A733" t="s">
        <v>2907</v>
      </c>
    </row>
    <row r="734" spans="1:1" x14ac:dyDescent="0.25">
      <c r="A734" t="s">
        <v>2908</v>
      </c>
    </row>
    <row r="735" spans="1:1" x14ac:dyDescent="0.25">
      <c r="A735" t="s">
        <v>2909</v>
      </c>
    </row>
    <row r="736" spans="1:1" x14ac:dyDescent="0.25">
      <c r="A736" t="s">
        <v>2910</v>
      </c>
    </row>
    <row r="737" spans="1:1" x14ac:dyDescent="0.25">
      <c r="A737" t="s">
        <v>2911</v>
      </c>
    </row>
    <row r="738" spans="1:1" x14ac:dyDescent="0.25">
      <c r="A738" t="s">
        <v>2912</v>
      </c>
    </row>
    <row r="739" spans="1:1" x14ac:dyDescent="0.25">
      <c r="A739" t="s">
        <v>2913</v>
      </c>
    </row>
    <row r="740" spans="1:1" x14ac:dyDescent="0.25">
      <c r="A740" t="s">
        <v>2914</v>
      </c>
    </row>
    <row r="741" spans="1:1" x14ac:dyDescent="0.25">
      <c r="A741" t="s">
        <v>2915</v>
      </c>
    </row>
    <row r="742" spans="1:1" x14ac:dyDescent="0.25">
      <c r="A742" t="s">
        <v>2916</v>
      </c>
    </row>
    <row r="743" spans="1:1" x14ac:dyDescent="0.25">
      <c r="A743" t="s">
        <v>2917</v>
      </c>
    </row>
    <row r="744" spans="1:1" x14ac:dyDescent="0.25">
      <c r="A744" t="s">
        <v>2918</v>
      </c>
    </row>
    <row r="745" spans="1:1" x14ac:dyDescent="0.25">
      <c r="A745" t="s">
        <v>2919</v>
      </c>
    </row>
    <row r="746" spans="1:1" x14ac:dyDescent="0.25">
      <c r="A746" t="s">
        <v>2920</v>
      </c>
    </row>
    <row r="747" spans="1:1" x14ac:dyDescent="0.25">
      <c r="A747" t="s">
        <v>2921</v>
      </c>
    </row>
    <row r="748" spans="1:1" x14ac:dyDescent="0.25">
      <c r="A748" t="s">
        <v>2922</v>
      </c>
    </row>
    <row r="749" spans="1:1" x14ac:dyDescent="0.25">
      <c r="A749" t="s">
        <v>2923</v>
      </c>
    </row>
    <row r="750" spans="1:1" x14ac:dyDescent="0.25">
      <c r="A750" t="s">
        <v>2924</v>
      </c>
    </row>
    <row r="751" spans="1:1" x14ac:dyDescent="0.25">
      <c r="A751" t="s">
        <v>2925</v>
      </c>
    </row>
    <row r="752" spans="1:1" x14ac:dyDescent="0.25">
      <c r="A752" t="s">
        <v>2926</v>
      </c>
    </row>
    <row r="753" spans="1:1" x14ac:dyDescent="0.25">
      <c r="A753" t="s">
        <v>2927</v>
      </c>
    </row>
    <row r="754" spans="1:1" x14ac:dyDescent="0.25">
      <c r="A754" t="s">
        <v>2928</v>
      </c>
    </row>
    <row r="755" spans="1:1" x14ac:dyDescent="0.25">
      <c r="A755" t="s">
        <v>2929</v>
      </c>
    </row>
    <row r="756" spans="1:1" x14ac:dyDescent="0.25">
      <c r="A756" t="s">
        <v>2930</v>
      </c>
    </row>
    <row r="757" spans="1:1" x14ac:dyDescent="0.25">
      <c r="A757" t="s">
        <v>2931</v>
      </c>
    </row>
    <row r="758" spans="1:1" x14ac:dyDescent="0.25">
      <c r="A758" t="s">
        <v>2932</v>
      </c>
    </row>
    <row r="759" spans="1:1" x14ac:dyDescent="0.25">
      <c r="A759" t="s">
        <v>2933</v>
      </c>
    </row>
    <row r="760" spans="1:1" x14ac:dyDescent="0.25">
      <c r="A760" t="s">
        <v>2934</v>
      </c>
    </row>
    <row r="761" spans="1:1" x14ac:dyDescent="0.25">
      <c r="A761" t="s">
        <v>2935</v>
      </c>
    </row>
    <row r="762" spans="1:1" x14ac:dyDescent="0.25">
      <c r="A762" t="s">
        <v>2936</v>
      </c>
    </row>
    <row r="763" spans="1:1" x14ac:dyDescent="0.25">
      <c r="A763" t="s">
        <v>2937</v>
      </c>
    </row>
    <row r="764" spans="1:1" x14ac:dyDescent="0.25">
      <c r="A764" t="s">
        <v>2938</v>
      </c>
    </row>
    <row r="765" spans="1:1" x14ac:dyDescent="0.25">
      <c r="A765" t="s">
        <v>2939</v>
      </c>
    </row>
    <row r="766" spans="1:1" x14ac:dyDescent="0.25">
      <c r="A766" t="s">
        <v>2940</v>
      </c>
    </row>
    <row r="767" spans="1:1" x14ac:dyDescent="0.25">
      <c r="A767" t="s">
        <v>2941</v>
      </c>
    </row>
    <row r="768" spans="1:1" x14ac:dyDescent="0.25">
      <c r="A768" t="s">
        <v>2942</v>
      </c>
    </row>
    <row r="769" spans="1:1" x14ac:dyDescent="0.25">
      <c r="A769" t="s">
        <v>2943</v>
      </c>
    </row>
    <row r="770" spans="1:1" x14ac:dyDescent="0.25">
      <c r="A770" t="s">
        <v>2944</v>
      </c>
    </row>
    <row r="771" spans="1:1" x14ac:dyDescent="0.25">
      <c r="A771" t="s">
        <v>2945</v>
      </c>
    </row>
    <row r="772" spans="1:1" x14ac:dyDescent="0.25">
      <c r="A772" t="s">
        <v>2946</v>
      </c>
    </row>
    <row r="773" spans="1:1" x14ac:dyDescent="0.25">
      <c r="A773" t="s">
        <v>2947</v>
      </c>
    </row>
    <row r="774" spans="1:1" x14ac:dyDescent="0.25">
      <c r="A774" t="s">
        <v>2948</v>
      </c>
    </row>
    <row r="775" spans="1:1" x14ac:dyDescent="0.25">
      <c r="A775" t="s">
        <v>2949</v>
      </c>
    </row>
    <row r="776" spans="1:1" x14ac:dyDescent="0.25">
      <c r="A776" t="s">
        <v>2950</v>
      </c>
    </row>
    <row r="777" spans="1:1" x14ac:dyDescent="0.25">
      <c r="A777" t="s">
        <v>2951</v>
      </c>
    </row>
    <row r="778" spans="1:1" x14ac:dyDescent="0.25">
      <c r="A778" t="s">
        <v>2952</v>
      </c>
    </row>
    <row r="779" spans="1:1" x14ac:dyDescent="0.25">
      <c r="A779" t="s">
        <v>2953</v>
      </c>
    </row>
    <row r="780" spans="1:1" x14ac:dyDescent="0.25">
      <c r="A780" t="s">
        <v>2954</v>
      </c>
    </row>
    <row r="781" spans="1:1" x14ac:dyDescent="0.25">
      <c r="A781" t="s">
        <v>2955</v>
      </c>
    </row>
    <row r="782" spans="1:1" x14ac:dyDescent="0.25">
      <c r="A782" t="s">
        <v>2956</v>
      </c>
    </row>
    <row r="783" spans="1:1" x14ac:dyDescent="0.25">
      <c r="A783" t="s">
        <v>2957</v>
      </c>
    </row>
    <row r="784" spans="1:1" x14ac:dyDescent="0.25">
      <c r="A784" t="s">
        <v>2958</v>
      </c>
    </row>
    <row r="785" spans="1:1" x14ac:dyDescent="0.25">
      <c r="A785" t="s">
        <v>2959</v>
      </c>
    </row>
    <row r="786" spans="1:1" x14ac:dyDescent="0.25">
      <c r="A786" t="s">
        <v>2960</v>
      </c>
    </row>
    <row r="787" spans="1:1" x14ac:dyDescent="0.25">
      <c r="A787" t="s">
        <v>2961</v>
      </c>
    </row>
    <row r="788" spans="1:1" x14ac:dyDescent="0.25">
      <c r="A788" t="s">
        <v>2962</v>
      </c>
    </row>
    <row r="789" spans="1:1" x14ac:dyDescent="0.25">
      <c r="A789" t="s">
        <v>2963</v>
      </c>
    </row>
    <row r="790" spans="1:1" x14ac:dyDescent="0.25">
      <c r="A790" t="s">
        <v>2964</v>
      </c>
    </row>
    <row r="791" spans="1:1" x14ac:dyDescent="0.25">
      <c r="A791" t="s">
        <v>2965</v>
      </c>
    </row>
    <row r="792" spans="1:1" x14ac:dyDescent="0.25">
      <c r="A792" t="s">
        <v>2966</v>
      </c>
    </row>
    <row r="793" spans="1:1" x14ac:dyDescent="0.25">
      <c r="A793" t="s">
        <v>2967</v>
      </c>
    </row>
    <row r="794" spans="1:1" x14ac:dyDescent="0.25">
      <c r="A794" t="s">
        <v>2968</v>
      </c>
    </row>
    <row r="795" spans="1:1" x14ac:dyDescent="0.25">
      <c r="A795" t="s">
        <v>2969</v>
      </c>
    </row>
    <row r="796" spans="1:1" x14ac:dyDescent="0.25">
      <c r="A796" t="s">
        <v>2970</v>
      </c>
    </row>
    <row r="797" spans="1:1" x14ac:dyDescent="0.25">
      <c r="A797" t="s">
        <v>2971</v>
      </c>
    </row>
    <row r="798" spans="1:1" x14ac:dyDescent="0.25">
      <c r="A798" t="s">
        <v>2972</v>
      </c>
    </row>
    <row r="799" spans="1:1" x14ac:dyDescent="0.25">
      <c r="A799" t="s">
        <v>2973</v>
      </c>
    </row>
    <row r="800" spans="1:1" x14ac:dyDescent="0.25">
      <c r="A800" t="s">
        <v>2974</v>
      </c>
    </row>
    <row r="801" spans="1:1" x14ac:dyDescent="0.25">
      <c r="A801" t="s">
        <v>2975</v>
      </c>
    </row>
    <row r="802" spans="1:1" x14ac:dyDescent="0.25">
      <c r="A802" t="s">
        <v>2976</v>
      </c>
    </row>
    <row r="803" spans="1:1" x14ac:dyDescent="0.25">
      <c r="A803" t="s">
        <v>2977</v>
      </c>
    </row>
    <row r="804" spans="1:1" x14ac:dyDescent="0.25">
      <c r="A804" t="s">
        <v>2978</v>
      </c>
    </row>
    <row r="805" spans="1:1" x14ac:dyDescent="0.25">
      <c r="A805" t="s">
        <v>2979</v>
      </c>
    </row>
    <row r="806" spans="1:1" x14ac:dyDescent="0.25">
      <c r="A806" t="s">
        <v>2980</v>
      </c>
    </row>
    <row r="807" spans="1:1" x14ac:dyDescent="0.25">
      <c r="A807" t="s">
        <v>2981</v>
      </c>
    </row>
    <row r="808" spans="1:1" x14ac:dyDescent="0.25">
      <c r="A808" t="s">
        <v>2982</v>
      </c>
    </row>
    <row r="809" spans="1:1" x14ac:dyDescent="0.25">
      <c r="A809" t="s">
        <v>2983</v>
      </c>
    </row>
    <row r="810" spans="1:1" x14ac:dyDescent="0.25">
      <c r="A810" t="s">
        <v>2984</v>
      </c>
    </row>
    <row r="811" spans="1:1" x14ac:dyDescent="0.25">
      <c r="A811" t="s">
        <v>2985</v>
      </c>
    </row>
    <row r="812" spans="1:1" x14ac:dyDescent="0.25">
      <c r="A812" t="s">
        <v>2986</v>
      </c>
    </row>
    <row r="813" spans="1:1" x14ac:dyDescent="0.25">
      <c r="A813" t="s">
        <v>2987</v>
      </c>
    </row>
    <row r="814" spans="1:1" x14ac:dyDescent="0.25">
      <c r="A814" t="s">
        <v>2988</v>
      </c>
    </row>
    <row r="815" spans="1:1" x14ac:dyDescent="0.25">
      <c r="A815" t="s">
        <v>2989</v>
      </c>
    </row>
    <row r="816" spans="1:1" x14ac:dyDescent="0.25">
      <c r="A816" t="s">
        <v>2990</v>
      </c>
    </row>
    <row r="817" spans="1:1" x14ac:dyDescent="0.25">
      <c r="A817" t="s">
        <v>2991</v>
      </c>
    </row>
    <row r="818" spans="1:1" x14ac:dyDescent="0.25">
      <c r="A818" t="s">
        <v>2992</v>
      </c>
    </row>
    <row r="819" spans="1:1" x14ac:dyDescent="0.25">
      <c r="A819" t="s">
        <v>2993</v>
      </c>
    </row>
    <row r="820" spans="1:1" x14ac:dyDescent="0.25">
      <c r="A820" t="s">
        <v>2994</v>
      </c>
    </row>
    <row r="821" spans="1:1" x14ac:dyDescent="0.25">
      <c r="A821" t="s">
        <v>2995</v>
      </c>
    </row>
    <row r="822" spans="1:1" x14ac:dyDescent="0.25">
      <c r="A822" t="s">
        <v>2996</v>
      </c>
    </row>
    <row r="823" spans="1:1" x14ac:dyDescent="0.25">
      <c r="A823" t="s">
        <v>2997</v>
      </c>
    </row>
    <row r="824" spans="1:1" x14ac:dyDescent="0.25">
      <c r="A824" t="s">
        <v>2998</v>
      </c>
    </row>
    <row r="825" spans="1:1" x14ac:dyDescent="0.25">
      <c r="A825" t="s">
        <v>2999</v>
      </c>
    </row>
    <row r="826" spans="1:1" x14ac:dyDescent="0.25">
      <c r="A826" t="s">
        <v>3000</v>
      </c>
    </row>
    <row r="827" spans="1:1" x14ac:dyDescent="0.25">
      <c r="A827" t="s">
        <v>3001</v>
      </c>
    </row>
    <row r="828" spans="1:1" x14ac:dyDescent="0.25">
      <c r="A828" t="s">
        <v>3002</v>
      </c>
    </row>
    <row r="829" spans="1:1" x14ac:dyDescent="0.25">
      <c r="A829" t="s">
        <v>3003</v>
      </c>
    </row>
    <row r="830" spans="1:1" x14ac:dyDescent="0.25">
      <c r="A830" t="s">
        <v>3004</v>
      </c>
    </row>
    <row r="831" spans="1:1" x14ac:dyDescent="0.25">
      <c r="A831" t="s">
        <v>3005</v>
      </c>
    </row>
    <row r="832" spans="1:1" x14ac:dyDescent="0.25">
      <c r="A832" t="s">
        <v>3006</v>
      </c>
    </row>
    <row r="833" spans="1:1" x14ac:dyDescent="0.25">
      <c r="A833" t="s">
        <v>3007</v>
      </c>
    </row>
    <row r="834" spans="1:1" x14ac:dyDescent="0.25">
      <c r="A834" t="s">
        <v>3008</v>
      </c>
    </row>
    <row r="835" spans="1:1" x14ac:dyDescent="0.25">
      <c r="A835" t="s">
        <v>3009</v>
      </c>
    </row>
    <row r="836" spans="1:1" x14ac:dyDescent="0.25">
      <c r="A836" t="s">
        <v>3010</v>
      </c>
    </row>
    <row r="837" spans="1:1" x14ac:dyDescent="0.25">
      <c r="A837" t="s">
        <v>3011</v>
      </c>
    </row>
    <row r="838" spans="1:1" x14ac:dyDescent="0.25">
      <c r="A838" t="s">
        <v>3012</v>
      </c>
    </row>
    <row r="839" spans="1:1" x14ac:dyDescent="0.25">
      <c r="A839" t="s">
        <v>3013</v>
      </c>
    </row>
    <row r="840" spans="1:1" x14ac:dyDescent="0.25">
      <c r="A840" t="s">
        <v>3014</v>
      </c>
    </row>
    <row r="841" spans="1:1" x14ac:dyDescent="0.25">
      <c r="A841" t="s">
        <v>3015</v>
      </c>
    </row>
    <row r="842" spans="1:1" x14ac:dyDescent="0.25">
      <c r="A842" t="s">
        <v>3016</v>
      </c>
    </row>
    <row r="843" spans="1:1" x14ac:dyDescent="0.25">
      <c r="A843" t="s">
        <v>3017</v>
      </c>
    </row>
    <row r="844" spans="1:1" x14ac:dyDescent="0.25">
      <c r="A844" t="s">
        <v>3018</v>
      </c>
    </row>
    <row r="845" spans="1:1" x14ac:dyDescent="0.25">
      <c r="A845" t="s">
        <v>3019</v>
      </c>
    </row>
    <row r="846" spans="1:1" x14ac:dyDescent="0.25">
      <c r="A846" t="s">
        <v>3020</v>
      </c>
    </row>
    <row r="847" spans="1:1" x14ac:dyDescent="0.25">
      <c r="A847" t="s">
        <v>3021</v>
      </c>
    </row>
    <row r="848" spans="1:1" x14ac:dyDescent="0.25">
      <c r="A848" t="s">
        <v>3022</v>
      </c>
    </row>
    <row r="849" spans="1:1" x14ac:dyDescent="0.25">
      <c r="A849" t="s">
        <v>3023</v>
      </c>
    </row>
    <row r="850" spans="1:1" x14ac:dyDescent="0.25">
      <c r="A850" t="s">
        <v>3024</v>
      </c>
    </row>
    <row r="851" spans="1:1" x14ac:dyDescent="0.25">
      <c r="A851" t="s">
        <v>3025</v>
      </c>
    </row>
    <row r="852" spans="1:1" x14ac:dyDescent="0.25">
      <c r="A852" t="s">
        <v>3026</v>
      </c>
    </row>
    <row r="853" spans="1:1" x14ac:dyDescent="0.25">
      <c r="A853" t="s">
        <v>3027</v>
      </c>
    </row>
    <row r="854" spans="1:1" x14ac:dyDescent="0.25">
      <c r="A854" t="s">
        <v>3028</v>
      </c>
    </row>
    <row r="855" spans="1:1" x14ac:dyDescent="0.25">
      <c r="A855" t="s">
        <v>3029</v>
      </c>
    </row>
    <row r="856" spans="1:1" x14ac:dyDescent="0.25">
      <c r="A856" t="s">
        <v>3030</v>
      </c>
    </row>
    <row r="857" spans="1:1" x14ac:dyDescent="0.25">
      <c r="A857" t="s">
        <v>3031</v>
      </c>
    </row>
    <row r="858" spans="1:1" x14ac:dyDescent="0.25">
      <c r="A858" t="s">
        <v>3032</v>
      </c>
    </row>
    <row r="859" spans="1:1" x14ac:dyDescent="0.25">
      <c r="A859" t="s">
        <v>3033</v>
      </c>
    </row>
    <row r="860" spans="1:1" x14ac:dyDescent="0.25">
      <c r="A860" t="s">
        <v>3034</v>
      </c>
    </row>
    <row r="861" spans="1:1" x14ac:dyDescent="0.25">
      <c r="A861" t="s">
        <v>3035</v>
      </c>
    </row>
    <row r="862" spans="1:1" x14ac:dyDescent="0.25">
      <c r="A862" t="s">
        <v>3036</v>
      </c>
    </row>
    <row r="863" spans="1:1" x14ac:dyDescent="0.25">
      <c r="A863" t="s">
        <v>3037</v>
      </c>
    </row>
    <row r="864" spans="1:1" x14ac:dyDescent="0.25">
      <c r="A864" t="s">
        <v>3038</v>
      </c>
    </row>
    <row r="865" spans="1:1" x14ac:dyDescent="0.25">
      <c r="A865" t="s">
        <v>3039</v>
      </c>
    </row>
    <row r="866" spans="1:1" x14ac:dyDescent="0.25">
      <c r="A866" t="s">
        <v>3040</v>
      </c>
    </row>
    <row r="867" spans="1:1" x14ac:dyDescent="0.25">
      <c r="A867" t="s">
        <v>3041</v>
      </c>
    </row>
    <row r="868" spans="1:1" x14ac:dyDescent="0.25">
      <c r="A868" t="s">
        <v>3042</v>
      </c>
    </row>
    <row r="869" spans="1:1" x14ac:dyDescent="0.25">
      <c r="A869" t="s">
        <v>3043</v>
      </c>
    </row>
    <row r="870" spans="1:1" x14ac:dyDescent="0.25">
      <c r="A870" t="s">
        <v>3044</v>
      </c>
    </row>
    <row r="871" spans="1:1" x14ac:dyDescent="0.25">
      <c r="A871" t="s">
        <v>3045</v>
      </c>
    </row>
    <row r="872" spans="1:1" x14ac:dyDescent="0.25">
      <c r="A872" t="s">
        <v>3046</v>
      </c>
    </row>
    <row r="873" spans="1:1" x14ac:dyDescent="0.25">
      <c r="A873" t="s">
        <v>3047</v>
      </c>
    </row>
    <row r="874" spans="1:1" x14ac:dyDescent="0.25">
      <c r="A874" t="s">
        <v>3048</v>
      </c>
    </row>
    <row r="875" spans="1:1" x14ac:dyDescent="0.25">
      <c r="A875" t="s">
        <v>3049</v>
      </c>
    </row>
    <row r="876" spans="1:1" x14ac:dyDescent="0.25">
      <c r="A876" t="s">
        <v>3050</v>
      </c>
    </row>
    <row r="877" spans="1:1" x14ac:dyDescent="0.25">
      <c r="A877" t="s">
        <v>3051</v>
      </c>
    </row>
    <row r="878" spans="1:1" x14ac:dyDescent="0.25">
      <c r="A878" t="s">
        <v>3052</v>
      </c>
    </row>
    <row r="879" spans="1:1" x14ac:dyDescent="0.25">
      <c r="A879" t="s">
        <v>3053</v>
      </c>
    </row>
    <row r="880" spans="1:1" x14ac:dyDescent="0.25">
      <c r="A880" t="s">
        <v>3054</v>
      </c>
    </row>
    <row r="881" spans="1:1" x14ac:dyDescent="0.25">
      <c r="A881" t="s">
        <v>3055</v>
      </c>
    </row>
    <row r="882" spans="1:1" x14ac:dyDescent="0.25">
      <c r="A882" t="s">
        <v>3056</v>
      </c>
    </row>
    <row r="883" spans="1:1" x14ac:dyDescent="0.25">
      <c r="A883" t="s">
        <v>3057</v>
      </c>
    </row>
    <row r="884" spans="1:1" x14ac:dyDescent="0.25">
      <c r="A884" t="s">
        <v>3058</v>
      </c>
    </row>
    <row r="885" spans="1:1" x14ac:dyDescent="0.25">
      <c r="A885" t="s">
        <v>3059</v>
      </c>
    </row>
    <row r="886" spans="1:1" x14ac:dyDescent="0.25">
      <c r="A886" t="s">
        <v>3060</v>
      </c>
    </row>
    <row r="887" spans="1:1" x14ac:dyDescent="0.25">
      <c r="A887" t="s">
        <v>3061</v>
      </c>
    </row>
    <row r="888" spans="1:1" x14ac:dyDescent="0.25">
      <c r="A888" t="s">
        <v>3062</v>
      </c>
    </row>
    <row r="889" spans="1:1" x14ac:dyDescent="0.25">
      <c r="A889" t="s">
        <v>3063</v>
      </c>
    </row>
    <row r="890" spans="1:1" x14ac:dyDescent="0.25">
      <c r="A890" t="s">
        <v>3064</v>
      </c>
    </row>
    <row r="891" spans="1:1" x14ac:dyDescent="0.25">
      <c r="A891" t="s">
        <v>3065</v>
      </c>
    </row>
    <row r="892" spans="1:1" x14ac:dyDescent="0.25">
      <c r="A892" t="s">
        <v>3066</v>
      </c>
    </row>
    <row r="893" spans="1:1" x14ac:dyDescent="0.25">
      <c r="A893" t="s">
        <v>3067</v>
      </c>
    </row>
    <row r="894" spans="1:1" x14ac:dyDescent="0.25">
      <c r="A894" t="s">
        <v>3068</v>
      </c>
    </row>
    <row r="895" spans="1:1" x14ac:dyDescent="0.25">
      <c r="A895" t="s">
        <v>3069</v>
      </c>
    </row>
    <row r="896" spans="1:1" x14ac:dyDescent="0.25">
      <c r="A896" t="s">
        <v>3070</v>
      </c>
    </row>
    <row r="897" spans="1:1" x14ac:dyDescent="0.25">
      <c r="A897" t="s">
        <v>3071</v>
      </c>
    </row>
    <row r="898" spans="1:1" x14ac:dyDescent="0.25">
      <c r="A898" t="s">
        <v>3072</v>
      </c>
    </row>
    <row r="899" spans="1:1" x14ac:dyDescent="0.25">
      <c r="A899" t="s">
        <v>3073</v>
      </c>
    </row>
    <row r="900" spans="1:1" x14ac:dyDescent="0.25">
      <c r="A900" t="s">
        <v>3074</v>
      </c>
    </row>
    <row r="901" spans="1:1" x14ac:dyDescent="0.25">
      <c r="A901" t="s">
        <v>3075</v>
      </c>
    </row>
    <row r="902" spans="1:1" x14ac:dyDescent="0.25">
      <c r="A902" t="s">
        <v>3076</v>
      </c>
    </row>
    <row r="903" spans="1:1" x14ac:dyDescent="0.25">
      <c r="A903" t="s">
        <v>3077</v>
      </c>
    </row>
    <row r="904" spans="1:1" x14ac:dyDescent="0.25">
      <c r="A904" t="s">
        <v>3078</v>
      </c>
    </row>
    <row r="905" spans="1:1" x14ac:dyDescent="0.25">
      <c r="A905" t="s">
        <v>3079</v>
      </c>
    </row>
    <row r="906" spans="1:1" x14ac:dyDescent="0.25">
      <c r="A906" t="s">
        <v>3080</v>
      </c>
    </row>
    <row r="907" spans="1:1" x14ac:dyDescent="0.25">
      <c r="A907" t="s">
        <v>3081</v>
      </c>
    </row>
    <row r="908" spans="1:1" x14ac:dyDescent="0.25">
      <c r="A908" t="s">
        <v>3082</v>
      </c>
    </row>
    <row r="909" spans="1:1" x14ac:dyDescent="0.25">
      <c r="A909" t="s">
        <v>3083</v>
      </c>
    </row>
    <row r="910" spans="1:1" x14ac:dyDescent="0.25">
      <c r="A910" t="s">
        <v>3084</v>
      </c>
    </row>
    <row r="911" spans="1:1" x14ac:dyDescent="0.25">
      <c r="A911" t="s">
        <v>3085</v>
      </c>
    </row>
    <row r="912" spans="1:1" x14ac:dyDescent="0.25">
      <c r="A912" t="s">
        <v>3086</v>
      </c>
    </row>
    <row r="913" spans="1:1" x14ac:dyDescent="0.25">
      <c r="A913" t="s">
        <v>3087</v>
      </c>
    </row>
    <row r="914" spans="1:1" x14ac:dyDescent="0.25">
      <c r="A914" t="s">
        <v>3088</v>
      </c>
    </row>
    <row r="915" spans="1:1" x14ac:dyDescent="0.25">
      <c r="A915" t="s">
        <v>3089</v>
      </c>
    </row>
    <row r="916" spans="1:1" x14ac:dyDescent="0.25">
      <c r="A916" t="s">
        <v>3090</v>
      </c>
    </row>
    <row r="917" spans="1:1" x14ac:dyDescent="0.25">
      <c r="A917" t="s">
        <v>3091</v>
      </c>
    </row>
    <row r="918" spans="1:1" x14ac:dyDescent="0.25">
      <c r="A918" t="s">
        <v>3092</v>
      </c>
    </row>
    <row r="919" spans="1:1" x14ac:dyDescent="0.25">
      <c r="A919" t="s">
        <v>3093</v>
      </c>
    </row>
    <row r="920" spans="1:1" x14ac:dyDescent="0.25">
      <c r="A920" t="s">
        <v>3094</v>
      </c>
    </row>
    <row r="921" spans="1:1" x14ac:dyDescent="0.25">
      <c r="A921" t="s">
        <v>3095</v>
      </c>
    </row>
    <row r="922" spans="1:1" x14ac:dyDescent="0.25">
      <c r="A922" t="s">
        <v>3096</v>
      </c>
    </row>
    <row r="923" spans="1:1" x14ac:dyDescent="0.25">
      <c r="A923" t="s">
        <v>3097</v>
      </c>
    </row>
    <row r="924" spans="1:1" x14ac:dyDescent="0.25">
      <c r="A924" t="s">
        <v>3098</v>
      </c>
    </row>
    <row r="925" spans="1:1" x14ac:dyDescent="0.25">
      <c r="A925" t="s">
        <v>3099</v>
      </c>
    </row>
    <row r="926" spans="1:1" x14ac:dyDescent="0.25">
      <c r="A926" t="s">
        <v>3100</v>
      </c>
    </row>
    <row r="927" spans="1:1" x14ac:dyDescent="0.25">
      <c r="A927" t="s">
        <v>3101</v>
      </c>
    </row>
    <row r="928" spans="1:1" x14ac:dyDescent="0.25">
      <c r="A928" t="s">
        <v>3102</v>
      </c>
    </row>
    <row r="929" spans="1:1" x14ac:dyDescent="0.25">
      <c r="A929" t="s">
        <v>3103</v>
      </c>
    </row>
    <row r="930" spans="1:1" x14ac:dyDescent="0.25">
      <c r="A930" t="s">
        <v>3104</v>
      </c>
    </row>
    <row r="931" spans="1:1" x14ac:dyDescent="0.25">
      <c r="A931" t="s">
        <v>3105</v>
      </c>
    </row>
    <row r="932" spans="1:1" x14ac:dyDescent="0.25">
      <c r="A932" t="s">
        <v>3106</v>
      </c>
    </row>
    <row r="933" spans="1:1" x14ac:dyDescent="0.25">
      <c r="A933" t="s">
        <v>3107</v>
      </c>
    </row>
    <row r="934" spans="1:1" x14ac:dyDescent="0.25">
      <c r="A934" t="s">
        <v>3108</v>
      </c>
    </row>
    <row r="935" spans="1:1" x14ac:dyDescent="0.25">
      <c r="A935" t="s">
        <v>3109</v>
      </c>
    </row>
    <row r="936" spans="1:1" x14ac:dyDescent="0.25">
      <c r="A936" t="s">
        <v>3110</v>
      </c>
    </row>
    <row r="937" spans="1:1" x14ac:dyDescent="0.25">
      <c r="A937" t="s">
        <v>3111</v>
      </c>
    </row>
    <row r="938" spans="1:1" x14ac:dyDescent="0.25">
      <c r="A938" t="s">
        <v>3112</v>
      </c>
    </row>
    <row r="939" spans="1:1" x14ac:dyDescent="0.25">
      <c r="A939" t="s">
        <v>3113</v>
      </c>
    </row>
    <row r="940" spans="1:1" x14ac:dyDescent="0.25">
      <c r="A940" t="s">
        <v>3114</v>
      </c>
    </row>
    <row r="941" spans="1:1" x14ac:dyDescent="0.25">
      <c r="A941" t="s">
        <v>3115</v>
      </c>
    </row>
    <row r="942" spans="1:1" x14ac:dyDescent="0.25">
      <c r="A942" t="s">
        <v>3116</v>
      </c>
    </row>
    <row r="943" spans="1:1" x14ac:dyDescent="0.25">
      <c r="A943" t="s">
        <v>3117</v>
      </c>
    </row>
    <row r="944" spans="1:1" x14ac:dyDescent="0.25">
      <c r="A944" t="s">
        <v>3118</v>
      </c>
    </row>
    <row r="945" spans="1:1" x14ac:dyDescent="0.25">
      <c r="A945" t="s">
        <v>3119</v>
      </c>
    </row>
    <row r="946" spans="1:1" x14ac:dyDescent="0.25">
      <c r="A946" t="s">
        <v>3120</v>
      </c>
    </row>
    <row r="947" spans="1:1" x14ac:dyDescent="0.25">
      <c r="A947" t="s">
        <v>3121</v>
      </c>
    </row>
    <row r="948" spans="1:1" x14ac:dyDescent="0.25">
      <c r="A948" t="s">
        <v>3122</v>
      </c>
    </row>
    <row r="949" spans="1:1" x14ac:dyDescent="0.25">
      <c r="A949" t="s">
        <v>3123</v>
      </c>
    </row>
    <row r="950" spans="1:1" x14ac:dyDescent="0.25">
      <c r="A950" t="s">
        <v>3124</v>
      </c>
    </row>
    <row r="951" spans="1:1" x14ac:dyDescent="0.25">
      <c r="A951" t="s">
        <v>3125</v>
      </c>
    </row>
    <row r="952" spans="1:1" x14ac:dyDescent="0.25">
      <c r="A952" t="s">
        <v>3126</v>
      </c>
    </row>
    <row r="953" spans="1:1" x14ac:dyDescent="0.25">
      <c r="A953" t="s">
        <v>3127</v>
      </c>
    </row>
    <row r="954" spans="1:1" x14ac:dyDescent="0.25">
      <c r="A954" t="s">
        <v>3128</v>
      </c>
    </row>
    <row r="955" spans="1:1" x14ac:dyDescent="0.25">
      <c r="A955" t="s">
        <v>3129</v>
      </c>
    </row>
    <row r="956" spans="1:1" x14ac:dyDescent="0.25">
      <c r="A956" t="s">
        <v>3130</v>
      </c>
    </row>
    <row r="957" spans="1:1" x14ac:dyDescent="0.25">
      <c r="A957" t="s">
        <v>3131</v>
      </c>
    </row>
    <row r="958" spans="1:1" x14ac:dyDescent="0.25">
      <c r="A958" t="s">
        <v>3132</v>
      </c>
    </row>
    <row r="959" spans="1:1" x14ac:dyDescent="0.25">
      <c r="A959" t="s">
        <v>3133</v>
      </c>
    </row>
    <row r="960" spans="1:1" x14ac:dyDescent="0.25">
      <c r="A960" t="s">
        <v>3134</v>
      </c>
    </row>
    <row r="961" spans="1:1" x14ac:dyDescent="0.25">
      <c r="A961" t="s">
        <v>3135</v>
      </c>
    </row>
    <row r="962" spans="1:1" x14ac:dyDescent="0.25">
      <c r="A962" t="s">
        <v>3136</v>
      </c>
    </row>
    <row r="963" spans="1:1" x14ac:dyDescent="0.25">
      <c r="A963" t="s">
        <v>3137</v>
      </c>
    </row>
    <row r="964" spans="1:1" x14ac:dyDescent="0.25">
      <c r="A964" t="s">
        <v>3138</v>
      </c>
    </row>
    <row r="965" spans="1:1" x14ac:dyDescent="0.25">
      <c r="A965" t="s">
        <v>3139</v>
      </c>
    </row>
    <row r="966" spans="1:1" x14ac:dyDescent="0.25">
      <c r="A966" t="s">
        <v>3140</v>
      </c>
    </row>
    <row r="967" spans="1:1" x14ac:dyDescent="0.25">
      <c r="A967" t="s">
        <v>3141</v>
      </c>
    </row>
    <row r="968" spans="1:1" x14ac:dyDescent="0.25">
      <c r="A968" t="s">
        <v>3142</v>
      </c>
    </row>
    <row r="969" spans="1:1" x14ac:dyDescent="0.25">
      <c r="A969" t="s">
        <v>3143</v>
      </c>
    </row>
    <row r="970" spans="1:1" x14ac:dyDescent="0.25">
      <c r="A970" t="s">
        <v>3144</v>
      </c>
    </row>
    <row r="971" spans="1:1" x14ac:dyDescent="0.25">
      <c r="A971" t="s">
        <v>3145</v>
      </c>
    </row>
    <row r="972" spans="1:1" x14ac:dyDescent="0.25">
      <c r="A972" t="s">
        <v>3146</v>
      </c>
    </row>
    <row r="973" spans="1:1" x14ac:dyDescent="0.25">
      <c r="A973" t="s">
        <v>3147</v>
      </c>
    </row>
    <row r="974" spans="1:1" x14ac:dyDescent="0.25">
      <c r="A974" t="s">
        <v>3148</v>
      </c>
    </row>
    <row r="975" spans="1:1" x14ac:dyDescent="0.25">
      <c r="A975" t="s">
        <v>3149</v>
      </c>
    </row>
    <row r="976" spans="1:1" x14ac:dyDescent="0.25">
      <c r="A976" t="s">
        <v>3150</v>
      </c>
    </row>
    <row r="977" spans="1:1" x14ac:dyDescent="0.25">
      <c r="A977" t="s">
        <v>3151</v>
      </c>
    </row>
    <row r="978" spans="1:1" x14ac:dyDescent="0.25">
      <c r="A978" t="s">
        <v>3152</v>
      </c>
    </row>
    <row r="979" spans="1:1" x14ac:dyDescent="0.25">
      <c r="A979" t="s">
        <v>3153</v>
      </c>
    </row>
    <row r="980" spans="1:1" x14ac:dyDescent="0.25">
      <c r="A980" t="s">
        <v>3154</v>
      </c>
    </row>
    <row r="981" spans="1:1" x14ac:dyDescent="0.25">
      <c r="A981" t="s">
        <v>3155</v>
      </c>
    </row>
    <row r="982" spans="1:1" x14ac:dyDescent="0.25">
      <c r="A982" t="s">
        <v>3156</v>
      </c>
    </row>
    <row r="983" spans="1:1" x14ac:dyDescent="0.25">
      <c r="A983" t="s">
        <v>3157</v>
      </c>
    </row>
    <row r="984" spans="1:1" x14ac:dyDescent="0.25">
      <c r="A984" t="s">
        <v>3158</v>
      </c>
    </row>
    <row r="985" spans="1:1" x14ac:dyDescent="0.25">
      <c r="A985" t="s">
        <v>3159</v>
      </c>
    </row>
    <row r="986" spans="1:1" x14ac:dyDescent="0.25">
      <c r="A986" t="s">
        <v>3160</v>
      </c>
    </row>
    <row r="987" spans="1:1" x14ac:dyDescent="0.25">
      <c r="A987" t="s">
        <v>3161</v>
      </c>
    </row>
    <row r="988" spans="1:1" x14ac:dyDescent="0.25">
      <c r="A988" t="s">
        <v>3162</v>
      </c>
    </row>
    <row r="989" spans="1:1" x14ac:dyDescent="0.25">
      <c r="A989" t="s">
        <v>3163</v>
      </c>
    </row>
    <row r="990" spans="1:1" x14ac:dyDescent="0.25">
      <c r="A990" t="s">
        <v>3164</v>
      </c>
    </row>
    <row r="991" spans="1:1" x14ac:dyDescent="0.25">
      <c r="A991" t="s">
        <v>3165</v>
      </c>
    </row>
    <row r="992" spans="1:1" x14ac:dyDescent="0.25">
      <c r="A992" t="s">
        <v>3166</v>
      </c>
    </row>
    <row r="993" spans="1:1" x14ac:dyDescent="0.25">
      <c r="A993" t="s">
        <v>3167</v>
      </c>
    </row>
    <row r="994" spans="1:1" x14ac:dyDescent="0.25">
      <c r="A994" t="s">
        <v>3168</v>
      </c>
    </row>
    <row r="995" spans="1:1" x14ac:dyDescent="0.25">
      <c r="A995" t="s">
        <v>3169</v>
      </c>
    </row>
    <row r="996" spans="1:1" x14ac:dyDescent="0.25">
      <c r="A996" t="s">
        <v>3170</v>
      </c>
    </row>
    <row r="997" spans="1:1" x14ac:dyDescent="0.25">
      <c r="A997" t="s">
        <v>3171</v>
      </c>
    </row>
    <row r="998" spans="1:1" x14ac:dyDescent="0.25">
      <c r="A998" t="s">
        <v>3172</v>
      </c>
    </row>
    <row r="999" spans="1:1" x14ac:dyDescent="0.25">
      <c r="A999" t="s">
        <v>3173</v>
      </c>
    </row>
    <row r="1000" spans="1:1" x14ac:dyDescent="0.25">
      <c r="A1000" t="s">
        <v>3174</v>
      </c>
    </row>
    <row r="1001" spans="1:1" x14ac:dyDescent="0.25">
      <c r="A1001" t="s">
        <v>3175</v>
      </c>
    </row>
    <row r="1002" spans="1:1" x14ac:dyDescent="0.25">
      <c r="A1002" t="s">
        <v>3176</v>
      </c>
    </row>
    <row r="1003" spans="1:1" x14ac:dyDescent="0.25">
      <c r="A1003" t="s">
        <v>3177</v>
      </c>
    </row>
    <row r="1004" spans="1:1" x14ac:dyDescent="0.25">
      <c r="A1004" t="s">
        <v>3178</v>
      </c>
    </row>
    <row r="1005" spans="1:1" x14ac:dyDescent="0.25">
      <c r="A1005" t="s">
        <v>3179</v>
      </c>
    </row>
    <row r="1006" spans="1:1" x14ac:dyDescent="0.25">
      <c r="A1006" t="s">
        <v>3180</v>
      </c>
    </row>
    <row r="1007" spans="1:1" x14ac:dyDescent="0.25">
      <c r="A1007" t="s">
        <v>3181</v>
      </c>
    </row>
    <row r="1008" spans="1:1" x14ac:dyDescent="0.25">
      <c r="A1008" t="s">
        <v>3182</v>
      </c>
    </row>
    <row r="1009" spans="1:1" x14ac:dyDescent="0.25">
      <c r="A1009" t="s">
        <v>3183</v>
      </c>
    </row>
    <row r="1010" spans="1:1" x14ac:dyDescent="0.25">
      <c r="A1010" t="s">
        <v>3184</v>
      </c>
    </row>
    <row r="1011" spans="1:1" x14ac:dyDescent="0.25">
      <c r="A1011" t="s">
        <v>3185</v>
      </c>
    </row>
    <row r="1012" spans="1:1" x14ac:dyDescent="0.25">
      <c r="A1012" t="s">
        <v>3186</v>
      </c>
    </row>
    <row r="1013" spans="1:1" x14ac:dyDescent="0.25">
      <c r="A1013" t="s">
        <v>3187</v>
      </c>
    </row>
    <row r="1014" spans="1:1" x14ac:dyDescent="0.25">
      <c r="A1014" t="s">
        <v>3188</v>
      </c>
    </row>
    <row r="1015" spans="1:1" x14ac:dyDescent="0.25">
      <c r="A1015" t="s">
        <v>3189</v>
      </c>
    </row>
    <row r="1016" spans="1:1" x14ac:dyDescent="0.25">
      <c r="A1016" t="s">
        <v>3190</v>
      </c>
    </row>
    <row r="1017" spans="1:1" x14ac:dyDescent="0.25">
      <c r="A1017" t="s">
        <v>3191</v>
      </c>
    </row>
    <row r="1018" spans="1:1" x14ac:dyDescent="0.25">
      <c r="A1018" t="s">
        <v>3192</v>
      </c>
    </row>
    <row r="1019" spans="1:1" x14ac:dyDescent="0.25">
      <c r="A1019" t="s">
        <v>3193</v>
      </c>
    </row>
    <row r="1020" spans="1:1" x14ac:dyDescent="0.25">
      <c r="A1020" t="s">
        <v>3194</v>
      </c>
    </row>
    <row r="1021" spans="1:1" x14ac:dyDescent="0.25">
      <c r="A1021" t="s">
        <v>3195</v>
      </c>
    </row>
    <row r="1022" spans="1:1" x14ac:dyDescent="0.25">
      <c r="A1022" t="s">
        <v>3196</v>
      </c>
    </row>
    <row r="1023" spans="1:1" x14ac:dyDescent="0.25">
      <c r="A1023" t="s">
        <v>3197</v>
      </c>
    </row>
    <row r="1024" spans="1:1" x14ac:dyDescent="0.25">
      <c r="A1024" t="s">
        <v>3198</v>
      </c>
    </row>
    <row r="1025" spans="1:1" x14ac:dyDescent="0.25">
      <c r="A1025" t="s">
        <v>3199</v>
      </c>
    </row>
    <row r="1026" spans="1:1" x14ac:dyDescent="0.25">
      <c r="A1026" t="s">
        <v>3200</v>
      </c>
    </row>
    <row r="1027" spans="1:1" x14ac:dyDescent="0.25">
      <c r="A1027" t="s">
        <v>3201</v>
      </c>
    </row>
    <row r="1028" spans="1:1" x14ac:dyDescent="0.25">
      <c r="A1028" t="s">
        <v>3202</v>
      </c>
    </row>
    <row r="1029" spans="1:1" x14ac:dyDescent="0.25">
      <c r="A1029" t="s">
        <v>3203</v>
      </c>
    </row>
    <row r="1030" spans="1:1" x14ac:dyDescent="0.25">
      <c r="A1030" t="s">
        <v>3204</v>
      </c>
    </row>
    <row r="1031" spans="1:1" x14ac:dyDescent="0.25">
      <c r="A1031" t="s">
        <v>3205</v>
      </c>
    </row>
    <row r="1032" spans="1:1" x14ac:dyDescent="0.25">
      <c r="A1032" t="s">
        <v>3206</v>
      </c>
    </row>
    <row r="1033" spans="1:1" x14ac:dyDescent="0.25">
      <c r="A1033" t="s">
        <v>3207</v>
      </c>
    </row>
    <row r="1034" spans="1:1" x14ac:dyDescent="0.25">
      <c r="A1034" t="s">
        <v>3208</v>
      </c>
    </row>
    <row r="1035" spans="1:1" x14ac:dyDescent="0.25">
      <c r="A1035" t="s">
        <v>3209</v>
      </c>
    </row>
    <row r="1036" spans="1:1" x14ac:dyDescent="0.25">
      <c r="A1036" t="s">
        <v>3210</v>
      </c>
    </row>
    <row r="1037" spans="1:1" x14ac:dyDescent="0.25">
      <c r="A1037" t="s">
        <v>3211</v>
      </c>
    </row>
    <row r="1038" spans="1:1" x14ac:dyDescent="0.25">
      <c r="A1038" t="s">
        <v>3212</v>
      </c>
    </row>
    <row r="1039" spans="1:1" x14ac:dyDescent="0.25">
      <c r="A1039" t="s">
        <v>3213</v>
      </c>
    </row>
    <row r="1040" spans="1:1" x14ac:dyDescent="0.25">
      <c r="A1040" t="s">
        <v>3214</v>
      </c>
    </row>
    <row r="1041" spans="1:1" x14ac:dyDescent="0.25">
      <c r="A1041" t="s">
        <v>3215</v>
      </c>
    </row>
    <row r="1042" spans="1:1" x14ac:dyDescent="0.25">
      <c r="A1042" t="s">
        <v>3216</v>
      </c>
    </row>
    <row r="1043" spans="1:1" x14ac:dyDescent="0.25">
      <c r="A1043" t="s">
        <v>3217</v>
      </c>
    </row>
    <row r="1044" spans="1:1" x14ac:dyDescent="0.25">
      <c r="A1044" t="s">
        <v>3218</v>
      </c>
    </row>
    <row r="1045" spans="1:1" x14ac:dyDescent="0.25">
      <c r="A1045" t="s">
        <v>3219</v>
      </c>
    </row>
    <row r="1046" spans="1:1" x14ac:dyDescent="0.25">
      <c r="A1046" t="s">
        <v>3220</v>
      </c>
    </row>
    <row r="1047" spans="1:1" x14ac:dyDescent="0.25">
      <c r="A1047" t="s">
        <v>3221</v>
      </c>
    </row>
    <row r="1048" spans="1:1" x14ac:dyDescent="0.25">
      <c r="A1048" t="s">
        <v>3222</v>
      </c>
    </row>
    <row r="1049" spans="1:1" x14ac:dyDescent="0.25">
      <c r="A1049" t="s">
        <v>3223</v>
      </c>
    </row>
    <row r="1050" spans="1:1" x14ac:dyDescent="0.25">
      <c r="A1050" t="s">
        <v>3224</v>
      </c>
    </row>
    <row r="1051" spans="1:1" x14ac:dyDescent="0.25">
      <c r="A1051" t="s">
        <v>3225</v>
      </c>
    </row>
    <row r="1052" spans="1:1" x14ac:dyDescent="0.25">
      <c r="A1052" t="s">
        <v>3226</v>
      </c>
    </row>
    <row r="1053" spans="1:1" x14ac:dyDescent="0.25">
      <c r="A1053" t="s">
        <v>3227</v>
      </c>
    </row>
    <row r="1054" spans="1:1" x14ac:dyDescent="0.25">
      <c r="A1054" t="s">
        <v>3228</v>
      </c>
    </row>
    <row r="1055" spans="1:1" x14ac:dyDescent="0.25">
      <c r="A1055" t="s">
        <v>3229</v>
      </c>
    </row>
    <row r="1056" spans="1:1" x14ac:dyDescent="0.25">
      <c r="A1056" t="s">
        <v>3230</v>
      </c>
    </row>
    <row r="1057" spans="1:1" x14ac:dyDescent="0.25">
      <c r="A1057" t="s">
        <v>3231</v>
      </c>
    </row>
    <row r="1058" spans="1:1" x14ac:dyDescent="0.25">
      <c r="A1058" t="s">
        <v>3232</v>
      </c>
    </row>
    <row r="1059" spans="1:1" x14ac:dyDescent="0.25">
      <c r="A1059" t="s">
        <v>3233</v>
      </c>
    </row>
    <row r="1060" spans="1:1" x14ac:dyDescent="0.25">
      <c r="A1060" t="s">
        <v>3234</v>
      </c>
    </row>
    <row r="1061" spans="1:1" x14ac:dyDescent="0.25">
      <c r="A1061" t="s">
        <v>3235</v>
      </c>
    </row>
    <row r="1062" spans="1:1" x14ac:dyDescent="0.25">
      <c r="A1062" t="s">
        <v>3236</v>
      </c>
    </row>
    <row r="1063" spans="1:1" x14ac:dyDescent="0.25">
      <c r="A1063" t="s">
        <v>3237</v>
      </c>
    </row>
    <row r="1064" spans="1:1" x14ac:dyDescent="0.25">
      <c r="A1064" t="s">
        <v>3238</v>
      </c>
    </row>
    <row r="1065" spans="1:1" x14ac:dyDescent="0.25">
      <c r="A1065" t="s">
        <v>3239</v>
      </c>
    </row>
    <row r="1066" spans="1:1" x14ac:dyDescent="0.25">
      <c r="A1066" t="s">
        <v>3240</v>
      </c>
    </row>
    <row r="1067" spans="1:1" x14ac:dyDescent="0.25">
      <c r="A1067" t="s">
        <v>3241</v>
      </c>
    </row>
    <row r="1068" spans="1:1" x14ac:dyDescent="0.25">
      <c r="A1068" t="s">
        <v>3242</v>
      </c>
    </row>
    <row r="1069" spans="1:1" x14ac:dyDescent="0.25">
      <c r="A1069" t="s">
        <v>3243</v>
      </c>
    </row>
    <row r="1070" spans="1:1" x14ac:dyDescent="0.25">
      <c r="A1070" t="s">
        <v>3244</v>
      </c>
    </row>
    <row r="1071" spans="1:1" x14ac:dyDescent="0.25">
      <c r="A1071" t="s">
        <v>3245</v>
      </c>
    </row>
    <row r="1072" spans="1:1" x14ac:dyDescent="0.25">
      <c r="A1072" t="s">
        <v>3246</v>
      </c>
    </row>
    <row r="1073" spans="1:1" x14ac:dyDescent="0.25">
      <c r="A1073" t="s">
        <v>3247</v>
      </c>
    </row>
    <row r="1074" spans="1:1" x14ac:dyDescent="0.25">
      <c r="A1074" t="s">
        <v>3248</v>
      </c>
    </row>
    <row r="1075" spans="1:1" x14ac:dyDescent="0.25">
      <c r="A1075" t="s">
        <v>3249</v>
      </c>
    </row>
    <row r="1076" spans="1:1" x14ac:dyDescent="0.25">
      <c r="A1076" t="s">
        <v>3250</v>
      </c>
    </row>
    <row r="1077" spans="1:1" x14ac:dyDescent="0.25">
      <c r="A1077" t="s">
        <v>3251</v>
      </c>
    </row>
    <row r="1078" spans="1:1" x14ac:dyDescent="0.25">
      <c r="A1078" t="s">
        <v>3252</v>
      </c>
    </row>
    <row r="1079" spans="1:1" x14ac:dyDescent="0.25">
      <c r="A1079" t="s">
        <v>3253</v>
      </c>
    </row>
    <row r="1080" spans="1:1" x14ac:dyDescent="0.25">
      <c r="A1080" t="s">
        <v>3254</v>
      </c>
    </row>
    <row r="1081" spans="1:1" x14ac:dyDescent="0.25">
      <c r="A1081" t="s">
        <v>3255</v>
      </c>
    </row>
    <row r="1082" spans="1:1" x14ac:dyDescent="0.25">
      <c r="A1082" t="s">
        <v>3256</v>
      </c>
    </row>
    <row r="1083" spans="1:1" x14ac:dyDescent="0.25">
      <c r="A1083" t="s">
        <v>3257</v>
      </c>
    </row>
    <row r="1084" spans="1:1" x14ac:dyDescent="0.25">
      <c r="A1084" t="s">
        <v>3258</v>
      </c>
    </row>
    <row r="1085" spans="1:1" x14ac:dyDescent="0.25">
      <c r="A1085" t="s">
        <v>3259</v>
      </c>
    </row>
    <row r="1086" spans="1:1" x14ac:dyDescent="0.25">
      <c r="A1086" t="s">
        <v>3260</v>
      </c>
    </row>
    <row r="1087" spans="1:1" x14ac:dyDescent="0.25">
      <c r="A1087" t="s">
        <v>3261</v>
      </c>
    </row>
    <row r="1088" spans="1:1" x14ac:dyDescent="0.25">
      <c r="A1088" t="s">
        <v>3262</v>
      </c>
    </row>
    <row r="1089" spans="1:1" x14ac:dyDescent="0.25">
      <c r="A1089" t="s">
        <v>3263</v>
      </c>
    </row>
    <row r="1090" spans="1:1" x14ac:dyDescent="0.25">
      <c r="A1090" t="s">
        <v>3264</v>
      </c>
    </row>
    <row r="1091" spans="1:1" x14ac:dyDescent="0.25">
      <c r="A1091" t="s">
        <v>3265</v>
      </c>
    </row>
    <row r="1092" spans="1:1" x14ac:dyDescent="0.25">
      <c r="A1092" t="s">
        <v>3266</v>
      </c>
    </row>
    <row r="1093" spans="1:1" x14ac:dyDescent="0.25">
      <c r="A1093" t="s">
        <v>3267</v>
      </c>
    </row>
    <row r="1094" spans="1:1" x14ac:dyDescent="0.25">
      <c r="A1094" t="s">
        <v>3268</v>
      </c>
    </row>
    <row r="1095" spans="1:1" x14ac:dyDescent="0.25">
      <c r="A1095" t="s">
        <v>3269</v>
      </c>
    </row>
    <row r="1096" spans="1:1" x14ac:dyDescent="0.25">
      <c r="A1096" t="s">
        <v>3270</v>
      </c>
    </row>
    <row r="1097" spans="1:1" x14ac:dyDescent="0.25">
      <c r="A1097" t="s">
        <v>3271</v>
      </c>
    </row>
    <row r="1098" spans="1:1" x14ac:dyDescent="0.25">
      <c r="A1098" t="s">
        <v>3272</v>
      </c>
    </row>
    <row r="1099" spans="1:1" x14ac:dyDescent="0.25">
      <c r="A1099" t="s">
        <v>3273</v>
      </c>
    </row>
    <row r="1100" spans="1:1" x14ac:dyDescent="0.25">
      <c r="A1100" t="s">
        <v>3274</v>
      </c>
    </row>
    <row r="1101" spans="1:1" x14ac:dyDescent="0.25">
      <c r="A1101" t="s">
        <v>3275</v>
      </c>
    </row>
    <row r="1102" spans="1:1" x14ac:dyDescent="0.25">
      <c r="A1102" t="s">
        <v>3276</v>
      </c>
    </row>
    <row r="1103" spans="1:1" x14ac:dyDescent="0.25">
      <c r="A1103" t="s">
        <v>3277</v>
      </c>
    </row>
    <row r="1104" spans="1:1" x14ac:dyDescent="0.25">
      <c r="A1104" t="s">
        <v>3278</v>
      </c>
    </row>
    <row r="1105" spans="1:1" x14ac:dyDescent="0.25">
      <c r="A1105" t="s">
        <v>3279</v>
      </c>
    </row>
    <row r="1106" spans="1:1" x14ac:dyDescent="0.25">
      <c r="A1106" t="s">
        <v>3280</v>
      </c>
    </row>
    <row r="1107" spans="1:1" x14ac:dyDescent="0.25">
      <c r="A1107" t="s">
        <v>3281</v>
      </c>
    </row>
    <row r="1108" spans="1:1" x14ac:dyDescent="0.25">
      <c r="A1108" t="s">
        <v>3282</v>
      </c>
    </row>
    <row r="1109" spans="1:1" x14ac:dyDescent="0.25">
      <c r="A1109" t="s">
        <v>3283</v>
      </c>
    </row>
    <row r="1110" spans="1:1" x14ac:dyDescent="0.25">
      <c r="A1110" t="s">
        <v>3284</v>
      </c>
    </row>
    <row r="1111" spans="1:1" x14ac:dyDescent="0.25">
      <c r="A1111" t="s">
        <v>3285</v>
      </c>
    </row>
    <row r="1112" spans="1:1" x14ac:dyDescent="0.25">
      <c r="A1112" t="s">
        <v>3286</v>
      </c>
    </row>
    <row r="1113" spans="1:1" x14ac:dyDescent="0.25">
      <c r="A1113" t="s">
        <v>3287</v>
      </c>
    </row>
    <row r="1114" spans="1:1" x14ac:dyDescent="0.25">
      <c r="A1114" t="s">
        <v>3288</v>
      </c>
    </row>
    <row r="1115" spans="1:1" x14ac:dyDescent="0.25">
      <c r="A1115" t="s">
        <v>3289</v>
      </c>
    </row>
    <row r="1116" spans="1:1" x14ac:dyDescent="0.25">
      <c r="A1116" t="s">
        <v>3290</v>
      </c>
    </row>
    <row r="1117" spans="1:1" x14ac:dyDescent="0.25">
      <c r="A1117" t="s">
        <v>3291</v>
      </c>
    </row>
    <row r="1118" spans="1:1" x14ac:dyDescent="0.25">
      <c r="A1118" t="s">
        <v>3292</v>
      </c>
    </row>
    <row r="1119" spans="1:1" x14ac:dyDescent="0.25">
      <c r="A1119" t="s">
        <v>3293</v>
      </c>
    </row>
    <row r="1120" spans="1:1" x14ac:dyDescent="0.25">
      <c r="A1120" t="s">
        <v>3294</v>
      </c>
    </row>
    <row r="1121" spans="1:1" x14ac:dyDescent="0.25">
      <c r="A1121" t="s">
        <v>3295</v>
      </c>
    </row>
    <row r="1122" spans="1:1" x14ac:dyDescent="0.25">
      <c r="A1122" t="s">
        <v>3296</v>
      </c>
    </row>
    <row r="1123" spans="1:1" x14ac:dyDescent="0.25">
      <c r="A1123" t="s">
        <v>3297</v>
      </c>
    </row>
    <row r="1124" spans="1:1" x14ac:dyDescent="0.25">
      <c r="A1124" t="s">
        <v>3298</v>
      </c>
    </row>
    <row r="1125" spans="1:1" x14ac:dyDescent="0.25">
      <c r="A1125" t="s">
        <v>3299</v>
      </c>
    </row>
    <row r="1126" spans="1:1" x14ac:dyDescent="0.25">
      <c r="A1126" t="s">
        <v>3300</v>
      </c>
    </row>
    <row r="1127" spans="1:1" x14ac:dyDescent="0.25">
      <c r="A1127" t="s">
        <v>3301</v>
      </c>
    </row>
    <row r="1128" spans="1:1" x14ac:dyDescent="0.25">
      <c r="A1128" t="s">
        <v>3302</v>
      </c>
    </row>
    <row r="1129" spans="1:1" x14ac:dyDescent="0.25">
      <c r="A1129" t="s">
        <v>3303</v>
      </c>
    </row>
    <row r="1130" spans="1:1" x14ac:dyDescent="0.25">
      <c r="A1130" t="s">
        <v>3304</v>
      </c>
    </row>
    <row r="1131" spans="1:1" x14ac:dyDescent="0.25">
      <c r="A1131" t="s">
        <v>3305</v>
      </c>
    </row>
    <row r="1132" spans="1:1" x14ac:dyDescent="0.25">
      <c r="A1132" t="s">
        <v>3306</v>
      </c>
    </row>
    <row r="1133" spans="1:1" x14ac:dyDescent="0.25">
      <c r="A1133" t="s">
        <v>3307</v>
      </c>
    </row>
    <row r="1134" spans="1:1" x14ac:dyDescent="0.25">
      <c r="A1134" t="s">
        <v>3308</v>
      </c>
    </row>
    <row r="1135" spans="1:1" x14ac:dyDescent="0.25">
      <c r="A1135" t="s">
        <v>3309</v>
      </c>
    </row>
    <row r="1136" spans="1:1" x14ac:dyDescent="0.25">
      <c r="A1136" t="s">
        <v>3310</v>
      </c>
    </row>
    <row r="1137" spans="1:1" x14ac:dyDescent="0.25">
      <c r="A1137" t="s">
        <v>3311</v>
      </c>
    </row>
    <row r="1138" spans="1:1" x14ac:dyDescent="0.25">
      <c r="A1138" t="s">
        <v>3312</v>
      </c>
    </row>
    <row r="1139" spans="1:1" x14ac:dyDescent="0.25">
      <c r="A1139" t="s">
        <v>3313</v>
      </c>
    </row>
    <row r="1140" spans="1:1" x14ac:dyDescent="0.25">
      <c r="A1140" t="s">
        <v>3314</v>
      </c>
    </row>
    <row r="1141" spans="1:1" x14ac:dyDescent="0.25">
      <c r="A1141" t="s">
        <v>3315</v>
      </c>
    </row>
    <row r="1142" spans="1:1" x14ac:dyDescent="0.25">
      <c r="A1142" t="s">
        <v>3316</v>
      </c>
    </row>
    <row r="1143" spans="1:1" x14ac:dyDescent="0.25">
      <c r="A1143" t="s">
        <v>3317</v>
      </c>
    </row>
    <row r="1144" spans="1:1" x14ac:dyDescent="0.25">
      <c r="A1144" t="s">
        <v>3318</v>
      </c>
    </row>
    <row r="1145" spans="1:1" x14ac:dyDescent="0.25">
      <c r="A1145" t="s">
        <v>3319</v>
      </c>
    </row>
    <row r="1146" spans="1:1" x14ac:dyDescent="0.25">
      <c r="A1146" t="s">
        <v>3320</v>
      </c>
    </row>
    <row r="1147" spans="1:1" x14ac:dyDescent="0.25">
      <c r="A1147" t="s">
        <v>3321</v>
      </c>
    </row>
    <row r="1148" spans="1:1" x14ac:dyDescent="0.25">
      <c r="A1148" t="s">
        <v>3322</v>
      </c>
    </row>
    <row r="1149" spans="1:1" x14ac:dyDescent="0.25">
      <c r="A1149" t="s">
        <v>3323</v>
      </c>
    </row>
    <row r="1150" spans="1:1" x14ac:dyDescent="0.25">
      <c r="A1150" t="s">
        <v>3324</v>
      </c>
    </row>
    <row r="1151" spans="1:1" x14ac:dyDescent="0.25">
      <c r="A1151" t="s">
        <v>3325</v>
      </c>
    </row>
    <row r="1152" spans="1:1" x14ac:dyDescent="0.25">
      <c r="A1152" t="s">
        <v>3326</v>
      </c>
    </row>
    <row r="1153" spans="1:1" x14ac:dyDescent="0.25">
      <c r="A1153" t="s">
        <v>3327</v>
      </c>
    </row>
    <row r="1154" spans="1:1" x14ac:dyDescent="0.25">
      <c r="A1154" t="s">
        <v>3328</v>
      </c>
    </row>
    <row r="1155" spans="1:1" x14ac:dyDescent="0.25">
      <c r="A1155" t="s">
        <v>3329</v>
      </c>
    </row>
    <row r="1156" spans="1:1" x14ac:dyDescent="0.25">
      <c r="A1156" t="s">
        <v>3330</v>
      </c>
    </row>
    <row r="1157" spans="1:1" x14ac:dyDescent="0.25">
      <c r="A1157" t="s">
        <v>3331</v>
      </c>
    </row>
    <row r="1158" spans="1:1" x14ac:dyDescent="0.25">
      <c r="A1158" t="s">
        <v>3332</v>
      </c>
    </row>
    <row r="1159" spans="1:1" x14ac:dyDescent="0.25">
      <c r="A1159" t="s">
        <v>3333</v>
      </c>
    </row>
    <row r="1160" spans="1:1" x14ac:dyDescent="0.25">
      <c r="A1160" t="s">
        <v>3334</v>
      </c>
    </row>
    <row r="1161" spans="1:1" x14ac:dyDescent="0.25">
      <c r="A1161" t="s">
        <v>3335</v>
      </c>
    </row>
    <row r="1162" spans="1:1" x14ac:dyDescent="0.25">
      <c r="A1162" t="s">
        <v>3336</v>
      </c>
    </row>
    <row r="1163" spans="1:1" x14ac:dyDescent="0.25">
      <c r="A1163" t="s">
        <v>3337</v>
      </c>
    </row>
    <row r="1164" spans="1:1" x14ac:dyDescent="0.25">
      <c r="A1164" t="s">
        <v>3338</v>
      </c>
    </row>
    <row r="1165" spans="1:1" x14ac:dyDescent="0.25">
      <c r="A1165" t="s">
        <v>3339</v>
      </c>
    </row>
    <row r="1166" spans="1:1" x14ac:dyDescent="0.25">
      <c r="A1166" t="s">
        <v>3340</v>
      </c>
    </row>
    <row r="1167" spans="1:1" x14ac:dyDescent="0.25">
      <c r="A1167" t="s">
        <v>3341</v>
      </c>
    </row>
    <row r="1168" spans="1:1" x14ac:dyDescent="0.25">
      <c r="A1168" t="s">
        <v>3342</v>
      </c>
    </row>
    <row r="1169" spans="1:1" x14ac:dyDescent="0.25">
      <c r="A1169" t="s">
        <v>3343</v>
      </c>
    </row>
    <row r="1170" spans="1:1" x14ac:dyDescent="0.25">
      <c r="A1170" t="s">
        <v>3344</v>
      </c>
    </row>
    <row r="1171" spans="1:1" x14ac:dyDescent="0.25">
      <c r="A1171" t="s">
        <v>3345</v>
      </c>
    </row>
    <row r="1172" spans="1:1" x14ac:dyDescent="0.25">
      <c r="A1172" t="s">
        <v>3346</v>
      </c>
    </row>
    <row r="1173" spans="1:1" x14ac:dyDescent="0.25">
      <c r="A1173" t="s">
        <v>3347</v>
      </c>
    </row>
    <row r="1174" spans="1:1" x14ac:dyDescent="0.25">
      <c r="A1174" t="s">
        <v>3348</v>
      </c>
    </row>
    <row r="1175" spans="1:1" x14ac:dyDescent="0.25">
      <c r="A1175" t="s">
        <v>3349</v>
      </c>
    </row>
    <row r="1176" spans="1:1" x14ac:dyDescent="0.25">
      <c r="A1176" t="s">
        <v>3350</v>
      </c>
    </row>
    <row r="1177" spans="1:1" x14ac:dyDescent="0.25">
      <c r="A1177" t="s">
        <v>3351</v>
      </c>
    </row>
    <row r="1178" spans="1:1" x14ac:dyDescent="0.25">
      <c r="A1178" t="s">
        <v>3352</v>
      </c>
    </row>
    <row r="1179" spans="1:1" x14ac:dyDescent="0.25">
      <c r="A1179" t="s">
        <v>3353</v>
      </c>
    </row>
    <row r="1180" spans="1:1" x14ac:dyDescent="0.25">
      <c r="A1180" t="s">
        <v>3354</v>
      </c>
    </row>
    <row r="1181" spans="1:1" x14ac:dyDescent="0.25">
      <c r="A1181" t="s">
        <v>3355</v>
      </c>
    </row>
    <row r="1182" spans="1:1" x14ac:dyDescent="0.25">
      <c r="A1182" t="s">
        <v>3356</v>
      </c>
    </row>
    <row r="1183" spans="1:1" x14ac:dyDescent="0.25">
      <c r="A1183" t="s">
        <v>3357</v>
      </c>
    </row>
    <row r="1184" spans="1:1" x14ac:dyDescent="0.25">
      <c r="A1184" t="s">
        <v>3358</v>
      </c>
    </row>
    <row r="1185" spans="1:1" x14ac:dyDescent="0.25">
      <c r="A1185" t="s">
        <v>3359</v>
      </c>
    </row>
    <row r="1186" spans="1:1" x14ac:dyDescent="0.25">
      <c r="A1186" t="s">
        <v>3360</v>
      </c>
    </row>
    <row r="1187" spans="1:1" x14ac:dyDescent="0.25">
      <c r="A1187" t="s">
        <v>3361</v>
      </c>
    </row>
    <row r="1188" spans="1:1" x14ac:dyDescent="0.25">
      <c r="A1188" t="s">
        <v>3362</v>
      </c>
    </row>
    <row r="1189" spans="1:1" x14ac:dyDescent="0.25">
      <c r="A1189" t="s">
        <v>3363</v>
      </c>
    </row>
    <row r="1190" spans="1:1" x14ac:dyDescent="0.25">
      <c r="A1190" t="s">
        <v>3364</v>
      </c>
    </row>
    <row r="1191" spans="1:1" x14ac:dyDescent="0.25">
      <c r="A1191" t="s">
        <v>3365</v>
      </c>
    </row>
    <row r="1192" spans="1:1" x14ac:dyDescent="0.25">
      <c r="A1192" t="s">
        <v>3366</v>
      </c>
    </row>
    <row r="1193" spans="1:1" x14ac:dyDescent="0.25">
      <c r="A1193" t="s">
        <v>3367</v>
      </c>
    </row>
    <row r="1194" spans="1:1" x14ac:dyDescent="0.25">
      <c r="A1194" t="s">
        <v>3368</v>
      </c>
    </row>
    <row r="1195" spans="1:1" x14ac:dyDescent="0.25">
      <c r="A1195" t="s">
        <v>3369</v>
      </c>
    </row>
    <row r="1196" spans="1:1" x14ac:dyDescent="0.25">
      <c r="A1196" t="s">
        <v>3370</v>
      </c>
    </row>
    <row r="1197" spans="1:1" x14ac:dyDescent="0.25">
      <c r="A1197" t="s">
        <v>3371</v>
      </c>
    </row>
    <row r="1198" spans="1:1" x14ac:dyDescent="0.25">
      <c r="A1198" t="s">
        <v>3372</v>
      </c>
    </row>
    <row r="1199" spans="1:1" x14ac:dyDescent="0.25">
      <c r="A1199" t="s">
        <v>3373</v>
      </c>
    </row>
    <row r="1200" spans="1:1" x14ac:dyDescent="0.25">
      <c r="A1200" t="s">
        <v>3374</v>
      </c>
    </row>
    <row r="1201" spans="1:1" x14ac:dyDescent="0.25">
      <c r="A1201" t="s">
        <v>3375</v>
      </c>
    </row>
    <row r="1202" spans="1:1" x14ac:dyDescent="0.25">
      <c r="A1202" t="s">
        <v>3376</v>
      </c>
    </row>
    <row r="1203" spans="1:1" x14ac:dyDescent="0.25">
      <c r="A1203" t="s">
        <v>3377</v>
      </c>
    </row>
    <row r="1204" spans="1:1" x14ac:dyDescent="0.25">
      <c r="A1204" t="s">
        <v>3378</v>
      </c>
    </row>
    <row r="1205" spans="1:1" x14ac:dyDescent="0.25">
      <c r="A1205" t="s">
        <v>3379</v>
      </c>
    </row>
    <row r="1206" spans="1:1" x14ac:dyDescent="0.25">
      <c r="A1206" t="s">
        <v>3380</v>
      </c>
    </row>
    <row r="1207" spans="1:1" x14ac:dyDescent="0.25">
      <c r="A1207" t="s">
        <v>3381</v>
      </c>
    </row>
    <row r="1208" spans="1:1" x14ac:dyDescent="0.25">
      <c r="A1208" t="s">
        <v>3382</v>
      </c>
    </row>
    <row r="1209" spans="1:1" x14ac:dyDescent="0.25">
      <c r="A1209" t="s">
        <v>3383</v>
      </c>
    </row>
    <row r="1210" spans="1:1" x14ac:dyDescent="0.25">
      <c r="A1210" t="s">
        <v>3384</v>
      </c>
    </row>
    <row r="1211" spans="1:1" x14ac:dyDescent="0.25">
      <c r="A1211" t="s">
        <v>3385</v>
      </c>
    </row>
    <row r="1212" spans="1:1" x14ac:dyDescent="0.25">
      <c r="A1212" t="s">
        <v>3386</v>
      </c>
    </row>
    <row r="1213" spans="1:1" x14ac:dyDescent="0.25">
      <c r="A1213" t="s">
        <v>3387</v>
      </c>
    </row>
    <row r="1214" spans="1:1" x14ac:dyDescent="0.25">
      <c r="A1214" t="s">
        <v>3388</v>
      </c>
    </row>
    <row r="1215" spans="1:1" x14ac:dyDescent="0.25">
      <c r="A1215" t="s">
        <v>3389</v>
      </c>
    </row>
    <row r="1216" spans="1:1" x14ac:dyDescent="0.25">
      <c r="A1216" t="s">
        <v>3390</v>
      </c>
    </row>
    <row r="1217" spans="1:1" x14ac:dyDescent="0.25">
      <c r="A1217" t="s">
        <v>3391</v>
      </c>
    </row>
    <row r="1218" spans="1:1" x14ac:dyDescent="0.25">
      <c r="A1218" t="s">
        <v>3392</v>
      </c>
    </row>
    <row r="1219" spans="1:1" x14ac:dyDescent="0.25">
      <c r="A1219" t="s">
        <v>3393</v>
      </c>
    </row>
    <row r="1220" spans="1:1" x14ac:dyDescent="0.25">
      <c r="A1220" t="s">
        <v>3394</v>
      </c>
    </row>
    <row r="1221" spans="1:1" x14ac:dyDescent="0.25">
      <c r="A1221" t="s">
        <v>3395</v>
      </c>
    </row>
    <row r="1222" spans="1:1" x14ac:dyDescent="0.25">
      <c r="A1222" t="s">
        <v>3396</v>
      </c>
    </row>
    <row r="1223" spans="1:1" x14ac:dyDescent="0.25">
      <c r="A1223" t="s">
        <v>3397</v>
      </c>
    </row>
    <row r="1224" spans="1:1" x14ac:dyDescent="0.25">
      <c r="A1224" t="s">
        <v>3398</v>
      </c>
    </row>
    <row r="1225" spans="1:1" x14ac:dyDescent="0.25">
      <c r="A1225" t="s">
        <v>3399</v>
      </c>
    </row>
    <row r="1226" spans="1:1" x14ac:dyDescent="0.25">
      <c r="A1226" t="s">
        <v>3400</v>
      </c>
    </row>
    <row r="1227" spans="1:1" x14ac:dyDescent="0.25">
      <c r="A1227" t="s">
        <v>3401</v>
      </c>
    </row>
    <row r="1228" spans="1:1" x14ac:dyDescent="0.25">
      <c r="A1228" t="s">
        <v>3402</v>
      </c>
    </row>
    <row r="1229" spans="1:1" x14ac:dyDescent="0.25">
      <c r="A1229" t="s">
        <v>3403</v>
      </c>
    </row>
    <row r="1230" spans="1:1" x14ac:dyDescent="0.25">
      <c r="A1230" t="s">
        <v>3404</v>
      </c>
    </row>
    <row r="1231" spans="1:1" x14ac:dyDescent="0.25">
      <c r="A1231" t="s">
        <v>3405</v>
      </c>
    </row>
    <row r="1232" spans="1:1" x14ac:dyDescent="0.25">
      <c r="A1232" t="s">
        <v>3406</v>
      </c>
    </row>
    <row r="1233" spans="1:1" x14ac:dyDescent="0.25">
      <c r="A1233" t="s">
        <v>3407</v>
      </c>
    </row>
    <row r="1234" spans="1:1" x14ac:dyDescent="0.25">
      <c r="A1234" t="s">
        <v>3408</v>
      </c>
    </row>
    <row r="1235" spans="1:1" x14ac:dyDescent="0.25">
      <c r="A1235" t="s">
        <v>3409</v>
      </c>
    </row>
    <row r="1236" spans="1:1" x14ac:dyDescent="0.25">
      <c r="A1236" t="s">
        <v>3410</v>
      </c>
    </row>
    <row r="1237" spans="1:1" x14ac:dyDescent="0.25">
      <c r="A1237" t="s">
        <v>3411</v>
      </c>
    </row>
    <row r="1238" spans="1:1" x14ac:dyDescent="0.25">
      <c r="A1238" t="s">
        <v>3412</v>
      </c>
    </row>
    <row r="1239" spans="1:1" x14ac:dyDescent="0.25">
      <c r="A1239" t="s">
        <v>3413</v>
      </c>
    </row>
    <row r="1240" spans="1:1" x14ac:dyDescent="0.25">
      <c r="A1240" t="s">
        <v>3414</v>
      </c>
    </row>
    <row r="1241" spans="1:1" x14ac:dyDescent="0.25">
      <c r="A1241" t="s">
        <v>3415</v>
      </c>
    </row>
    <row r="1242" spans="1:1" x14ac:dyDescent="0.25">
      <c r="A1242" t="s">
        <v>3416</v>
      </c>
    </row>
    <row r="1243" spans="1:1" x14ac:dyDescent="0.25">
      <c r="A1243" t="s">
        <v>3417</v>
      </c>
    </row>
    <row r="1244" spans="1:1" x14ac:dyDescent="0.25">
      <c r="A1244" t="s">
        <v>3418</v>
      </c>
    </row>
    <row r="1245" spans="1:1" x14ac:dyDescent="0.25">
      <c r="A1245" t="s">
        <v>3419</v>
      </c>
    </row>
    <row r="1246" spans="1:1" x14ac:dyDescent="0.25">
      <c r="A1246" t="s">
        <v>3420</v>
      </c>
    </row>
    <row r="1247" spans="1:1" x14ac:dyDescent="0.25">
      <c r="A1247" t="s">
        <v>3421</v>
      </c>
    </row>
    <row r="1248" spans="1:1" x14ac:dyDescent="0.25">
      <c r="A1248" t="s">
        <v>3422</v>
      </c>
    </row>
    <row r="1249" spans="1:1" x14ac:dyDescent="0.25">
      <c r="A1249" t="s">
        <v>3423</v>
      </c>
    </row>
    <row r="1250" spans="1:1" x14ac:dyDescent="0.25">
      <c r="A1250" t="s">
        <v>3424</v>
      </c>
    </row>
    <row r="1251" spans="1:1" x14ac:dyDescent="0.25">
      <c r="A1251" t="s">
        <v>3425</v>
      </c>
    </row>
    <row r="1252" spans="1:1" x14ac:dyDescent="0.25">
      <c r="A1252" t="s">
        <v>3426</v>
      </c>
    </row>
    <row r="1253" spans="1:1" x14ac:dyDescent="0.25">
      <c r="A1253" t="s">
        <v>3427</v>
      </c>
    </row>
    <row r="1254" spans="1:1" x14ac:dyDescent="0.25">
      <c r="A1254" t="s">
        <v>3428</v>
      </c>
    </row>
    <row r="1255" spans="1:1" x14ac:dyDescent="0.25">
      <c r="A1255" t="s">
        <v>3429</v>
      </c>
    </row>
    <row r="1256" spans="1:1" x14ac:dyDescent="0.25">
      <c r="A1256" t="s">
        <v>3430</v>
      </c>
    </row>
    <row r="1257" spans="1:1" x14ac:dyDescent="0.25">
      <c r="A1257" t="s">
        <v>3431</v>
      </c>
    </row>
    <row r="1258" spans="1:1" x14ac:dyDescent="0.25">
      <c r="A1258" t="s">
        <v>3432</v>
      </c>
    </row>
    <row r="1259" spans="1:1" x14ac:dyDescent="0.25">
      <c r="A1259" t="s">
        <v>3433</v>
      </c>
    </row>
    <row r="1260" spans="1:1" x14ac:dyDescent="0.25">
      <c r="A1260" t="s">
        <v>3434</v>
      </c>
    </row>
    <row r="1261" spans="1:1" x14ac:dyDescent="0.25">
      <c r="A1261" t="s">
        <v>3435</v>
      </c>
    </row>
    <row r="1262" spans="1:1" x14ac:dyDescent="0.25">
      <c r="A1262" t="s">
        <v>3436</v>
      </c>
    </row>
    <row r="1263" spans="1:1" x14ac:dyDescent="0.25">
      <c r="A1263" t="s">
        <v>3437</v>
      </c>
    </row>
    <row r="1264" spans="1:1" x14ac:dyDescent="0.25">
      <c r="A1264" t="s">
        <v>3438</v>
      </c>
    </row>
    <row r="1265" spans="1:1" x14ac:dyDescent="0.25">
      <c r="A1265" t="s">
        <v>3439</v>
      </c>
    </row>
    <row r="1266" spans="1:1" x14ac:dyDescent="0.25">
      <c r="A1266" t="s">
        <v>3440</v>
      </c>
    </row>
    <row r="1267" spans="1:1" x14ac:dyDescent="0.25">
      <c r="A1267" t="s">
        <v>3441</v>
      </c>
    </row>
    <row r="1268" spans="1:1" x14ac:dyDescent="0.25">
      <c r="A1268" t="s">
        <v>3442</v>
      </c>
    </row>
    <row r="1269" spans="1:1" x14ac:dyDescent="0.25">
      <c r="A1269" t="s">
        <v>3443</v>
      </c>
    </row>
    <row r="1270" spans="1:1" x14ac:dyDescent="0.25">
      <c r="A1270" t="s">
        <v>3444</v>
      </c>
    </row>
    <row r="1271" spans="1:1" x14ac:dyDescent="0.25">
      <c r="A1271" t="s">
        <v>3445</v>
      </c>
    </row>
    <row r="1272" spans="1:1" x14ac:dyDescent="0.25">
      <c r="A1272" t="s">
        <v>3446</v>
      </c>
    </row>
    <row r="1273" spans="1:1" x14ac:dyDescent="0.25">
      <c r="A1273" t="s">
        <v>3447</v>
      </c>
    </row>
    <row r="1274" spans="1:1" x14ac:dyDescent="0.25">
      <c r="A1274" t="s">
        <v>3448</v>
      </c>
    </row>
    <row r="1275" spans="1:1" x14ac:dyDescent="0.25">
      <c r="A1275" t="s">
        <v>3449</v>
      </c>
    </row>
    <row r="1276" spans="1:1" x14ac:dyDescent="0.25">
      <c r="A1276" t="s">
        <v>3450</v>
      </c>
    </row>
    <row r="1277" spans="1:1" x14ac:dyDescent="0.25">
      <c r="A1277" t="s">
        <v>3451</v>
      </c>
    </row>
    <row r="1278" spans="1:1" x14ac:dyDescent="0.25">
      <c r="A1278" t="s">
        <v>3452</v>
      </c>
    </row>
    <row r="1279" spans="1:1" x14ac:dyDescent="0.25">
      <c r="A1279" t="s">
        <v>3453</v>
      </c>
    </row>
    <row r="1280" spans="1:1" x14ac:dyDescent="0.25">
      <c r="A1280" t="s">
        <v>3454</v>
      </c>
    </row>
    <row r="1281" spans="1:1" x14ac:dyDescent="0.25">
      <c r="A1281" t="s">
        <v>3455</v>
      </c>
    </row>
    <row r="1282" spans="1:1" x14ac:dyDescent="0.25">
      <c r="A1282" t="s">
        <v>3456</v>
      </c>
    </row>
    <row r="1283" spans="1:1" x14ac:dyDescent="0.25">
      <c r="A1283" t="s">
        <v>3457</v>
      </c>
    </row>
    <row r="1284" spans="1:1" x14ac:dyDescent="0.25">
      <c r="A1284" t="s">
        <v>3458</v>
      </c>
    </row>
    <row r="1285" spans="1:1" x14ac:dyDescent="0.25">
      <c r="A1285" t="s">
        <v>3459</v>
      </c>
    </row>
    <row r="1286" spans="1:1" x14ac:dyDescent="0.25">
      <c r="A1286" t="s">
        <v>3460</v>
      </c>
    </row>
    <row r="1287" spans="1:1" x14ac:dyDescent="0.25">
      <c r="A1287" t="s">
        <v>3461</v>
      </c>
    </row>
    <row r="1288" spans="1:1" x14ac:dyDescent="0.25">
      <c r="A1288" t="s">
        <v>3462</v>
      </c>
    </row>
    <row r="1289" spans="1:1" x14ac:dyDescent="0.25">
      <c r="A1289" t="s">
        <v>3463</v>
      </c>
    </row>
    <row r="1290" spans="1:1" x14ac:dyDescent="0.25">
      <c r="A1290" t="s">
        <v>3464</v>
      </c>
    </row>
    <row r="1291" spans="1:1" x14ac:dyDescent="0.25">
      <c r="A1291" t="s">
        <v>3465</v>
      </c>
    </row>
    <row r="1292" spans="1:1" x14ac:dyDescent="0.25">
      <c r="A1292" t="s">
        <v>3466</v>
      </c>
    </row>
    <row r="1293" spans="1:1" x14ac:dyDescent="0.25">
      <c r="A1293" t="s">
        <v>3467</v>
      </c>
    </row>
    <row r="1294" spans="1:1" x14ac:dyDescent="0.25">
      <c r="A1294" t="s">
        <v>3468</v>
      </c>
    </row>
    <row r="1295" spans="1:1" x14ac:dyDescent="0.25">
      <c r="A1295" t="s">
        <v>3469</v>
      </c>
    </row>
    <row r="1296" spans="1:1" x14ac:dyDescent="0.25">
      <c r="A1296" t="s">
        <v>3470</v>
      </c>
    </row>
    <row r="1297" spans="1:1" x14ac:dyDescent="0.25">
      <c r="A1297" t="s">
        <v>3471</v>
      </c>
    </row>
    <row r="1298" spans="1:1" x14ac:dyDescent="0.25">
      <c r="A1298" t="s">
        <v>3472</v>
      </c>
    </row>
    <row r="1299" spans="1:1" x14ac:dyDescent="0.25">
      <c r="A1299" t="s">
        <v>3473</v>
      </c>
    </row>
    <row r="1300" spans="1:1" x14ac:dyDescent="0.25">
      <c r="A1300" t="s">
        <v>3474</v>
      </c>
    </row>
    <row r="1301" spans="1:1" x14ac:dyDescent="0.25">
      <c r="A1301" t="s">
        <v>3475</v>
      </c>
    </row>
    <row r="1302" spans="1:1" x14ac:dyDescent="0.25">
      <c r="A1302" t="s">
        <v>3476</v>
      </c>
    </row>
    <row r="1303" spans="1:1" x14ac:dyDescent="0.25">
      <c r="A1303" t="s">
        <v>3477</v>
      </c>
    </row>
    <row r="1304" spans="1:1" x14ac:dyDescent="0.25">
      <c r="A1304" t="s">
        <v>3478</v>
      </c>
    </row>
    <row r="1305" spans="1:1" x14ac:dyDescent="0.25">
      <c r="A1305" t="s">
        <v>3479</v>
      </c>
    </row>
    <row r="1306" spans="1:1" x14ac:dyDescent="0.25">
      <c r="A1306" t="s">
        <v>3480</v>
      </c>
    </row>
    <row r="1307" spans="1:1" x14ac:dyDescent="0.25">
      <c r="A1307" t="s">
        <v>3481</v>
      </c>
    </row>
    <row r="1308" spans="1:1" x14ac:dyDescent="0.25">
      <c r="A1308" t="s">
        <v>3482</v>
      </c>
    </row>
    <row r="1309" spans="1:1" x14ac:dyDescent="0.25">
      <c r="A1309" t="s">
        <v>3483</v>
      </c>
    </row>
    <row r="1310" spans="1:1" x14ac:dyDescent="0.25">
      <c r="A1310" t="s">
        <v>3484</v>
      </c>
    </row>
    <row r="1311" spans="1:1" x14ac:dyDescent="0.25">
      <c r="A1311" t="s">
        <v>3485</v>
      </c>
    </row>
    <row r="1312" spans="1:1" x14ac:dyDescent="0.25">
      <c r="A1312" t="s">
        <v>3486</v>
      </c>
    </row>
    <row r="1313" spans="1:1" x14ac:dyDescent="0.25">
      <c r="A1313" t="s">
        <v>3487</v>
      </c>
    </row>
    <row r="1314" spans="1:1" x14ac:dyDescent="0.25">
      <c r="A1314" t="s">
        <v>3488</v>
      </c>
    </row>
    <row r="1315" spans="1:1" x14ac:dyDescent="0.25">
      <c r="A1315" t="s">
        <v>3489</v>
      </c>
    </row>
    <row r="1316" spans="1:1" x14ac:dyDescent="0.25">
      <c r="A1316" t="s">
        <v>3490</v>
      </c>
    </row>
    <row r="1317" spans="1:1" x14ac:dyDescent="0.25">
      <c r="A1317" t="s">
        <v>3491</v>
      </c>
    </row>
    <row r="1318" spans="1:1" x14ac:dyDescent="0.25">
      <c r="A1318" t="s">
        <v>3492</v>
      </c>
    </row>
    <row r="1319" spans="1:1" x14ac:dyDescent="0.25">
      <c r="A1319" t="s">
        <v>3493</v>
      </c>
    </row>
    <row r="1320" spans="1:1" x14ac:dyDescent="0.25">
      <c r="A1320" t="s">
        <v>3494</v>
      </c>
    </row>
    <row r="1321" spans="1:1" x14ac:dyDescent="0.25">
      <c r="A1321" t="s">
        <v>3495</v>
      </c>
    </row>
    <row r="1322" spans="1:1" x14ac:dyDescent="0.25">
      <c r="A1322" t="s">
        <v>3496</v>
      </c>
    </row>
    <row r="1323" spans="1:1" x14ac:dyDescent="0.25">
      <c r="A1323" t="s">
        <v>3497</v>
      </c>
    </row>
    <row r="1324" spans="1:1" x14ac:dyDescent="0.25">
      <c r="A1324" t="s">
        <v>3498</v>
      </c>
    </row>
    <row r="1325" spans="1:1" x14ac:dyDescent="0.25">
      <c r="A1325" t="s">
        <v>3499</v>
      </c>
    </row>
    <row r="1326" spans="1:1" x14ac:dyDescent="0.25">
      <c r="A1326" t="s">
        <v>3500</v>
      </c>
    </row>
    <row r="1327" spans="1:1" x14ac:dyDescent="0.25">
      <c r="A1327" t="s">
        <v>3501</v>
      </c>
    </row>
    <row r="1328" spans="1:1" x14ac:dyDescent="0.25">
      <c r="A1328" t="s">
        <v>3502</v>
      </c>
    </row>
    <row r="1329" spans="1:1" x14ac:dyDescent="0.25">
      <c r="A1329" t="s">
        <v>3503</v>
      </c>
    </row>
    <row r="1330" spans="1:1" x14ac:dyDescent="0.25">
      <c r="A1330" t="s">
        <v>3504</v>
      </c>
    </row>
    <row r="1331" spans="1:1" x14ac:dyDescent="0.25">
      <c r="A1331" t="s">
        <v>3505</v>
      </c>
    </row>
    <row r="1332" spans="1:1" x14ac:dyDescent="0.25">
      <c r="A1332" t="s">
        <v>3506</v>
      </c>
    </row>
    <row r="1333" spans="1:1" x14ac:dyDescent="0.25">
      <c r="A1333" t="s">
        <v>3507</v>
      </c>
    </row>
    <row r="1334" spans="1:1" x14ac:dyDescent="0.25">
      <c r="A1334" t="s">
        <v>3508</v>
      </c>
    </row>
    <row r="1335" spans="1:1" x14ac:dyDescent="0.25">
      <c r="A1335" t="s">
        <v>3509</v>
      </c>
    </row>
    <row r="1336" spans="1:1" x14ac:dyDescent="0.25">
      <c r="A1336" t="s">
        <v>3510</v>
      </c>
    </row>
    <row r="1337" spans="1:1" x14ac:dyDescent="0.25">
      <c r="A1337" t="s">
        <v>3511</v>
      </c>
    </row>
    <row r="1338" spans="1:1" x14ac:dyDescent="0.25">
      <c r="A1338" t="s">
        <v>3512</v>
      </c>
    </row>
    <row r="1339" spans="1:1" x14ac:dyDescent="0.25">
      <c r="A1339" t="s">
        <v>3513</v>
      </c>
    </row>
    <row r="1340" spans="1:1" x14ac:dyDescent="0.25">
      <c r="A1340" t="s">
        <v>3514</v>
      </c>
    </row>
    <row r="1341" spans="1:1" x14ac:dyDescent="0.25">
      <c r="A1341" t="s">
        <v>3515</v>
      </c>
    </row>
    <row r="1342" spans="1:1" x14ac:dyDescent="0.25">
      <c r="A1342" t="s">
        <v>3516</v>
      </c>
    </row>
    <row r="1343" spans="1:1" x14ac:dyDescent="0.25">
      <c r="A1343" t="s">
        <v>3517</v>
      </c>
    </row>
    <row r="1344" spans="1:1" x14ac:dyDescent="0.25">
      <c r="A1344" t="s">
        <v>3518</v>
      </c>
    </row>
    <row r="1345" spans="1:1" x14ac:dyDescent="0.25">
      <c r="A1345" t="s">
        <v>3519</v>
      </c>
    </row>
    <row r="1346" spans="1:1" x14ac:dyDescent="0.25">
      <c r="A1346" t="s">
        <v>3520</v>
      </c>
    </row>
    <row r="1347" spans="1:1" x14ac:dyDescent="0.25">
      <c r="A1347" t="s">
        <v>3521</v>
      </c>
    </row>
    <row r="1348" spans="1:1" x14ac:dyDescent="0.25">
      <c r="A1348" t="s">
        <v>3522</v>
      </c>
    </row>
    <row r="1349" spans="1:1" x14ac:dyDescent="0.25">
      <c r="A1349" t="s">
        <v>3523</v>
      </c>
    </row>
    <row r="1350" spans="1:1" x14ac:dyDescent="0.25">
      <c r="A1350" t="s">
        <v>3524</v>
      </c>
    </row>
    <row r="1351" spans="1:1" x14ac:dyDescent="0.25">
      <c r="A1351" t="s">
        <v>3525</v>
      </c>
    </row>
    <row r="1352" spans="1:1" x14ac:dyDescent="0.25">
      <c r="A1352" t="s">
        <v>3526</v>
      </c>
    </row>
    <row r="1353" spans="1:1" x14ac:dyDescent="0.25">
      <c r="A1353" t="s">
        <v>3527</v>
      </c>
    </row>
    <row r="1354" spans="1:1" x14ac:dyDescent="0.25">
      <c r="A1354" t="s">
        <v>3528</v>
      </c>
    </row>
    <row r="1355" spans="1:1" x14ac:dyDescent="0.25">
      <c r="A1355" t="s">
        <v>3529</v>
      </c>
    </row>
    <row r="1356" spans="1:1" x14ac:dyDescent="0.25">
      <c r="A1356" t="s">
        <v>3530</v>
      </c>
    </row>
    <row r="1357" spans="1:1" x14ac:dyDescent="0.25">
      <c r="A1357" t="s">
        <v>3531</v>
      </c>
    </row>
    <row r="1358" spans="1:1" x14ac:dyDescent="0.25">
      <c r="A1358" t="s">
        <v>3532</v>
      </c>
    </row>
    <row r="1359" spans="1:1" x14ac:dyDescent="0.25">
      <c r="A1359" t="s">
        <v>3533</v>
      </c>
    </row>
    <row r="1360" spans="1:1" x14ac:dyDescent="0.25">
      <c r="A1360" t="s">
        <v>3534</v>
      </c>
    </row>
    <row r="1361" spans="1:1" x14ac:dyDescent="0.25">
      <c r="A1361" t="s">
        <v>3535</v>
      </c>
    </row>
    <row r="1362" spans="1:1" x14ac:dyDescent="0.25">
      <c r="A1362" t="s">
        <v>3536</v>
      </c>
    </row>
    <row r="1363" spans="1:1" x14ac:dyDescent="0.25">
      <c r="A1363" t="s">
        <v>3537</v>
      </c>
    </row>
    <row r="1364" spans="1:1" x14ac:dyDescent="0.25">
      <c r="A1364" t="s">
        <v>3538</v>
      </c>
    </row>
    <row r="1365" spans="1:1" x14ac:dyDescent="0.25">
      <c r="A1365" t="s">
        <v>3539</v>
      </c>
    </row>
    <row r="1366" spans="1:1" x14ac:dyDescent="0.25">
      <c r="A1366" t="s">
        <v>3540</v>
      </c>
    </row>
    <row r="1367" spans="1:1" x14ac:dyDescent="0.25">
      <c r="A1367" t="s">
        <v>3541</v>
      </c>
    </row>
    <row r="1368" spans="1:1" x14ac:dyDescent="0.25">
      <c r="A1368" t="s">
        <v>3542</v>
      </c>
    </row>
    <row r="1369" spans="1:1" x14ac:dyDescent="0.25">
      <c r="A1369" t="s">
        <v>3543</v>
      </c>
    </row>
    <row r="1370" spans="1:1" x14ac:dyDescent="0.25">
      <c r="A1370" t="s">
        <v>3544</v>
      </c>
    </row>
    <row r="1371" spans="1:1" x14ac:dyDescent="0.25">
      <c r="A1371" t="s">
        <v>3545</v>
      </c>
    </row>
    <row r="1372" spans="1:1" x14ac:dyDescent="0.25">
      <c r="A1372" t="s">
        <v>3546</v>
      </c>
    </row>
    <row r="1373" spans="1:1" x14ac:dyDescent="0.25">
      <c r="A1373" t="s">
        <v>3547</v>
      </c>
    </row>
    <row r="1374" spans="1:1" x14ac:dyDescent="0.25">
      <c r="A1374" t="s">
        <v>3548</v>
      </c>
    </row>
    <row r="1375" spans="1:1" x14ac:dyDescent="0.25">
      <c r="A1375" t="s">
        <v>3549</v>
      </c>
    </row>
    <row r="1376" spans="1:1" x14ac:dyDescent="0.25">
      <c r="A1376" t="s">
        <v>3550</v>
      </c>
    </row>
    <row r="1377" spans="1:1" x14ac:dyDescent="0.25">
      <c r="A1377" t="s">
        <v>3551</v>
      </c>
    </row>
    <row r="1378" spans="1:1" x14ac:dyDescent="0.25">
      <c r="A1378" t="s">
        <v>3552</v>
      </c>
    </row>
    <row r="1379" spans="1:1" x14ac:dyDescent="0.25">
      <c r="A1379" t="s">
        <v>3553</v>
      </c>
    </row>
    <row r="1380" spans="1:1" x14ac:dyDescent="0.25">
      <c r="A1380" t="s">
        <v>3554</v>
      </c>
    </row>
    <row r="1381" spans="1:1" x14ac:dyDescent="0.25">
      <c r="A1381" t="s">
        <v>3555</v>
      </c>
    </row>
    <row r="1382" spans="1:1" x14ac:dyDescent="0.25">
      <c r="A1382" t="s">
        <v>3556</v>
      </c>
    </row>
    <row r="1383" spans="1:1" x14ac:dyDescent="0.25">
      <c r="A1383" t="s">
        <v>3557</v>
      </c>
    </row>
    <row r="1384" spans="1:1" x14ac:dyDescent="0.25">
      <c r="A1384" t="s">
        <v>3558</v>
      </c>
    </row>
    <row r="1385" spans="1:1" x14ac:dyDescent="0.25">
      <c r="A1385" t="s">
        <v>3559</v>
      </c>
    </row>
    <row r="1386" spans="1:1" x14ac:dyDescent="0.25">
      <c r="A1386" t="s">
        <v>3560</v>
      </c>
    </row>
    <row r="1387" spans="1:1" x14ac:dyDescent="0.25">
      <c r="A1387" t="s">
        <v>3561</v>
      </c>
    </row>
    <row r="1388" spans="1:1" x14ac:dyDescent="0.25">
      <c r="A1388" t="s">
        <v>3562</v>
      </c>
    </row>
    <row r="1389" spans="1:1" x14ac:dyDescent="0.25">
      <c r="A1389" t="s">
        <v>3563</v>
      </c>
    </row>
    <row r="1390" spans="1:1" x14ac:dyDescent="0.25">
      <c r="A1390" t="s">
        <v>3564</v>
      </c>
    </row>
    <row r="1391" spans="1:1" x14ac:dyDescent="0.25">
      <c r="A1391" t="s">
        <v>3565</v>
      </c>
    </row>
    <row r="1392" spans="1:1" x14ac:dyDescent="0.25">
      <c r="A1392" t="s">
        <v>3566</v>
      </c>
    </row>
    <row r="1393" spans="1:1" x14ac:dyDescent="0.25">
      <c r="A1393" t="s">
        <v>3567</v>
      </c>
    </row>
    <row r="1394" spans="1:1" x14ac:dyDescent="0.25">
      <c r="A1394" t="s">
        <v>3568</v>
      </c>
    </row>
    <row r="1395" spans="1:1" x14ac:dyDescent="0.25">
      <c r="A1395" t="s">
        <v>3569</v>
      </c>
    </row>
    <row r="1396" spans="1:1" x14ac:dyDescent="0.25">
      <c r="A1396" t="s">
        <v>3570</v>
      </c>
    </row>
    <row r="1397" spans="1:1" x14ac:dyDescent="0.25">
      <c r="A1397" t="s">
        <v>3571</v>
      </c>
    </row>
    <row r="1398" spans="1:1" x14ac:dyDescent="0.25">
      <c r="A1398" t="s">
        <v>3572</v>
      </c>
    </row>
    <row r="1399" spans="1:1" x14ac:dyDescent="0.25">
      <c r="A1399" t="s">
        <v>3573</v>
      </c>
    </row>
    <row r="1400" spans="1:1" x14ac:dyDescent="0.25">
      <c r="A1400" t="s">
        <v>3574</v>
      </c>
    </row>
    <row r="1401" spans="1:1" x14ac:dyDescent="0.25">
      <c r="A1401" t="s">
        <v>3575</v>
      </c>
    </row>
    <row r="1402" spans="1:1" x14ac:dyDescent="0.25">
      <c r="A1402" t="s">
        <v>3576</v>
      </c>
    </row>
    <row r="1403" spans="1:1" x14ac:dyDescent="0.25">
      <c r="A1403" t="s">
        <v>3577</v>
      </c>
    </row>
    <row r="1404" spans="1:1" x14ac:dyDescent="0.25">
      <c r="A1404" t="s">
        <v>3578</v>
      </c>
    </row>
    <row r="1405" spans="1:1" x14ac:dyDescent="0.25">
      <c r="A1405" t="s">
        <v>3579</v>
      </c>
    </row>
    <row r="1406" spans="1:1" x14ac:dyDescent="0.25">
      <c r="A1406" t="s">
        <v>3580</v>
      </c>
    </row>
    <row r="1407" spans="1:1" x14ac:dyDescent="0.25">
      <c r="A1407" t="s">
        <v>3581</v>
      </c>
    </row>
    <row r="1408" spans="1:1" x14ac:dyDescent="0.25">
      <c r="A1408" t="s">
        <v>3582</v>
      </c>
    </row>
    <row r="1409" spans="1:1" x14ac:dyDescent="0.25">
      <c r="A1409" t="s">
        <v>3583</v>
      </c>
    </row>
    <row r="1410" spans="1:1" x14ac:dyDescent="0.25">
      <c r="A1410" t="s">
        <v>3584</v>
      </c>
    </row>
    <row r="1411" spans="1:1" x14ac:dyDescent="0.25">
      <c r="A1411" t="s">
        <v>3585</v>
      </c>
    </row>
    <row r="1412" spans="1:1" x14ac:dyDescent="0.25">
      <c r="A1412" t="s">
        <v>3586</v>
      </c>
    </row>
    <row r="1413" spans="1:1" x14ac:dyDescent="0.25">
      <c r="A1413" t="s">
        <v>3587</v>
      </c>
    </row>
    <row r="1414" spans="1:1" x14ac:dyDescent="0.25">
      <c r="A1414" t="s">
        <v>3588</v>
      </c>
    </row>
    <row r="1415" spans="1:1" x14ac:dyDescent="0.25">
      <c r="A1415" t="s">
        <v>3589</v>
      </c>
    </row>
    <row r="1416" spans="1:1" x14ac:dyDescent="0.25">
      <c r="A1416" t="s">
        <v>3590</v>
      </c>
    </row>
    <row r="1417" spans="1:1" x14ac:dyDescent="0.25">
      <c r="A1417" t="s">
        <v>3591</v>
      </c>
    </row>
    <row r="1418" spans="1:1" x14ac:dyDescent="0.25">
      <c r="A1418" t="s">
        <v>3592</v>
      </c>
    </row>
    <row r="1419" spans="1:1" x14ac:dyDescent="0.25">
      <c r="A1419" t="s">
        <v>3593</v>
      </c>
    </row>
    <row r="1420" spans="1:1" x14ac:dyDescent="0.25">
      <c r="A1420" t="s">
        <v>3594</v>
      </c>
    </row>
    <row r="1421" spans="1:1" x14ac:dyDescent="0.25">
      <c r="A1421" t="s">
        <v>3595</v>
      </c>
    </row>
    <row r="1422" spans="1:1" x14ac:dyDescent="0.25">
      <c r="A1422" t="s">
        <v>3596</v>
      </c>
    </row>
    <row r="1423" spans="1:1" x14ac:dyDescent="0.25">
      <c r="A1423" t="s">
        <v>3597</v>
      </c>
    </row>
    <row r="1424" spans="1:1" x14ac:dyDescent="0.25">
      <c r="A1424" t="s">
        <v>3598</v>
      </c>
    </row>
    <row r="1425" spans="1:1" x14ac:dyDescent="0.25">
      <c r="A1425" t="s">
        <v>3599</v>
      </c>
    </row>
    <row r="1426" spans="1:1" x14ac:dyDescent="0.25">
      <c r="A1426" t="s">
        <v>3600</v>
      </c>
    </row>
    <row r="1427" spans="1:1" x14ac:dyDescent="0.25">
      <c r="A1427" t="s">
        <v>3601</v>
      </c>
    </row>
    <row r="1428" spans="1:1" x14ac:dyDescent="0.25">
      <c r="A1428" t="s">
        <v>3602</v>
      </c>
    </row>
    <row r="1429" spans="1:1" x14ac:dyDescent="0.25">
      <c r="A1429" t="s">
        <v>3603</v>
      </c>
    </row>
    <row r="1430" spans="1:1" x14ac:dyDescent="0.25">
      <c r="A1430" t="s">
        <v>3604</v>
      </c>
    </row>
    <row r="1431" spans="1:1" x14ac:dyDescent="0.25">
      <c r="A1431" t="s">
        <v>3605</v>
      </c>
    </row>
    <row r="1432" spans="1:1" x14ac:dyDescent="0.25">
      <c r="A1432" t="s">
        <v>3606</v>
      </c>
    </row>
    <row r="1433" spans="1:1" x14ac:dyDescent="0.25">
      <c r="A1433" t="s">
        <v>3607</v>
      </c>
    </row>
    <row r="1434" spans="1:1" x14ac:dyDescent="0.25">
      <c r="A1434" t="s">
        <v>3608</v>
      </c>
    </row>
    <row r="1435" spans="1:1" x14ac:dyDescent="0.25">
      <c r="A1435" t="s">
        <v>3609</v>
      </c>
    </row>
    <row r="1436" spans="1:1" x14ac:dyDescent="0.25">
      <c r="A1436" t="s">
        <v>3610</v>
      </c>
    </row>
    <row r="1437" spans="1:1" x14ac:dyDescent="0.25">
      <c r="A1437" t="s">
        <v>3611</v>
      </c>
    </row>
    <row r="1438" spans="1:1" x14ac:dyDescent="0.25">
      <c r="A1438" t="s">
        <v>3612</v>
      </c>
    </row>
    <row r="1439" spans="1:1" x14ac:dyDescent="0.25">
      <c r="A1439" t="s">
        <v>3613</v>
      </c>
    </row>
    <row r="1440" spans="1:1" x14ac:dyDescent="0.25">
      <c r="A1440" t="s">
        <v>3614</v>
      </c>
    </row>
    <row r="1441" spans="1:1" x14ac:dyDescent="0.25">
      <c r="A1441" t="s">
        <v>3615</v>
      </c>
    </row>
    <row r="1442" spans="1:1" x14ac:dyDescent="0.25">
      <c r="A1442" t="s">
        <v>3616</v>
      </c>
    </row>
    <row r="1443" spans="1:1" x14ac:dyDescent="0.25">
      <c r="A1443" t="s">
        <v>3617</v>
      </c>
    </row>
    <row r="1444" spans="1:1" x14ac:dyDescent="0.25">
      <c r="A1444" t="s">
        <v>3618</v>
      </c>
    </row>
    <row r="1445" spans="1:1" x14ac:dyDescent="0.25">
      <c r="A1445" t="s">
        <v>3619</v>
      </c>
    </row>
    <row r="1446" spans="1:1" x14ac:dyDescent="0.25">
      <c r="A1446" t="s">
        <v>3620</v>
      </c>
    </row>
    <row r="1447" spans="1:1" x14ac:dyDescent="0.25">
      <c r="A1447" t="s">
        <v>3621</v>
      </c>
    </row>
    <row r="1448" spans="1:1" x14ac:dyDescent="0.25">
      <c r="A1448" t="s">
        <v>3622</v>
      </c>
    </row>
    <row r="1449" spans="1:1" x14ac:dyDescent="0.25">
      <c r="A1449" t="s">
        <v>3623</v>
      </c>
    </row>
    <row r="1450" spans="1:1" x14ac:dyDescent="0.25">
      <c r="A1450" t="s">
        <v>3624</v>
      </c>
    </row>
    <row r="1451" spans="1:1" x14ac:dyDescent="0.25">
      <c r="A1451" t="s">
        <v>3625</v>
      </c>
    </row>
    <row r="1452" spans="1:1" x14ac:dyDescent="0.25">
      <c r="A1452" t="s">
        <v>3626</v>
      </c>
    </row>
    <row r="1453" spans="1:1" x14ac:dyDescent="0.25">
      <c r="A1453" t="s">
        <v>3627</v>
      </c>
    </row>
    <row r="1454" spans="1:1" x14ac:dyDescent="0.25">
      <c r="A1454" t="s">
        <v>3628</v>
      </c>
    </row>
    <row r="1455" spans="1:1" x14ac:dyDescent="0.25">
      <c r="A1455" t="s">
        <v>3629</v>
      </c>
    </row>
    <row r="1456" spans="1:1" x14ac:dyDescent="0.25">
      <c r="A1456" t="s">
        <v>3630</v>
      </c>
    </row>
    <row r="1457" spans="1:1" x14ac:dyDescent="0.25">
      <c r="A1457" t="s">
        <v>3631</v>
      </c>
    </row>
    <row r="1458" spans="1:1" x14ac:dyDescent="0.25">
      <c r="A1458" t="s">
        <v>3632</v>
      </c>
    </row>
    <row r="1459" spans="1:1" x14ac:dyDescent="0.25">
      <c r="A1459" t="s">
        <v>3633</v>
      </c>
    </row>
    <row r="1460" spans="1:1" x14ac:dyDescent="0.25">
      <c r="A1460" t="s">
        <v>3634</v>
      </c>
    </row>
    <row r="1461" spans="1:1" x14ac:dyDescent="0.25">
      <c r="A1461" t="s">
        <v>3635</v>
      </c>
    </row>
    <row r="1462" spans="1:1" x14ac:dyDescent="0.25">
      <c r="A1462" t="s">
        <v>3636</v>
      </c>
    </row>
    <row r="1463" spans="1:1" x14ac:dyDescent="0.25">
      <c r="A1463" t="s">
        <v>3637</v>
      </c>
    </row>
    <row r="1464" spans="1:1" x14ac:dyDescent="0.25">
      <c r="A1464" t="s">
        <v>3638</v>
      </c>
    </row>
    <row r="1465" spans="1:1" x14ac:dyDescent="0.25">
      <c r="A1465" t="s">
        <v>3639</v>
      </c>
    </row>
    <row r="1466" spans="1:1" x14ac:dyDescent="0.25">
      <c r="A1466" t="s">
        <v>3640</v>
      </c>
    </row>
    <row r="1467" spans="1:1" x14ac:dyDescent="0.25">
      <c r="A1467" t="s">
        <v>3641</v>
      </c>
    </row>
    <row r="1468" spans="1:1" x14ac:dyDescent="0.25">
      <c r="A1468" t="s">
        <v>3642</v>
      </c>
    </row>
    <row r="1469" spans="1:1" x14ac:dyDescent="0.25">
      <c r="A1469" t="s">
        <v>3643</v>
      </c>
    </row>
    <row r="1470" spans="1:1" x14ac:dyDescent="0.25">
      <c r="A1470" t="s">
        <v>3644</v>
      </c>
    </row>
    <row r="1471" spans="1:1" x14ac:dyDescent="0.25">
      <c r="A1471" t="s">
        <v>3645</v>
      </c>
    </row>
    <row r="1472" spans="1:1" x14ac:dyDescent="0.25">
      <c r="A1472" t="s">
        <v>3646</v>
      </c>
    </row>
    <row r="1473" spans="1:1" x14ac:dyDescent="0.25">
      <c r="A1473" t="s">
        <v>3647</v>
      </c>
    </row>
    <row r="1474" spans="1:1" x14ac:dyDescent="0.25">
      <c r="A1474" t="s">
        <v>3648</v>
      </c>
    </row>
    <row r="1475" spans="1:1" x14ac:dyDescent="0.25">
      <c r="A1475" t="s">
        <v>3649</v>
      </c>
    </row>
    <row r="1476" spans="1:1" x14ac:dyDescent="0.25">
      <c r="A1476" t="s">
        <v>3650</v>
      </c>
    </row>
    <row r="1477" spans="1:1" x14ac:dyDescent="0.25">
      <c r="A1477" t="s">
        <v>3651</v>
      </c>
    </row>
    <row r="1478" spans="1:1" x14ac:dyDescent="0.25">
      <c r="A1478" t="s">
        <v>3652</v>
      </c>
    </row>
    <row r="1479" spans="1:1" x14ac:dyDescent="0.25">
      <c r="A1479" t="s">
        <v>3653</v>
      </c>
    </row>
    <row r="1480" spans="1:1" x14ac:dyDescent="0.25">
      <c r="A1480" t="s">
        <v>3654</v>
      </c>
    </row>
    <row r="1481" spans="1:1" x14ac:dyDescent="0.25">
      <c r="A1481" t="s">
        <v>3655</v>
      </c>
    </row>
    <row r="1482" spans="1:1" x14ac:dyDescent="0.25">
      <c r="A1482" t="s">
        <v>3656</v>
      </c>
    </row>
    <row r="1483" spans="1:1" x14ac:dyDescent="0.25">
      <c r="A1483" t="s">
        <v>3657</v>
      </c>
    </row>
    <row r="1484" spans="1:1" x14ac:dyDescent="0.25">
      <c r="A1484" t="s">
        <v>3658</v>
      </c>
    </row>
    <row r="1485" spans="1:1" x14ac:dyDescent="0.25">
      <c r="A1485" t="s">
        <v>3659</v>
      </c>
    </row>
    <row r="1486" spans="1:1" x14ac:dyDescent="0.25">
      <c r="A1486" t="s">
        <v>3660</v>
      </c>
    </row>
    <row r="1487" spans="1:1" x14ac:dyDescent="0.25">
      <c r="A1487" t="s">
        <v>3661</v>
      </c>
    </row>
    <row r="1488" spans="1:1" x14ac:dyDescent="0.25">
      <c r="A1488" t="s">
        <v>3662</v>
      </c>
    </row>
    <row r="1489" spans="1:1" x14ac:dyDescent="0.25">
      <c r="A1489" t="s">
        <v>3663</v>
      </c>
    </row>
    <row r="1490" spans="1:1" x14ac:dyDescent="0.25">
      <c r="A1490" t="s">
        <v>3664</v>
      </c>
    </row>
    <row r="1491" spans="1:1" x14ac:dyDescent="0.25">
      <c r="A1491" t="s">
        <v>3665</v>
      </c>
    </row>
    <row r="1492" spans="1:1" x14ac:dyDescent="0.25">
      <c r="A1492" t="s">
        <v>3666</v>
      </c>
    </row>
    <row r="1493" spans="1:1" x14ac:dyDescent="0.25">
      <c r="A1493" t="s">
        <v>3667</v>
      </c>
    </row>
    <row r="1494" spans="1:1" x14ac:dyDescent="0.25">
      <c r="A1494" t="s">
        <v>3668</v>
      </c>
    </row>
    <row r="1495" spans="1:1" x14ac:dyDescent="0.25">
      <c r="A1495" t="s">
        <v>3669</v>
      </c>
    </row>
    <row r="1496" spans="1:1" x14ac:dyDescent="0.25">
      <c r="A1496" t="s">
        <v>3670</v>
      </c>
    </row>
    <row r="1497" spans="1:1" x14ac:dyDescent="0.25">
      <c r="A1497" t="s">
        <v>3671</v>
      </c>
    </row>
    <row r="1498" spans="1:1" x14ac:dyDescent="0.25">
      <c r="A1498" t="s">
        <v>3672</v>
      </c>
    </row>
    <row r="1499" spans="1:1" x14ac:dyDescent="0.25">
      <c r="A1499" t="s">
        <v>3673</v>
      </c>
    </row>
    <row r="1500" spans="1:1" x14ac:dyDescent="0.25">
      <c r="A1500" t="s">
        <v>3674</v>
      </c>
    </row>
    <row r="1501" spans="1:1" x14ac:dyDescent="0.25">
      <c r="A1501" t="s">
        <v>3675</v>
      </c>
    </row>
    <row r="1502" spans="1:1" x14ac:dyDescent="0.25">
      <c r="A1502" t="s">
        <v>3676</v>
      </c>
    </row>
    <row r="1503" spans="1:1" x14ac:dyDescent="0.25">
      <c r="A1503" t="s">
        <v>3677</v>
      </c>
    </row>
    <row r="1504" spans="1:1" x14ac:dyDescent="0.25">
      <c r="A1504" t="s">
        <v>3678</v>
      </c>
    </row>
    <row r="1505" spans="1:1" x14ac:dyDescent="0.25">
      <c r="A1505" t="s">
        <v>3679</v>
      </c>
    </row>
    <row r="1506" spans="1:1" x14ac:dyDescent="0.25">
      <c r="A1506" t="s">
        <v>3680</v>
      </c>
    </row>
    <row r="1507" spans="1:1" x14ac:dyDescent="0.25">
      <c r="A1507" t="s">
        <v>3681</v>
      </c>
    </row>
    <row r="1508" spans="1:1" x14ac:dyDescent="0.25">
      <c r="A1508" t="s">
        <v>3682</v>
      </c>
    </row>
    <row r="1509" spans="1:1" x14ac:dyDescent="0.25">
      <c r="A1509" t="s">
        <v>3683</v>
      </c>
    </row>
    <row r="1510" spans="1:1" x14ac:dyDescent="0.25">
      <c r="A1510" t="s">
        <v>3684</v>
      </c>
    </row>
    <row r="1511" spans="1:1" x14ac:dyDescent="0.25">
      <c r="A1511" t="s">
        <v>3685</v>
      </c>
    </row>
    <row r="1512" spans="1:1" x14ac:dyDescent="0.25">
      <c r="A1512" t="s">
        <v>3686</v>
      </c>
    </row>
    <row r="1513" spans="1:1" x14ac:dyDescent="0.25">
      <c r="A1513" t="s">
        <v>3687</v>
      </c>
    </row>
    <row r="1514" spans="1:1" x14ac:dyDescent="0.25">
      <c r="A1514" t="s">
        <v>3688</v>
      </c>
    </row>
    <row r="1515" spans="1:1" x14ac:dyDescent="0.25">
      <c r="A1515" t="s">
        <v>3689</v>
      </c>
    </row>
    <row r="1516" spans="1:1" x14ac:dyDescent="0.25">
      <c r="A1516" t="s">
        <v>3690</v>
      </c>
    </row>
    <row r="1517" spans="1:1" x14ac:dyDescent="0.25">
      <c r="A1517" t="s">
        <v>3691</v>
      </c>
    </row>
    <row r="1518" spans="1:1" x14ac:dyDescent="0.25">
      <c r="A1518" t="s">
        <v>3692</v>
      </c>
    </row>
    <row r="1519" spans="1:1" x14ac:dyDescent="0.25">
      <c r="A1519" t="s">
        <v>3693</v>
      </c>
    </row>
    <row r="1520" spans="1:1" x14ac:dyDescent="0.25">
      <c r="A1520" t="s">
        <v>3694</v>
      </c>
    </row>
    <row r="1521" spans="1:1" x14ac:dyDescent="0.25">
      <c r="A1521" t="s">
        <v>3695</v>
      </c>
    </row>
    <row r="1522" spans="1:1" x14ac:dyDescent="0.25">
      <c r="A1522" t="s">
        <v>3696</v>
      </c>
    </row>
    <row r="1523" spans="1:1" x14ac:dyDescent="0.25">
      <c r="A1523" t="s">
        <v>3697</v>
      </c>
    </row>
    <row r="1524" spans="1:1" x14ac:dyDescent="0.25">
      <c r="A1524" t="s">
        <v>3698</v>
      </c>
    </row>
    <row r="1525" spans="1:1" x14ac:dyDescent="0.25">
      <c r="A1525" t="s">
        <v>3699</v>
      </c>
    </row>
    <row r="1526" spans="1:1" x14ac:dyDescent="0.25">
      <c r="A1526" t="s">
        <v>3700</v>
      </c>
    </row>
    <row r="1527" spans="1:1" x14ac:dyDescent="0.25">
      <c r="A1527" t="s">
        <v>3701</v>
      </c>
    </row>
    <row r="1528" spans="1:1" x14ac:dyDescent="0.25">
      <c r="A1528" t="s">
        <v>3702</v>
      </c>
    </row>
    <row r="1529" spans="1:1" x14ac:dyDescent="0.25">
      <c r="A1529" t="s">
        <v>3703</v>
      </c>
    </row>
    <row r="1530" spans="1:1" x14ac:dyDescent="0.25">
      <c r="A1530" t="s">
        <v>3704</v>
      </c>
    </row>
    <row r="1531" spans="1:1" x14ac:dyDescent="0.25">
      <c r="A1531" t="s">
        <v>3705</v>
      </c>
    </row>
    <row r="1532" spans="1:1" x14ac:dyDescent="0.25">
      <c r="A1532" t="s">
        <v>3706</v>
      </c>
    </row>
    <row r="1533" spans="1:1" x14ac:dyDescent="0.25">
      <c r="A1533" t="s">
        <v>3707</v>
      </c>
    </row>
    <row r="1534" spans="1:1" x14ac:dyDescent="0.25">
      <c r="A1534" t="s">
        <v>3708</v>
      </c>
    </row>
    <row r="1535" spans="1:1" x14ac:dyDescent="0.25">
      <c r="A1535" t="s">
        <v>3709</v>
      </c>
    </row>
    <row r="1536" spans="1:1" x14ac:dyDescent="0.25">
      <c r="A1536" t="s">
        <v>3710</v>
      </c>
    </row>
    <row r="1537" spans="1:1" x14ac:dyDescent="0.25">
      <c r="A1537" t="s">
        <v>3711</v>
      </c>
    </row>
    <row r="1538" spans="1:1" x14ac:dyDescent="0.25">
      <c r="A1538" t="s">
        <v>3712</v>
      </c>
    </row>
    <row r="1539" spans="1:1" x14ac:dyDescent="0.25">
      <c r="A1539" t="s">
        <v>3713</v>
      </c>
    </row>
    <row r="1540" spans="1:1" x14ac:dyDescent="0.25">
      <c r="A1540" t="s">
        <v>3714</v>
      </c>
    </row>
    <row r="1541" spans="1:1" x14ac:dyDescent="0.25">
      <c r="A1541" t="s">
        <v>3715</v>
      </c>
    </row>
    <row r="1542" spans="1:1" x14ac:dyDescent="0.25">
      <c r="A1542" t="s">
        <v>3716</v>
      </c>
    </row>
    <row r="1543" spans="1:1" x14ac:dyDescent="0.25">
      <c r="A1543" t="s">
        <v>3717</v>
      </c>
    </row>
    <row r="1544" spans="1:1" x14ac:dyDescent="0.25">
      <c r="A1544" t="s">
        <v>3718</v>
      </c>
    </row>
    <row r="1545" spans="1:1" x14ac:dyDescent="0.25">
      <c r="A1545" t="s">
        <v>3719</v>
      </c>
    </row>
    <row r="1546" spans="1:1" x14ac:dyDescent="0.25">
      <c r="A1546" t="s">
        <v>3720</v>
      </c>
    </row>
    <row r="1547" spans="1:1" x14ac:dyDescent="0.25">
      <c r="A1547" t="s">
        <v>3721</v>
      </c>
    </row>
    <row r="1548" spans="1:1" x14ac:dyDescent="0.25">
      <c r="A1548" t="s">
        <v>3722</v>
      </c>
    </row>
    <row r="1549" spans="1:1" x14ac:dyDescent="0.25">
      <c r="A1549" t="s">
        <v>3723</v>
      </c>
    </row>
    <row r="1550" spans="1:1" x14ac:dyDescent="0.25">
      <c r="A1550" t="s">
        <v>3724</v>
      </c>
    </row>
    <row r="1551" spans="1:1" x14ac:dyDescent="0.25">
      <c r="A1551" t="s">
        <v>3725</v>
      </c>
    </row>
    <row r="1552" spans="1:1" x14ac:dyDescent="0.25">
      <c r="A1552" t="s">
        <v>3726</v>
      </c>
    </row>
    <row r="1553" spans="1:1" x14ac:dyDescent="0.25">
      <c r="A1553" t="s">
        <v>3727</v>
      </c>
    </row>
    <row r="1554" spans="1:1" x14ac:dyDescent="0.25">
      <c r="A1554" t="s">
        <v>3728</v>
      </c>
    </row>
    <row r="1555" spans="1:1" x14ac:dyDescent="0.25">
      <c r="A1555" t="s">
        <v>3729</v>
      </c>
    </row>
    <row r="1556" spans="1:1" x14ac:dyDescent="0.25">
      <c r="A1556" t="s">
        <v>3730</v>
      </c>
    </row>
    <row r="1557" spans="1:1" x14ac:dyDescent="0.25">
      <c r="A1557" t="s">
        <v>3731</v>
      </c>
    </row>
    <row r="1558" spans="1:1" x14ac:dyDescent="0.25">
      <c r="A1558" t="s">
        <v>3732</v>
      </c>
    </row>
    <row r="1559" spans="1:1" x14ac:dyDescent="0.25">
      <c r="A1559" t="s">
        <v>3733</v>
      </c>
    </row>
    <row r="1560" spans="1:1" x14ac:dyDescent="0.25">
      <c r="A1560" t="s">
        <v>3734</v>
      </c>
    </row>
    <row r="1561" spans="1:1" x14ac:dyDescent="0.25">
      <c r="A1561" t="s">
        <v>3735</v>
      </c>
    </row>
    <row r="1562" spans="1:1" x14ac:dyDescent="0.25">
      <c r="A1562" t="s">
        <v>3736</v>
      </c>
    </row>
    <row r="1563" spans="1:1" x14ac:dyDescent="0.25">
      <c r="A1563" t="s">
        <v>3737</v>
      </c>
    </row>
    <row r="1564" spans="1:1" x14ac:dyDescent="0.25">
      <c r="A1564" t="s">
        <v>3738</v>
      </c>
    </row>
    <row r="1565" spans="1:1" x14ac:dyDescent="0.25">
      <c r="A1565" t="s">
        <v>3739</v>
      </c>
    </row>
    <row r="1566" spans="1:1" x14ac:dyDescent="0.25">
      <c r="A1566" t="s">
        <v>3740</v>
      </c>
    </row>
    <row r="1567" spans="1:1" x14ac:dyDescent="0.25">
      <c r="A1567" t="s">
        <v>3741</v>
      </c>
    </row>
    <row r="1568" spans="1:1" x14ac:dyDescent="0.25">
      <c r="A1568" t="s">
        <v>3742</v>
      </c>
    </row>
    <row r="1569" spans="1:1" x14ac:dyDescent="0.25">
      <c r="A1569" t="s">
        <v>3743</v>
      </c>
    </row>
    <row r="1570" spans="1:1" x14ac:dyDescent="0.25">
      <c r="A1570" t="s">
        <v>3744</v>
      </c>
    </row>
    <row r="1571" spans="1:1" x14ac:dyDescent="0.25">
      <c r="A1571" t="s">
        <v>3745</v>
      </c>
    </row>
    <row r="1572" spans="1:1" x14ac:dyDescent="0.25">
      <c r="A1572" t="s">
        <v>3746</v>
      </c>
    </row>
    <row r="1573" spans="1:1" x14ac:dyDescent="0.25">
      <c r="A1573" t="s">
        <v>3747</v>
      </c>
    </row>
    <row r="1574" spans="1:1" x14ac:dyDescent="0.25">
      <c r="A1574" t="s">
        <v>3748</v>
      </c>
    </row>
    <row r="1575" spans="1:1" x14ac:dyDescent="0.25">
      <c r="A1575" t="s">
        <v>3749</v>
      </c>
    </row>
    <row r="1576" spans="1:1" x14ac:dyDescent="0.25">
      <c r="A1576" t="s">
        <v>3750</v>
      </c>
    </row>
    <row r="1577" spans="1:1" x14ac:dyDescent="0.25">
      <c r="A1577" t="s">
        <v>3751</v>
      </c>
    </row>
    <row r="1578" spans="1:1" x14ac:dyDescent="0.25">
      <c r="A1578" t="s">
        <v>3752</v>
      </c>
    </row>
    <row r="1579" spans="1:1" x14ac:dyDescent="0.25">
      <c r="A1579" t="s">
        <v>3753</v>
      </c>
    </row>
    <row r="1580" spans="1:1" x14ac:dyDescent="0.25">
      <c r="A1580" t="s">
        <v>3754</v>
      </c>
    </row>
    <row r="1581" spans="1:1" x14ac:dyDescent="0.25">
      <c r="A1581" t="s">
        <v>3755</v>
      </c>
    </row>
    <row r="1582" spans="1:1" x14ac:dyDescent="0.25">
      <c r="A1582" t="s">
        <v>3756</v>
      </c>
    </row>
    <row r="1583" spans="1:1" x14ac:dyDescent="0.25">
      <c r="A1583" t="s">
        <v>3757</v>
      </c>
    </row>
    <row r="1584" spans="1:1" x14ac:dyDescent="0.25">
      <c r="A1584" t="s">
        <v>3758</v>
      </c>
    </row>
    <row r="1585" spans="1:1" x14ac:dyDescent="0.25">
      <c r="A1585" t="s">
        <v>3759</v>
      </c>
    </row>
    <row r="1586" spans="1:1" x14ac:dyDescent="0.25">
      <c r="A1586" t="s">
        <v>3760</v>
      </c>
    </row>
    <row r="1587" spans="1:1" x14ac:dyDescent="0.25">
      <c r="A1587" t="s">
        <v>3761</v>
      </c>
    </row>
    <row r="1588" spans="1:1" x14ac:dyDescent="0.25">
      <c r="A1588" t="s">
        <v>3762</v>
      </c>
    </row>
    <row r="1589" spans="1:1" x14ac:dyDescent="0.25">
      <c r="A1589" t="s">
        <v>3763</v>
      </c>
    </row>
    <row r="1590" spans="1:1" x14ac:dyDescent="0.25">
      <c r="A1590" t="s">
        <v>3764</v>
      </c>
    </row>
    <row r="1591" spans="1:1" x14ac:dyDescent="0.25">
      <c r="A1591" t="s">
        <v>3765</v>
      </c>
    </row>
    <row r="1592" spans="1:1" x14ac:dyDescent="0.25">
      <c r="A1592" t="s">
        <v>3766</v>
      </c>
    </row>
    <row r="1593" spans="1:1" x14ac:dyDescent="0.25">
      <c r="A1593" t="s">
        <v>3767</v>
      </c>
    </row>
    <row r="1594" spans="1:1" x14ac:dyDescent="0.25">
      <c r="A1594" t="s">
        <v>3768</v>
      </c>
    </row>
    <row r="1595" spans="1:1" x14ac:dyDescent="0.25">
      <c r="A1595" t="s">
        <v>3769</v>
      </c>
    </row>
    <row r="1596" spans="1:1" x14ac:dyDescent="0.25">
      <c r="A1596" t="s">
        <v>3770</v>
      </c>
    </row>
    <row r="1597" spans="1:1" x14ac:dyDescent="0.25">
      <c r="A1597" t="s">
        <v>3771</v>
      </c>
    </row>
    <row r="1598" spans="1:1" x14ac:dyDescent="0.25">
      <c r="A1598" t="s">
        <v>3772</v>
      </c>
    </row>
    <row r="1599" spans="1:1" x14ac:dyDescent="0.25">
      <c r="A1599" t="s">
        <v>3773</v>
      </c>
    </row>
    <row r="1600" spans="1:1" x14ac:dyDescent="0.25">
      <c r="A1600" t="s">
        <v>3774</v>
      </c>
    </row>
    <row r="1601" spans="1:1" x14ac:dyDescent="0.25">
      <c r="A1601" t="s">
        <v>3775</v>
      </c>
    </row>
    <row r="1602" spans="1:1" x14ac:dyDescent="0.25">
      <c r="A1602" t="s">
        <v>3776</v>
      </c>
    </row>
    <row r="1603" spans="1:1" x14ac:dyDescent="0.25">
      <c r="A1603" t="s">
        <v>3777</v>
      </c>
    </row>
    <row r="1604" spans="1:1" x14ac:dyDescent="0.25">
      <c r="A1604" t="s">
        <v>3778</v>
      </c>
    </row>
    <row r="1605" spans="1:1" x14ac:dyDescent="0.25">
      <c r="A1605" t="s">
        <v>3779</v>
      </c>
    </row>
    <row r="1606" spans="1:1" x14ac:dyDescent="0.25">
      <c r="A1606" t="s">
        <v>3780</v>
      </c>
    </row>
    <row r="1607" spans="1:1" x14ac:dyDescent="0.25">
      <c r="A1607" t="s">
        <v>3781</v>
      </c>
    </row>
    <row r="1608" spans="1:1" x14ac:dyDescent="0.25">
      <c r="A1608" t="s">
        <v>3782</v>
      </c>
    </row>
    <row r="1609" spans="1:1" x14ac:dyDescent="0.25">
      <c r="A1609" t="s">
        <v>3783</v>
      </c>
    </row>
    <row r="1610" spans="1:1" x14ac:dyDescent="0.25">
      <c r="A1610" t="s">
        <v>3784</v>
      </c>
    </row>
    <row r="1611" spans="1:1" x14ac:dyDescent="0.25">
      <c r="A1611" t="s">
        <v>3785</v>
      </c>
    </row>
    <row r="1612" spans="1:1" x14ac:dyDescent="0.25">
      <c r="A1612" t="s">
        <v>3786</v>
      </c>
    </row>
    <row r="1613" spans="1:1" x14ac:dyDescent="0.25">
      <c r="A1613" t="s">
        <v>3787</v>
      </c>
    </row>
    <row r="1614" spans="1:1" x14ac:dyDescent="0.25">
      <c r="A1614" t="s">
        <v>3788</v>
      </c>
    </row>
    <row r="1615" spans="1:1" x14ac:dyDescent="0.25">
      <c r="A1615" t="s">
        <v>3789</v>
      </c>
    </row>
    <row r="1616" spans="1:1" x14ac:dyDescent="0.25">
      <c r="A1616" t="s">
        <v>3790</v>
      </c>
    </row>
    <row r="1617" spans="1:1" x14ac:dyDescent="0.25">
      <c r="A1617" t="s">
        <v>3791</v>
      </c>
    </row>
    <row r="1618" spans="1:1" x14ac:dyDescent="0.25">
      <c r="A1618" t="s">
        <v>3792</v>
      </c>
    </row>
    <row r="1619" spans="1:1" x14ac:dyDescent="0.25">
      <c r="A1619" t="s">
        <v>3793</v>
      </c>
    </row>
    <row r="1620" spans="1:1" x14ac:dyDescent="0.25">
      <c r="A1620" t="s">
        <v>3794</v>
      </c>
    </row>
    <row r="1621" spans="1:1" x14ac:dyDescent="0.25">
      <c r="A1621" t="s">
        <v>3795</v>
      </c>
    </row>
    <row r="1622" spans="1:1" x14ac:dyDescent="0.25">
      <c r="A1622" t="s">
        <v>3796</v>
      </c>
    </row>
    <row r="1623" spans="1:1" x14ac:dyDescent="0.25">
      <c r="A1623" t="s">
        <v>3797</v>
      </c>
    </row>
    <row r="1624" spans="1:1" x14ac:dyDescent="0.25">
      <c r="A1624" t="s">
        <v>3798</v>
      </c>
    </row>
    <row r="1625" spans="1:1" x14ac:dyDescent="0.25">
      <c r="A1625" t="s">
        <v>3799</v>
      </c>
    </row>
    <row r="1626" spans="1:1" x14ac:dyDescent="0.25">
      <c r="A1626" t="s">
        <v>3800</v>
      </c>
    </row>
    <row r="1627" spans="1:1" x14ac:dyDescent="0.25">
      <c r="A1627" t="s">
        <v>3801</v>
      </c>
    </row>
    <row r="1628" spans="1:1" x14ac:dyDescent="0.25">
      <c r="A1628" t="s">
        <v>3802</v>
      </c>
    </row>
    <row r="1629" spans="1:1" x14ac:dyDescent="0.25">
      <c r="A1629" t="s">
        <v>3803</v>
      </c>
    </row>
    <row r="1630" spans="1:1" x14ac:dyDescent="0.25">
      <c r="A1630" t="s">
        <v>3804</v>
      </c>
    </row>
    <row r="1631" spans="1:1" x14ac:dyDescent="0.25">
      <c r="A1631" t="s">
        <v>3805</v>
      </c>
    </row>
    <row r="1632" spans="1:1" x14ac:dyDescent="0.25">
      <c r="A1632" t="s">
        <v>3806</v>
      </c>
    </row>
    <row r="1633" spans="1:1" x14ac:dyDescent="0.25">
      <c r="A1633" t="s">
        <v>3807</v>
      </c>
    </row>
    <row r="1634" spans="1:1" x14ac:dyDescent="0.25">
      <c r="A1634" t="s">
        <v>3808</v>
      </c>
    </row>
    <row r="1635" spans="1:1" x14ac:dyDescent="0.25">
      <c r="A1635" t="s">
        <v>3809</v>
      </c>
    </row>
    <row r="1636" spans="1:1" x14ac:dyDescent="0.25">
      <c r="A1636" t="s">
        <v>3810</v>
      </c>
    </row>
    <row r="1637" spans="1:1" x14ac:dyDescent="0.25">
      <c r="A1637" t="s">
        <v>3811</v>
      </c>
    </row>
    <row r="1638" spans="1:1" x14ac:dyDescent="0.25">
      <c r="A1638" t="s">
        <v>3812</v>
      </c>
    </row>
    <row r="1639" spans="1:1" x14ac:dyDescent="0.25">
      <c r="A1639" t="s">
        <v>3813</v>
      </c>
    </row>
    <row r="1640" spans="1:1" x14ac:dyDescent="0.25">
      <c r="A1640" t="s">
        <v>3814</v>
      </c>
    </row>
    <row r="1641" spans="1:1" x14ac:dyDescent="0.25">
      <c r="A1641" t="s">
        <v>3815</v>
      </c>
    </row>
    <row r="1642" spans="1:1" x14ac:dyDescent="0.25">
      <c r="A1642" t="s">
        <v>3816</v>
      </c>
    </row>
    <row r="1643" spans="1:1" x14ac:dyDescent="0.25">
      <c r="A1643" t="s">
        <v>3817</v>
      </c>
    </row>
    <row r="1644" spans="1:1" x14ac:dyDescent="0.25">
      <c r="A1644" t="s">
        <v>3818</v>
      </c>
    </row>
    <row r="1645" spans="1:1" x14ac:dyDescent="0.25">
      <c r="A1645" t="s">
        <v>3819</v>
      </c>
    </row>
    <row r="1646" spans="1:1" x14ac:dyDescent="0.25">
      <c r="A1646" t="s">
        <v>3820</v>
      </c>
    </row>
    <row r="1647" spans="1:1" x14ac:dyDescent="0.25">
      <c r="A1647" t="s">
        <v>3821</v>
      </c>
    </row>
    <row r="1648" spans="1:1" x14ac:dyDescent="0.25">
      <c r="A1648" t="s">
        <v>3822</v>
      </c>
    </row>
    <row r="1649" spans="1:1" x14ac:dyDescent="0.25">
      <c r="A1649" t="s">
        <v>3823</v>
      </c>
    </row>
    <row r="1650" spans="1:1" x14ac:dyDescent="0.25">
      <c r="A1650" t="s">
        <v>3824</v>
      </c>
    </row>
    <row r="1651" spans="1:1" x14ac:dyDescent="0.25">
      <c r="A1651" t="s">
        <v>3825</v>
      </c>
    </row>
    <row r="1652" spans="1:1" x14ac:dyDescent="0.25">
      <c r="A1652" t="s">
        <v>3826</v>
      </c>
    </row>
    <row r="1653" spans="1:1" x14ac:dyDescent="0.25">
      <c r="A1653" t="s">
        <v>3827</v>
      </c>
    </row>
    <row r="1654" spans="1:1" x14ac:dyDescent="0.25">
      <c r="A1654" t="s">
        <v>3828</v>
      </c>
    </row>
    <row r="1655" spans="1:1" x14ac:dyDescent="0.25">
      <c r="A1655" t="s">
        <v>3829</v>
      </c>
    </row>
    <row r="1656" spans="1:1" x14ac:dyDescent="0.25">
      <c r="A1656" t="s">
        <v>3830</v>
      </c>
    </row>
    <row r="1657" spans="1:1" x14ac:dyDescent="0.25">
      <c r="A1657" t="s">
        <v>3831</v>
      </c>
    </row>
    <row r="1658" spans="1:1" x14ac:dyDescent="0.25">
      <c r="A1658" t="s">
        <v>3832</v>
      </c>
    </row>
    <row r="1659" spans="1:1" x14ac:dyDescent="0.25">
      <c r="A1659" t="s">
        <v>3833</v>
      </c>
    </row>
    <row r="1660" spans="1:1" x14ac:dyDescent="0.25">
      <c r="A1660" t="s">
        <v>3834</v>
      </c>
    </row>
    <row r="1661" spans="1:1" x14ac:dyDescent="0.25">
      <c r="A1661" t="s">
        <v>3835</v>
      </c>
    </row>
    <row r="1662" spans="1:1" x14ac:dyDescent="0.25">
      <c r="A1662" t="s">
        <v>3836</v>
      </c>
    </row>
    <row r="1663" spans="1:1" x14ac:dyDescent="0.25">
      <c r="A1663" t="s">
        <v>3837</v>
      </c>
    </row>
    <row r="1664" spans="1:1" x14ac:dyDescent="0.25">
      <c r="A1664" t="s">
        <v>3838</v>
      </c>
    </row>
    <row r="1665" spans="1:1" x14ac:dyDescent="0.25">
      <c r="A1665" t="s">
        <v>3839</v>
      </c>
    </row>
    <row r="1666" spans="1:1" x14ac:dyDescent="0.25">
      <c r="A1666" t="s">
        <v>3840</v>
      </c>
    </row>
    <row r="1667" spans="1:1" x14ac:dyDescent="0.25">
      <c r="A1667" t="s">
        <v>3841</v>
      </c>
    </row>
    <row r="1668" spans="1:1" x14ac:dyDescent="0.25">
      <c r="A1668" t="s">
        <v>3842</v>
      </c>
    </row>
    <row r="1669" spans="1:1" x14ac:dyDescent="0.25">
      <c r="A1669" t="s">
        <v>3843</v>
      </c>
    </row>
    <row r="1670" spans="1:1" x14ac:dyDescent="0.25">
      <c r="A1670" t="s">
        <v>3844</v>
      </c>
    </row>
    <row r="1671" spans="1:1" x14ac:dyDescent="0.25">
      <c r="A1671" t="s">
        <v>3845</v>
      </c>
    </row>
    <row r="1672" spans="1:1" x14ac:dyDescent="0.25">
      <c r="A1672" t="s">
        <v>3846</v>
      </c>
    </row>
    <row r="1673" spans="1:1" x14ac:dyDescent="0.25">
      <c r="A1673" t="s">
        <v>3847</v>
      </c>
    </row>
    <row r="1674" spans="1:1" x14ac:dyDescent="0.25">
      <c r="A1674" t="s">
        <v>3848</v>
      </c>
    </row>
    <row r="1675" spans="1:1" x14ac:dyDescent="0.25">
      <c r="A1675" t="s">
        <v>3849</v>
      </c>
    </row>
    <row r="1676" spans="1:1" x14ac:dyDescent="0.25">
      <c r="A1676" t="s">
        <v>3850</v>
      </c>
    </row>
    <row r="1677" spans="1:1" x14ac:dyDescent="0.25">
      <c r="A1677" t="s">
        <v>3851</v>
      </c>
    </row>
    <row r="1678" spans="1:1" x14ac:dyDescent="0.25">
      <c r="A1678" t="s">
        <v>3852</v>
      </c>
    </row>
    <row r="1679" spans="1:1" x14ac:dyDescent="0.25">
      <c r="A1679" t="s">
        <v>3853</v>
      </c>
    </row>
    <row r="1680" spans="1:1" x14ac:dyDescent="0.25">
      <c r="A1680" t="s">
        <v>3854</v>
      </c>
    </row>
    <row r="1681" spans="1:1" x14ac:dyDescent="0.25">
      <c r="A1681" t="s">
        <v>3855</v>
      </c>
    </row>
    <row r="1682" spans="1:1" x14ac:dyDescent="0.25">
      <c r="A1682" t="s">
        <v>3856</v>
      </c>
    </row>
    <row r="1683" spans="1:1" x14ac:dyDescent="0.25">
      <c r="A1683" t="s">
        <v>3857</v>
      </c>
    </row>
    <row r="1684" spans="1:1" x14ac:dyDescent="0.25">
      <c r="A1684" t="s">
        <v>3858</v>
      </c>
    </row>
    <row r="1685" spans="1:1" x14ac:dyDescent="0.25">
      <c r="A1685" t="s">
        <v>3859</v>
      </c>
    </row>
    <row r="1686" spans="1:1" x14ac:dyDescent="0.25">
      <c r="A1686" t="s">
        <v>3860</v>
      </c>
    </row>
    <row r="1687" spans="1:1" x14ac:dyDescent="0.25">
      <c r="A1687" t="s">
        <v>3861</v>
      </c>
    </row>
    <row r="1688" spans="1:1" x14ac:dyDescent="0.25">
      <c r="A1688" t="s">
        <v>3862</v>
      </c>
    </row>
    <row r="1689" spans="1:1" x14ac:dyDescent="0.25">
      <c r="A1689" t="s">
        <v>3863</v>
      </c>
    </row>
    <row r="1690" spans="1:1" x14ac:dyDescent="0.25">
      <c r="A1690" t="s">
        <v>3864</v>
      </c>
    </row>
    <row r="1691" spans="1:1" x14ac:dyDescent="0.25">
      <c r="A1691" t="s">
        <v>3865</v>
      </c>
    </row>
    <row r="1692" spans="1:1" x14ac:dyDescent="0.25">
      <c r="A1692" t="s">
        <v>3866</v>
      </c>
    </row>
    <row r="1693" spans="1:1" x14ac:dyDescent="0.25">
      <c r="A1693" t="s">
        <v>3867</v>
      </c>
    </row>
    <row r="1694" spans="1:1" x14ac:dyDescent="0.25">
      <c r="A1694" t="s">
        <v>3868</v>
      </c>
    </row>
    <row r="1695" spans="1:1" x14ac:dyDescent="0.25">
      <c r="A1695" t="s">
        <v>3869</v>
      </c>
    </row>
    <row r="1696" spans="1:1" x14ac:dyDescent="0.25">
      <c r="A1696" t="s">
        <v>3870</v>
      </c>
    </row>
    <row r="1697" spans="1:1" x14ac:dyDescent="0.25">
      <c r="A1697" t="s">
        <v>3871</v>
      </c>
    </row>
    <row r="1698" spans="1:1" x14ac:dyDescent="0.25">
      <c r="A1698" t="s">
        <v>3872</v>
      </c>
    </row>
    <row r="1699" spans="1:1" x14ac:dyDescent="0.25">
      <c r="A1699" t="s">
        <v>3873</v>
      </c>
    </row>
    <row r="1700" spans="1:1" x14ac:dyDescent="0.25">
      <c r="A1700" t="s">
        <v>3874</v>
      </c>
    </row>
    <row r="1701" spans="1:1" x14ac:dyDescent="0.25">
      <c r="A1701" t="s">
        <v>3875</v>
      </c>
    </row>
    <row r="1702" spans="1:1" x14ac:dyDescent="0.25">
      <c r="A1702" t="s">
        <v>3876</v>
      </c>
    </row>
    <row r="1703" spans="1:1" x14ac:dyDescent="0.25">
      <c r="A1703" t="s">
        <v>3877</v>
      </c>
    </row>
    <row r="1704" spans="1:1" x14ac:dyDescent="0.25">
      <c r="A1704" t="s">
        <v>3878</v>
      </c>
    </row>
    <row r="1705" spans="1:1" x14ac:dyDescent="0.25">
      <c r="A1705" t="s">
        <v>3879</v>
      </c>
    </row>
    <row r="1706" spans="1:1" x14ac:dyDescent="0.25">
      <c r="A1706" t="s">
        <v>3880</v>
      </c>
    </row>
    <row r="1707" spans="1:1" x14ac:dyDescent="0.25">
      <c r="A1707" t="s">
        <v>3881</v>
      </c>
    </row>
    <row r="1708" spans="1:1" x14ac:dyDescent="0.25">
      <c r="A1708" t="s">
        <v>3882</v>
      </c>
    </row>
    <row r="1709" spans="1:1" x14ac:dyDescent="0.25">
      <c r="A1709" t="s">
        <v>3883</v>
      </c>
    </row>
    <row r="1710" spans="1:1" x14ac:dyDescent="0.25">
      <c r="A1710" t="s">
        <v>3884</v>
      </c>
    </row>
    <row r="1711" spans="1:1" x14ac:dyDescent="0.25">
      <c r="A1711" t="s">
        <v>3885</v>
      </c>
    </row>
    <row r="1712" spans="1:1" x14ac:dyDescent="0.25">
      <c r="A1712" t="s">
        <v>3886</v>
      </c>
    </row>
    <row r="1713" spans="1:1" x14ac:dyDescent="0.25">
      <c r="A1713" t="s">
        <v>3887</v>
      </c>
    </row>
    <row r="1714" spans="1:1" x14ac:dyDescent="0.25">
      <c r="A1714" t="s">
        <v>3888</v>
      </c>
    </row>
    <row r="1715" spans="1:1" x14ac:dyDescent="0.25">
      <c r="A1715" t="s">
        <v>3889</v>
      </c>
    </row>
    <row r="1716" spans="1:1" x14ac:dyDescent="0.25">
      <c r="A1716" t="s">
        <v>3890</v>
      </c>
    </row>
    <row r="1717" spans="1:1" x14ac:dyDescent="0.25">
      <c r="A1717" t="s">
        <v>3891</v>
      </c>
    </row>
    <row r="1718" spans="1:1" x14ac:dyDescent="0.25">
      <c r="A1718" t="s">
        <v>3892</v>
      </c>
    </row>
    <row r="1719" spans="1:1" x14ac:dyDescent="0.25">
      <c r="A1719" t="s">
        <v>3893</v>
      </c>
    </row>
    <row r="1720" spans="1:1" x14ac:dyDescent="0.25">
      <c r="A1720" t="s">
        <v>3894</v>
      </c>
    </row>
    <row r="1721" spans="1:1" x14ac:dyDescent="0.25">
      <c r="A1721" t="s">
        <v>3895</v>
      </c>
    </row>
    <row r="1722" spans="1:1" x14ac:dyDescent="0.25">
      <c r="A1722" t="s">
        <v>3896</v>
      </c>
    </row>
    <row r="1723" spans="1:1" x14ac:dyDescent="0.25">
      <c r="A1723" t="s">
        <v>3897</v>
      </c>
    </row>
    <row r="1724" spans="1:1" x14ac:dyDescent="0.25">
      <c r="A1724" t="s">
        <v>3898</v>
      </c>
    </row>
    <row r="1725" spans="1:1" x14ac:dyDescent="0.25">
      <c r="A1725" t="s">
        <v>3899</v>
      </c>
    </row>
    <row r="1726" spans="1:1" x14ac:dyDescent="0.25">
      <c r="A1726" t="s">
        <v>3900</v>
      </c>
    </row>
    <row r="1727" spans="1:1" x14ac:dyDescent="0.25">
      <c r="A1727" t="s">
        <v>3901</v>
      </c>
    </row>
    <row r="1728" spans="1:1" x14ac:dyDescent="0.25">
      <c r="A1728" t="s">
        <v>3902</v>
      </c>
    </row>
    <row r="1729" spans="1:1" x14ac:dyDescent="0.25">
      <c r="A1729" t="s">
        <v>3903</v>
      </c>
    </row>
    <row r="1730" spans="1:1" x14ac:dyDescent="0.25">
      <c r="A1730" t="s">
        <v>3904</v>
      </c>
    </row>
    <row r="1731" spans="1:1" x14ac:dyDescent="0.25">
      <c r="A1731" t="s">
        <v>3905</v>
      </c>
    </row>
    <row r="1732" spans="1:1" x14ac:dyDescent="0.25">
      <c r="A1732" t="s">
        <v>3906</v>
      </c>
    </row>
    <row r="1733" spans="1:1" x14ac:dyDescent="0.25">
      <c r="A1733" t="s">
        <v>3907</v>
      </c>
    </row>
    <row r="1734" spans="1:1" x14ac:dyDescent="0.25">
      <c r="A1734" t="s">
        <v>3908</v>
      </c>
    </row>
    <row r="1735" spans="1:1" x14ac:dyDescent="0.25">
      <c r="A1735" t="s">
        <v>3909</v>
      </c>
    </row>
    <row r="1736" spans="1:1" x14ac:dyDescent="0.25">
      <c r="A1736" t="s">
        <v>3910</v>
      </c>
    </row>
    <row r="1737" spans="1:1" x14ac:dyDescent="0.25">
      <c r="A1737" t="s">
        <v>3911</v>
      </c>
    </row>
    <row r="1738" spans="1:1" x14ac:dyDescent="0.25">
      <c r="A1738" t="s">
        <v>3912</v>
      </c>
    </row>
    <row r="1739" spans="1:1" x14ac:dyDescent="0.25">
      <c r="A1739" t="s">
        <v>3913</v>
      </c>
    </row>
    <row r="1740" spans="1:1" x14ac:dyDescent="0.25">
      <c r="A1740" t="s">
        <v>3914</v>
      </c>
    </row>
    <row r="1741" spans="1:1" x14ac:dyDescent="0.25">
      <c r="A1741" t="s">
        <v>3915</v>
      </c>
    </row>
    <row r="1742" spans="1:1" x14ac:dyDescent="0.25">
      <c r="A1742" t="s">
        <v>3916</v>
      </c>
    </row>
    <row r="1743" spans="1:1" x14ac:dyDescent="0.25">
      <c r="A1743" t="s">
        <v>3917</v>
      </c>
    </row>
    <row r="1744" spans="1:1" x14ac:dyDescent="0.25">
      <c r="A1744" t="s">
        <v>3918</v>
      </c>
    </row>
    <row r="1745" spans="1:1" x14ac:dyDescent="0.25">
      <c r="A1745" t="s">
        <v>3919</v>
      </c>
    </row>
    <row r="1746" spans="1:1" x14ac:dyDescent="0.25">
      <c r="A1746" t="s">
        <v>3920</v>
      </c>
    </row>
    <row r="1747" spans="1:1" x14ac:dyDescent="0.25">
      <c r="A1747" t="s">
        <v>3921</v>
      </c>
    </row>
    <row r="1748" spans="1:1" x14ac:dyDescent="0.25">
      <c r="A1748" t="s">
        <v>3922</v>
      </c>
    </row>
    <row r="1749" spans="1:1" x14ac:dyDescent="0.25">
      <c r="A1749" t="s">
        <v>3923</v>
      </c>
    </row>
    <row r="1750" spans="1:1" x14ac:dyDescent="0.25">
      <c r="A1750" t="s">
        <v>3924</v>
      </c>
    </row>
    <row r="1751" spans="1:1" x14ac:dyDescent="0.25">
      <c r="A1751" t="s">
        <v>3925</v>
      </c>
    </row>
    <row r="1752" spans="1:1" x14ac:dyDescent="0.25">
      <c r="A1752" t="s">
        <v>3926</v>
      </c>
    </row>
    <row r="1753" spans="1:1" x14ac:dyDescent="0.25">
      <c r="A1753" t="s">
        <v>3927</v>
      </c>
    </row>
    <row r="1754" spans="1:1" x14ac:dyDescent="0.25">
      <c r="A1754" t="s">
        <v>3928</v>
      </c>
    </row>
    <row r="1755" spans="1:1" x14ac:dyDescent="0.25">
      <c r="A1755" t="s">
        <v>3929</v>
      </c>
    </row>
    <row r="1756" spans="1:1" x14ac:dyDescent="0.25">
      <c r="A1756" t="s">
        <v>3930</v>
      </c>
    </row>
    <row r="1757" spans="1:1" x14ac:dyDescent="0.25">
      <c r="A1757" t="s">
        <v>3931</v>
      </c>
    </row>
    <row r="1758" spans="1:1" x14ac:dyDescent="0.25">
      <c r="A1758" t="s">
        <v>3932</v>
      </c>
    </row>
    <row r="1759" spans="1:1" x14ac:dyDescent="0.25">
      <c r="A1759" t="s">
        <v>3933</v>
      </c>
    </row>
    <row r="1760" spans="1:1" x14ac:dyDescent="0.25">
      <c r="A1760" t="s">
        <v>3934</v>
      </c>
    </row>
    <row r="1761" spans="1:1" x14ac:dyDescent="0.25">
      <c r="A1761" t="s">
        <v>3935</v>
      </c>
    </row>
    <row r="1762" spans="1:1" x14ac:dyDescent="0.25">
      <c r="A1762" t="s">
        <v>3936</v>
      </c>
    </row>
    <row r="1763" spans="1:1" x14ac:dyDescent="0.25">
      <c r="A1763" t="s">
        <v>3937</v>
      </c>
    </row>
    <row r="1764" spans="1:1" x14ac:dyDescent="0.25">
      <c r="A1764" t="s">
        <v>3938</v>
      </c>
    </row>
    <row r="1765" spans="1:1" x14ac:dyDescent="0.25">
      <c r="A1765" t="s">
        <v>3939</v>
      </c>
    </row>
    <row r="1766" spans="1:1" x14ac:dyDescent="0.25">
      <c r="A1766" t="s">
        <v>3940</v>
      </c>
    </row>
    <row r="1767" spans="1:1" x14ac:dyDescent="0.25">
      <c r="A1767" t="s">
        <v>3941</v>
      </c>
    </row>
    <row r="1768" spans="1:1" x14ac:dyDescent="0.25">
      <c r="A1768" t="s">
        <v>3942</v>
      </c>
    </row>
    <row r="1769" spans="1:1" x14ac:dyDescent="0.25">
      <c r="A1769" t="s">
        <v>3943</v>
      </c>
    </row>
    <row r="1770" spans="1:1" x14ac:dyDescent="0.25">
      <c r="A1770" t="s">
        <v>3944</v>
      </c>
    </row>
    <row r="1771" spans="1:1" x14ac:dyDescent="0.25">
      <c r="A1771" t="s">
        <v>3945</v>
      </c>
    </row>
    <row r="1772" spans="1:1" x14ac:dyDescent="0.25">
      <c r="A1772" t="s">
        <v>3946</v>
      </c>
    </row>
    <row r="1773" spans="1:1" x14ac:dyDescent="0.25">
      <c r="A1773" t="s">
        <v>3947</v>
      </c>
    </row>
    <row r="1774" spans="1:1" x14ac:dyDescent="0.25">
      <c r="A1774" t="s">
        <v>3948</v>
      </c>
    </row>
    <row r="1775" spans="1:1" x14ac:dyDescent="0.25">
      <c r="A1775" t="s">
        <v>3949</v>
      </c>
    </row>
    <row r="1776" spans="1:1" x14ac:dyDescent="0.25">
      <c r="A1776" t="s">
        <v>3950</v>
      </c>
    </row>
    <row r="1777" spans="1:1" x14ac:dyDescent="0.25">
      <c r="A1777" t="s">
        <v>3951</v>
      </c>
    </row>
    <row r="1778" spans="1:1" x14ac:dyDescent="0.25">
      <c r="A1778" t="s">
        <v>3952</v>
      </c>
    </row>
    <row r="1779" spans="1:1" x14ac:dyDescent="0.25">
      <c r="A1779" t="s">
        <v>3953</v>
      </c>
    </row>
    <row r="1780" spans="1:1" x14ac:dyDescent="0.25">
      <c r="A1780" t="s">
        <v>3954</v>
      </c>
    </row>
    <row r="1781" spans="1:1" x14ac:dyDescent="0.25">
      <c r="A1781" t="s">
        <v>3955</v>
      </c>
    </row>
    <row r="1782" spans="1:1" x14ac:dyDescent="0.25">
      <c r="A1782" t="s">
        <v>3956</v>
      </c>
    </row>
    <row r="1783" spans="1:1" x14ac:dyDescent="0.25">
      <c r="A1783" t="s">
        <v>3957</v>
      </c>
    </row>
    <row r="1784" spans="1:1" x14ac:dyDescent="0.25">
      <c r="A1784" t="s">
        <v>3958</v>
      </c>
    </row>
    <row r="1785" spans="1:1" x14ac:dyDescent="0.25">
      <c r="A1785" t="s">
        <v>3959</v>
      </c>
    </row>
    <row r="1786" spans="1:1" x14ac:dyDescent="0.25">
      <c r="A1786" t="s">
        <v>3960</v>
      </c>
    </row>
    <row r="1787" spans="1:1" x14ac:dyDescent="0.25">
      <c r="A1787" t="s">
        <v>3961</v>
      </c>
    </row>
    <row r="1788" spans="1:1" x14ac:dyDescent="0.25">
      <c r="A1788" t="s">
        <v>3962</v>
      </c>
    </row>
    <row r="1789" spans="1:1" x14ac:dyDescent="0.25">
      <c r="A1789" t="s">
        <v>3963</v>
      </c>
    </row>
    <row r="1790" spans="1:1" x14ac:dyDescent="0.25">
      <c r="A1790" t="s">
        <v>3964</v>
      </c>
    </row>
    <row r="1791" spans="1:1" x14ac:dyDescent="0.25">
      <c r="A1791" t="s">
        <v>3965</v>
      </c>
    </row>
    <row r="1792" spans="1:1" x14ac:dyDescent="0.25">
      <c r="A1792" t="s">
        <v>3966</v>
      </c>
    </row>
    <row r="1793" spans="1:1" x14ac:dyDescent="0.25">
      <c r="A1793" t="s">
        <v>3967</v>
      </c>
    </row>
    <row r="1794" spans="1:1" x14ac:dyDescent="0.25">
      <c r="A1794" t="s">
        <v>3968</v>
      </c>
    </row>
    <row r="1795" spans="1:1" x14ac:dyDescent="0.25">
      <c r="A1795" t="s">
        <v>3969</v>
      </c>
    </row>
    <row r="1796" spans="1:1" x14ac:dyDescent="0.25">
      <c r="A1796" t="s">
        <v>3970</v>
      </c>
    </row>
    <row r="1797" spans="1:1" x14ac:dyDescent="0.25">
      <c r="A1797" t="s">
        <v>3971</v>
      </c>
    </row>
    <row r="1798" spans="1:1" x14ac:dyDescent="0.25">
      <c r="A1798" t="s">
        <v>3972</v>
      </c>
    </row>
    <row r="1799" spans="1:1" x14ac:dyDescent="0.25">
      <c r="A1799" t="s">
        <v>3973</v>
      </c>
    </row>
    <row r="1800" spans="1:1" x14ac:dyDescent="0.25">
      <c r="A1800" t="s">
        <v>3974</v>
      </c>
    </row>
    <row r="1801" spans="1:1" x14ac:dyDescent="0.25">
      <c r="A1801" t="s">
        <v>3975</v>
      </c>
    </row>
    <row r="1802" spans="1:1" x14ac:dyDescent="0.25">
      <c r="A1802" t="s">
        <v>3976</v>
      </c>
    </row>
    <row r="1803" spans="1:1" x14ac:dyDescent="0.25">
      <c r="A1803" t="s">
        <v>3977</v>
      </c>
    </row>
    <row r="1804" spans="1:1" x14ac:dyDescent="0.25">
      <c r="A1804" t="s">
        <v>3978</v>
      </c>
    </row>
    <row r="1805" spans="1:1" x14ac:dyDescent="0.25">
      <c r="A1805" t="s">
        <v>3979</v>
      </c>
    </row>
    <row r="1806" spans="1:1" x14ac:dyDescent="0.25">
      <c r="A1806" t="s">
        <v>3980</v>
      </c>
    </row>
    <row r="1807" spans="1:1" x14ac:dyDescent="0.25">
      <c r="A1807" t="s">
        <v>3981</v>
      </c>
    </row>
    <row r="1808" spans="1:1" x14ac:dyDescent="0.25">
      <c r="A1808" t="s">
        <v>3982</v>
      </c>
    </row>
    <row r="1809" spans="1:1" x14ac:dyDescent="0.25">
      <c r="A1809" t="s">
        <v>3983</v>
      </c>
    </row>
    <row r="1810" spans="1:1" x14ac:dyDescent="0.25">
      <c r="A1810" t="s">
        <v>3984</v>
      </c>
    </row>
    <row r="1811" spans="1:1" x14ac:dyDescent="0.25">
      <c r="A1811" t="s">
        <v>3985</v>
      </c>
    </row>
    <row r="1812" spans="1:1" x14ac:dyDescent="0.25">
      <c r="A1812" t="s">
        <v>3986</v>
      </c>
    </row>
    <row r="1813" spans="1:1" x14ac:dyDescent="0.25">
      <c r="A1813" t="s">
        <v>3987</v>
      </c>
    </row>
    <row r="1814" spans="1:1" x14ac:dyDescent="0.25">
      <c r="A1814" t="s">
        <v>3988</v>
      </c>
    </row>
    <row r="1815" spans="1:1" x14ac:dyDescent="0.25">
      <c r="A1815" t="s">
        <v>3989</v>
      </c>
    </row>
    <row r="1816" spans="1:1" x14ac:dyDescent="0.25">
      <c r="A1816" t="s">
        <v>3990</v>
      </c>
    </row>
    <row r="1817" spans="1:1" x14ac:dyDescent="0.25">
      <c r="A1817" t="s">
        <v>3991</v>
      </c>
    </row>
    <row r="1818" spans="1:1" x14ac:dyDescent="0.25">
      <c r="A1818" t="s">
        <v>3992</v>
      </c>
    </row>
    <row r="1819" spans="1:1" x14ac:dyDescent="0.25">
      <c r="A1819" t="s">
        <v>3993</v>
      </c>
    </row>
    <row r="1820" spans="1:1" x14ac:dyDescent="0.25">
      <c r="A1820" t="s">
        <v>3994</v>
      </c>
    </row>
    <row r="1821" spans="1:1" x14ac:dyDescent="0.25">
      <c r="A1821" t="s">
        <v>3995</v>
      </c>
    </row>
    <row r="1822" spans="1:1" x14ac:dyDescent="0.25">
      <c r="A1822" t="s">
        <v>3996</v>
      </c>
    </row>
    <row r="1823" spans="1:1" x14ac:dyDescent="0.25">
      <c r="A1823" t="s">
        <v>3997</v>
      </c>
    </row>
    <row r="1824" spans="1:1" x14ac:dyDescent="0.25">
      <c r="A1824" t="s">
        <v>3998</v>
      </c>
    </row>
    <row r="1825" spans="1:1" x14ac:dyDescent="0.25">
      <c r="A1825" t="s">
        <v>3999</v>
      </c>
    </row>
    <row r="1826" spans="1:1" x14ac:dyDescent="0.25">
      <c r="A1826" t="s">
        <v>4000</v>
      </c>
    </row>
    <row r="1827" spans="1:1" x14ac:dyDescent="0.25">
      <c r="A1827" t="s">
        <v>4001</v>
      </c>
    </row>
    <row r="1828" spans="1:1" x14ac:dyDescent="0.25">
      <c r="A1828" t="s">
        <v>4002</v>
      </c>
    </row>
    <row r="1829" spans="1:1" x14ac:dyDescent="0.25">
      <c r="A1829" t="s">
        <v>4003</v>
      </c>
    </row>
    <row r="1830" spans="1:1" x14ac:dyDescent="0.25">
      <c r="A1830" t="s">
        <v>4004</v>
      </c>
    </row>
    <row r="1831" spans="1:1" x14ac:dyDescent="0.25">
      <c r="A1831" t="s">
        <v>4005</v>
      </c>
    </row>
    <row r="1832" spans="1:1" x14ac:dyDescent="0.25">
      <c r="A1832" t="s">
        <v>4006</v>
      </c>
    </row>
    <row r="1833" spans="1:1" x14ac:dyDescent="0.25">
      <c r="A1833" t="s">
        <v>4007</v>
      </c>
    </row>
    <row r="1834" spans="1:1" x14ac:dyDescent="0.25">
      <c r="A1834" t="s">
        <v>4008</v>
      </c>
    </row>
    <row r="1835" spans="1:1" x14ac:dyDescent="0.25">
      <c r="A1835" t="s">
        <v>4009</v>
      </c>
    </row>
    <row r="1836" spans="1:1" x14ac:dyDescent="0.25">
      <c r="A1836" t="s">
        <v>4010</v>
      </c>
    </row>
    <row r="1837" spans="1:1" x14ac:dyDescent="0.25">
      <c r="A1837" t="s">
        <v>4011</v>
      </c>
    </row>
    <row r="1838" spans="1:1" x14ac:dyDescent="0.25">
      <c r="A1838" t="s">
        <v>4012</v>
      </c>
    </row>
    <row r="1839" spans="1:1" x14ac:dyDescent="0.25">
      <c r="A1839" t="s">
        <v>4013</v>
      </c>
    </row>
    <row r="1840" spans="1:1" x14ac:dyDescent="0.25">
      <c r="A1840" t="s">
        <v>4014</v>
      </c>
    </row>
    <row r="1841" spans="1:1" x14ac:dyDescent="0.25">
      <c r="A1841" t="s">
        <v>4015</v>
      </c>
    </row>
    <row r="1842" spans="1:1" x14ac:dyDescent="0.25">
      <c r="A1842" t="s">
        <v>4016</v>
      </c>
    </row>
    <row r="1843" spans="1:1" x14ac:dyDescent="0.25">
      <c r="A1843" t="s">
        <v>4017</v>
      </c>
    </row>
    <row r="1844" spans="1:1" x14ac:dyDescent="0.25">
      <c r="A1844" t="s">
        <v>4018</v>
      </c>
    </row>
    <row r="1845" spans="1:1" x14ac:dyDescent="0.25">
      <c r="A1845" t="s">
        <v>4019</v>
      </c>
    </row>
    <row r="1846" spans="1:1" x14ac:dyDescent="0.25">
      <c r="A1846" t="s">
        <v>4020</v>
      </c>
    </row>
    <row r="1847" spans="1:1" x14ac:dyDescent="0.25">
      <c r="A1847" t="s">
        <v>4021</v>
      </c>
    </row>
    <row r="1848" spans="1:1" x14ac:dyDescent="0.25">
      <c r="A1848" t="s">
        <v>4022</v>
      </c>
    </row>
    <row r="1849" spans="1:1" x14ac:dyDescent="0.25">
      <c r="A1849" t="s">
        <v>4023</v>
      </c>
    </row>
    <row r="1850" spans="1:1" x14ac:dyDescent="0.25">
      <c r="A1850" t="s">
        <v>4024</v>
      </c>
    </row>
    <row r="1851" spans="1:1" x14ac:dyDescent="0.25">
      <c r="A1851" t="s">
        <v>4025</v>
      </c>
    </row>
    <row r="1852" spans="1:1" x14ac:dyDescent="0.25">
      <c r="A1852" t="s">
        <v>4026</v>
      </c>
    </row>
    <row r="1853" spans="1:1" x14ac:dyDescent="0.25">
      <c r="A1853" t="s">
        <v>4027</v>
      </c>
    </row>
    <row r="1854" spans="1:1" x14ac:dyDescent="0.25">
      <c r="A1854" t="s">
        <v>4028</v>
      </c>
    </row>
    <row r="1855" spans="1:1" x14ac:dyDescent="0.25">
      <c r="A1855" t="s">
        <v>4029</v>
      </c>
    </row>
    <row r="1856" spans="1:1" x14ac:dyDescent="0.25">
      <c r="A1856" t="s">
        <v>4030</v>
      </c>
    </row>
    <row r="1857" spans="1:1" x14ac:dyDescent="0.25">
      <c r="A1857" t="s">
        <v>4031</v>
      </c>
    </row>
    <row r="1858" spans="1:1" x14ac:dyDescent="0.25">
      <c r="A1858" t="s">
        <v>4032</v>
      </c>
    </row>
    <row r="1859" spans="1:1" x14ac:dyDescent="0.25">
      <c r="A1859" t="s">
        <v>4033</v>
      </c>
    </row>
    <row r="1860" spans="1:1" x14ac:dyDescent="0.25">
      <c r="A1860" t="s">
        <v>4034</v>
      </c>
    </row>
    <row r="1861" spans="1:1" x14ac:dyDescent="0.25">
      <c r="A1861" t="s">
        <v>4035</v>
      </c>
    </row>
    <row r="1862" spans="1:1" x14ac:dyDescent="0.25">
      <c r="A1862" t="s">
        <v>4036</v>
      </c>
    </row>
    <row r="1863" spans="1:1" x14ac:dyDescent="0.25">
      <c r="A1863" t="s">
        <v>4037</v>
      </c>
    </row>
    <row r="1864" spans="1:1" x14ac:dyDescent="0.25">
      <c r="A1864" t="s">
        <v>4038</v>
      </c>
    </row>
    <row r="1865" spans="1:1" x14ac:dyDescent="0.25">
      <c r="A1865" t="s">
        <v>4039</v>
      </c>
    </row>
    <row r="1866" spans="1:1" x14ac:dyDescent="0.25">
      <c r="A1866" t="s">
        <v>4040</v>
      </c>
    </row>
    <row r="1867" spans="1:1" x14ac:dyDescent="0.25">
      <c r="A1867" t="s">
        <v>4041</v>
      </c>
    </row>
    <row r="1868" spans="1:1" x14ac:dyDescent="0.25">
      <c r="A1868" t="s">
        <v>4042</v>
      </c>
    </row>
    <row r="1869" spans="1:1" x14ac:dyDescent="0.25">
      <c r="A1869" t="s">
        <v>4043</v>
      </c>
    </row>
    <row r="1870" spans="1:1" x14ac:dyDescent="0.25">
      <c r="A1870" t="s">
        <v>4044</v>
      </c>
    </row>
    <row r="1871" spans="1:1" x14ac:dyDescent="0.25">
      <c r="A1871" t="s">
        <v>4045</v>
      </c>
    </row>
    <row r="1872" spans="1:1" x14ac:dyDescent="0.25">
      <c r="A1872" t="s">
        <v>4046</v>
      </c>
    </row>
    <row r="1873" spans="1:1" x14ac:dyDescent="0.25">
      <c r="A1873" t="s">
        <v>4047</v>
      </c>
    </row>
    <row r="1874" spans="1:1" x14ac:dyDescent="0.25">
      <c r="A1874" t="s">
        <v>4048</v>
      </c>
    </row>
    <row r="1875" spans="1:1" x14ac:dyDescent="0.25">
      <c r="A1875" t="s">
        <v>4049</v>
      </c>
    </row>
    <row r="1876" spans="1:1" x14ac:dyDescent="0.25">
      <c r="A1876" t="s">
        <v>4050</v>
      </c>
    </row>
    <row r="1877" spans="1:1" x14ac:dyDescent="0.25">
      <c r="A1877" t="s">
        <v>4051</v>
      </c>
    </row>
    <row r="1878" spans="1:1" x14ac:dyDescent="0.25">
      <c r="A1878" t="s">
        <v>4052</v>
      </c>
    </row>
    <row r="1879" spans="1:1" x14ac:dyDescent="0.25">
      <c r="A1879" t="s">
        <v>4053</v>
      </c>
    </row>
    <row r="1880" spans="1:1" x14ac:dyDescent="0.25">
      <c r="A1880" t="s">
        <v>4054</v>
      </c>
    </row>
    <row r="1881" spans="1:1" x14ac:dyDescent="0.25">
      <c r="A1881" t="s">
        <v>4055</v>
      </c>
    </row>
    <row r="1882" spans="1:1" x14ac:dyDescent="0.25">
      <c r="A1882" t="s">
        <v>4056</v>
      </c>
    </row>
    <row r="1883" spans="1:1" x14ac:dyDescent="0.25">
      <c r="A1883" t="s">
        <v>4057</v>
      </c>
    </row>
    <row r="1884" spans="1:1" x14ac:dyDescent="0.25">
      <c r="A1884" t="s">
        <v>4058</v>
      </c>
    </row>
    <row r="1885" spans="1:1" x14ac:dyDescent="0.25">
      <c r="A1885" t="s">
        <v>4059</v>
      </c>
    </row>
    <row r="1886" spans="1:1" x14ac:dyDescent="0.25">
      <c r="A1886" t="s">
        <v>4060</v>
      </c>
    </row>
    <row r="1887" spans="1:1" x14ac:dyDescent="0.25">
      <c r="A1887" t="s">
        <v>4061</v>
      </c>
    </row>
    <row r="1888" spans="1:1" x14ac:dyDescent="0.25">
      <c r="A1888" t="s">
        <v>4062</v>
      </c>
    </row>
    <row r="1889" spans="1:1" x14ac:dyDescent="0.25">
      <c r="A1889" t="s">
        <v>4063</v>
      </c>
    </row>
    <row r="1890" spans="1:1" x14ac:dyDescent="0.25">
      <c r="A1890" t="s">
        <v>4064</v>
      </c>
    </row>
    <row r="1891" spans="1:1" x14ac:dyDescent="0.25">
      <c r="A1891" t="s">
        <v>4065</v>
      </c>
    </row>
    <row r="1892" spans="1:1" x14ac:dyDescent="0.25">
      <c r="A1892" t="s">
        <v>4066</v>
      </c>
    </row>
    <row r="1893" spans="1:1" x14ac:dyDescent="0.25">
      <c r="A1893" t="s">
        <v>4067</v>
      </c>
    </row>
    <row r="1894" spans="1:1" x14ac:dyDescent="0.25">
      <c r="A1894" t="s">
        <v>4068</v>
      </c>
    </row>
    <row r="1895" spans="1:1" x14ac:dyDescent="0.25">
      <c r="A1895" t="s">
        <v>4069</v>
      </c>
    </row>
    <row r="1896" spans="1:1" x14ac:dyDescent="0.25">
      <c r="A1896" t="s">
        <v>4070</v>
      </c>
    </row>
    <row r="1897" spans="1:1" x14ac:dyDescent="0.25">
      <c r="A1897" t="s">
        <v>4071</v>
      </c>
    </row>
    <row r="1898" spans="1:1" x14ac:dyDescent="0.25">
      <c r="A1898" t="s">
        <v>4072</v>
      </c>
    </row>
    <row r="1899" spans="1:1" x14ac:dyDescent="0.25">
      <c r="A1899" t="s">
        <v>4073</v>
      </c>
    </row>
    <row r="1900" spans="1:1" x14ac:dyDescent="0.25">
      <c r="A1900" t="s">
        <v>4074</v>
      </c>
    </row>
    <row r="1901" spans="1:1" x14ac:dyDescent="0.25">
      <c r="A1901" t="s">
        <v>4075</v>
      </c>
    </row>
    <row r="1902" spans="1:1" x14ac:dyDescent="0.25">
      <c r="A1902" t="s">
        <v>4076</v>
      </c>
    </row>
    <row r="1903" spans="1:1" x14ac:dyDescent="0.25">
      <c r="A1903" t="s">
        <v>4077</v>
      </c>
    </row>
    <row r="1904" spans="1:1" x14ac:dyDescent="0.25">
      <c r="A1904" t="s">
        <v>4078</v>
      </c>
    </row>
    <row r="1905" spans="1:1" x14ac:dyDescent="0.25">
      <c r="A1905" t="s">
        <v>4079</v>
      </c>
    </row>
    <row r="1906" spans="1:1" x14ac:dyDescent="0.25">
      <c r="A1906" t="s">
        <v>4080</v>
      </c>
    </row>
    <row r="1907" spans="1:1" x14ac:dyDescent="0.25">
      <c r="A1907" t="s">
        <v>4081</v>
      </c>
    </row>
    <row r="1908" spans="1:1" x14ac:dyDescent="0.25">
      <c r="A1908" t="s">
        <v>4082</v>
      </c>
    </row>
    <row r="1909" spans="1:1" x14ac:dyDescent="0.25">
      <c r="A1909" t="s">
        <v>4083</v>
      </c>
    </row>
    <row r="1910" spans="1:1" x14ac:dyDescent="0.25">
      <c r="A1910" t="s">
        <v>4084</v>
      </c>
    </row>
    <row r="1911" spans="1:1" x14ac:dyDescent="0.25">
      <c r="A1911" t="s">
        <v>4085</v>
      </c>
    </row>
    <row r="1912" spans="1:1" x14ac:dyDescent="0.25">
      <c r="A1912" t="s">
        <v>4086</v>
      </c>
    </row>
    <row r="1913" spans="1:1" x14ac:dyDescent="0.25">
      <c r="A1913" t="s">
        <v>4087</v>
      </c>
    </row>
    <row r="1914" spans="1:1" x14ac:dyDescent="0.25">
      <c r="A1914" t="s">
        <v>4088</v>
      </c>
    </row>
    <row r="1915" spans="1:1" x14ac:dyDescent="0.25">
      <c r="A1915" t="s">
        <v>4089</v>
      </c>
    </row>
    <row r="1916" spans="1:1" x14ac:dyDescent="0.25">
      <c r="A1916" t="s">
        <v>4090</v>
      </c>
    </row>
    <row r="1917" spans="1:1" x14ac:dyDescent="0.25">
      <c r="A1917" t="s">
        <v>4091</v>
      </c>
    </row>
    <row r="1918" spans="1:1" x14ac:dyDescent="0.25">
      <c r="A1918" t="s">
        <v>4092</v>
      </c>
    </row>
    <row r="1919" spans="1:1" x14ac:dyDescent="0.25">
      <c r="A1919" t="s">
        <v>4093</v>
      </c>
    </row>
    <row r="1920" spans="1:1" x14ac:dyDescent="0.25">
      <c r="A1920" t="s">
        <v>4094</v>
      </c>
    </row>
    <row r="1921" spans="1:1" x14ac:dyDescent="0.25">
      <c r="A1921" t="s">
        <v>4095</v>
      </c>
    </row>
    <row r="1922" spans="1:1" x14ac:dyDescent="0.25">
      <c r="A1922" t="s">
        <v>4096</v>
      </c>
    </row>
    <row r="1923" spans="1:1" x14ac:dyDescent="0.25">
      <c r="A1923" t="s">
        <v>4097</v>
      </c>
    </row>
    <row r="1924" spans="1:1" x14ac:dyDescent="0.25">
      <c r="A1924" t="s">
        <v>4098</v>
      </c>
    </row>
    <row r="1925" spans="1:1" x14ac:dyDescent="0.25">
      <c r="A1925" t="s">
        <v>4099</v>
      </c>
    </row>
    <row r="1926" spans="1:1" x14ac:dyDescent="0.25">
      <c r="A1926" t="s">
        <v>4100</v>
      </c>
    </row>
    <row r="1927" spans="1:1" x14ac:dyDescent="0.25">
      <c r="A1927" t="s">
        <v>4101</v>
      </c>
    </row>
    <row r="1928" spans="1:1" x14ac:dyDescent="0.25">
      <c r="A1928" t="s">
        <v>4102</v>
      </c>
    </row>
    <row r="1929" spans="1:1" x14ac:dyDescent="0.25">
      <c r="A1929" t="s">
        <v>4103</v>
      </c>
    </row>
    <row r="1930" spans="1:1" x14ac:dyDescent="0.25">
      <c r="A1930" t="s">
        <v>4104</v>
      </c>
    </row>
    <row r="1931" spans="1:1" x14ac:dyDescent="0.25">
      <c r="A1931" t="s">
        <v>4105</v>
      </c>
    </row>
    <row r="1932" spans="1:1" x14ac:dyDescent="0.25">
      <c r="A1932" t="s">
        <v>4106</v>
      </c>
    </row>
    <row r="1933" spans="1:1" x14ac:dyDescent="0.25">
      <c r="A1933" t="s">
        <v>4107</v>
      </c>
    </row>
    <row r="1934" spans="1:1" x14ac:dyDescent="0.25">
      <c r="A1934" t="s">
        <v>4108</v>
      </c>
    </row>
    <row r="1935" spans="1:1" x14ac:dyDescent="0.25">
      <c r="A1935" t="s">
        <v>4109</v>
      </c>
    </row>
    <row r="1936" spans="1:1" x14ac:dyDescent="0.25">
      <c r="A1936" t="s">
        <v>4110</v>
      </c>
    </row>
    <row r="1937" spans="1:1" x14ac:dyDescent="0.25">
      <c r="A1937" t="s">
        <v>4111</v>
      </c>
    </row>
    <row r="1938" spans="1:1" x14ac:dyDescent="0.25">
      <c r="A1938" t="s">
        <v>4112</v>
      </c>
    </row>
    <row r="1939" spans="1:1" x14ac:dyDescent="0.25">
      <c r="A1939" t="s">
        <v>4113</v>
      </c>
    </row>
    <row r="1940" spans="1:1" x14ac:dyDescent="0.25">
      <c r="A1940" t="s">
        <v>4114</v>
      </c>
    </row>
    <row r="1941" spans="1:1" x14ac:dyDescent="0.25">
      <c r="A1941" t="s">
        <v>4115</v>
      </c>
    </row>
    <row r="1942" spans="1:1" x14ac:dyDescent="0.25">
      <c r="A1942" t="s">
        <v>4116</v>
      </c>
    </row>
    <row r="1943" spans="1:1" x14ac:dyDescent="0.25">
      <c r="A1943" t="s">
        <v>4117</v>
      </c>
    </row>
    <row r="1944" spans="1:1" x14ac:dyDescent="0.25">
      <c r="A1944" t="s">
        <v>4118</v>
      </c>
    </row>
    <row r="1945" spans="1:1" x14ac:dyDescent="0.25">
      <c r="A1945" t="s">
        <v>4119</v>
      </c>
    </row>
    <row r="1946" spans="1:1" x14ac:dyDescent="0.25">
      <c r="A1946" t="s">
        <v>4120</v>
      </c>
    </row>
    <row r="1947" spans="1:1" x14ac:dyDescent="0.25">
      <c r="A1947" t="s">
        <v>4121</v>
      </c>
    </row>
    <row r="1948" spans="1:1" x14ac:dyDescent="0.25">
      <c r="A1948" t="s">
        <v>4122</v>
      </c>
    </row>
    <row r="1949" spans="1:1" x14ac:dyDescent="0.25">
      <c r="A1949" t="s">
        <v>4123</v>
      </c>
    </row>
    <row r="1950" spans="1:1" x14ac:dyDescent="0.25">
      <c r="A1950" t="s">
        <v>4124</v>
      </c>
    </row>
    <row r="1951" spans="1:1" x14ac:dyDescent="0.25">
      <c r="A1951" t="s">
        <v>4125</v>
      </c>
    </row>
    <row r="1952" spans="1:1" x14ac:dyDescent="0.25">
      <c r="A1952" t="s">
        <v>4126</v>
      </c>
    </row>
    <row r="1953" spans="1:1" x14ac:dyDescent="0.25">
      <c r="A1953" t="s">
        <v>4127</v>
      </c>
    </row>
    <row r="1954" spans="1:1" x14ac:dyDescent="0.25">
      <c r="A1954" t="s">
        <v>4128</v>
      </c>
    </row>
    <row r="1955" spans="1:1" x14ac:dyDescent="0.25">
      <c r="A1955" t="s">
        <v>4129</v>
      </c>
    </row>
    <row r="1956" spans="1:1" x14ac:dyDescent="0.25">
      <c r="A1956" t="s">
        <v>4130</v>
      </c>
    </row>
    <row r="1957" spans="1:1" x14ac:dyDescent="0.25">
      <c r="A1957" t="s">
        <v>4131</v>
      </c>
    </row>
    <row r="1958" spans="1:1" x14ac:dyDescent="0.25">
      <c r="A1958" t="s">
        <v>4132</v>
      </c>
    </row>
    <row r="1959" spans="1:1" x14ac:dyDescent="0.25">
      <c r="A1959" t="s">
        <v>4133</v>
      </c>
    </row>
    <row r="1960" spans="1:1" x14ac:dyDescent="0.25">
      <c r="A1960" t="s">
        <v>4134</v>
      </c>
    </row>
    <row r="1961" spans="1:1" x14ac:dyDescent="0.25">
      <c r="A1961" t="s">
        <v>4135</v>
      </c>
    </row>
    <row r="1962" spans="1:1" x14ac:dyDescent="0.25">
      <c r="A1962" t="s">
        <v>4136</v>
      </c>
    </row>
    <row r="1963" spans="1:1" x14ac:dyDescent="0.25">
      <c r="A1963" t="s">
        <v>4137</v>
      </c>
    </row>
    <row r="1964" spans="1:1" x14ac:dyDescent="0.25">
      <c r="A1964" t="s">
        <v>4138</v>
      </c>
    </row>
    <row r="1965" spans="1:1" x14ac:dyDescent="0.25">
      <c r="A1965" t="s">
        <v>4139</v>
      </c>
    </row>
    <row r="1966" spans="1:1" x14ac:dyDescent="0.25">
      <c r="A1966" t="s">
        <v>4140</v>
      </c>
    </row>
    <row r="1967" spans="1:1" x14ac:dyDescent="0.25">
      <c r="A1967" t="s">
        <v>4141</v>
      </c>
    </row>
    <row r="1968" spans="1:1" x14ac:dyDescent="0.25">
      <c r="A1968" t="s">
        <v>4142</v>
      </c>
    </row>
    <row r="1969" spans="1:1" x14ac:dyDescent="0.25">
      <c r="A1969" t="s">
        <v>4143</v>
      </c>
    </row>
    <row r="1970" spans="1:1" x14ac:dyDescent="0.25">
      <c r="A1970" t="s">
        <v>4144</v>
      </c>
    </row>
    <row r="1971" spans="1:1" x14ac:dyDescent="0.25">
      <c r="A1971" t="s">
        <v>4145</v>
      </c>
    </row>
    <row r="1972" spans="1:1" x14ac:dyDescent="0.25">
      <c r="A1972" t="s">
        <v>4146</v>
      </c>
    </row>
    <row r="1973" spans="1:1" x14ac:dyDescent="0.25">
      <c r="A1973" t="s">
        <v>4147</v>
      </c>
    </row>
    <row r="1974" spans="1:1" x14ac:dyDescent="0.25">
      <c r="A1974" t="s">
        <v>4148</v>
      </c>
    </row>
    <row r="1975" spans="1:1" x14ac:dyDescent="0.25">
      <c r="A1975" t="s">
        <v>4149</v>
      </c>
    </row>
    <row r="1976" spans="1:1" x14ac:dyDescent="0.25">
      <c r="A1976" t="s">
        <v>4150</v>
      </c>
    </row>
    <row r="1977" spans="1:1" x14ac:dyDescent="0.25">
      <c r="A1977" t="s">
        <v>4151</v>
      </c>
    </row>
    <row r="1978" spans="1:1" x14ac:dyDescent="0.25">
      <c r="A1978" t="s">
        <v>4152</v>
      </c>
    </row>
    <row r="1979" spans="1:1" x14ac:dyDescent="0.25">
      <c r="A1979" t="s">
        <v>4153</v>
      </c>
    </row>
    <row r="1980" spans="1:1" x14ac:dyDescent="0.25">
      <c r="A1980" t="s">
        <v>4154</v>
      </c>
    </row>
    <row r="1981" spans="1:1" x14ac:dyDescent="0.25">
      <c r="A1981" t="s">
        <v>4155</v>
      </c>
    </row>
    <row r="1982" spans="1:1" x14ac:dyDescent="0.25">
      <c r="A1982" t="s">
        <v>4156</v>
      </c>
    </row>
    <row r="1983" spans="1:1" x14ac:dyDescent="0.25">
      <c r="A1983" t="s">
        <v>4157</v>
      </c>
    </row>
    <row r="1984" spans="1:1" x14ac:dyDescent="0.25">
      <c r="A1984" t="s">
        <v>4158</v>
      </c>
    </row>
    <row r="1985" spans="1:1" x14ac:dyDescent="0.25">
      <c r="A1985" t="s">
        <v>4159</v>
      </c>
    </row>
    <row r="1986" spans="1:1" x14ac:dyDescent="0.25">
      <c r="A1986" t="s">
        <v>4160</v>
      </c>
    </row>
    <row r="1987" spans="1:1" x14ac:dyDescent="0.25">
      <c r="A1987" t="s">
        <v>4161</v>
      </c>
    </row>
    <row r="1988" spans="1:1" x14ac:dyDescent="0.25">
      <c r="A1988" t="s">
        <v>4162</v>
      </c>
    </row>
    <row r="1989" spans="1:1" x14ac:dyDescent="0.25">
      <c r="A1989" t="s">
        <v>4163</v>
      </c>
    </row>
    <row r="1990" spans="1:1" x14ac:dyDescent="0.25">
      <c r="A1990" t="s">
        <v>4164</v>
      </c>
    </row>
    <row r="1991" spans="1:1" x14ac:dyDescent="0.25">
      <c r="A1991" t="s">
        <v>4165</v>
      </c>
    </row>
    <row r="1992" spans="1:1" x14ac:dyDescent="0.25">
      <c r="A1992" t="s">
        <v>4166</v>
      </c>
    </row>
    <row r="1993" spans="1:1" x14ac:dyDescent="0.25">
      <c r="A1993" t="s">
        <v>4167</v>
      </c>
    </row>
    <row r="1994" spans="1:1" x14ac:dyDescent="0.25">
      <c r="A1994" t="s">
        <v>4168</v>
      </c>
    </row>
    <row r="1995" spans="1:1" x14ac:dyDescent="0.25">
      <c r="A1995" t="s">
        <v>4169</v>
      </c>
    </row>
    <row r="1996" spans="1:1" x14ac:dyDescent="0.25">
      <c r="A1996" t="s">
        <v>4170</v>
      </c>
    </row>
    <row r="1997" spans="1:1" x14ac:dyDescent="0.25">
      <c r="A1997" t="s">
        <v>4171</v>
      </c>
    </row>
    <row r="1998" spans="1:1" x14ac:dyDescent="0.25">
      <c r="A1998" t="s">
        <v>4172</v>
      </c>
    </row>
    <row r="1999" spans="1:1" x14ac:dyDescent="0.25">
      <c r="A1999" t="s">
        <v>4173</v>
      </c>
    </row>
    <row r="2000" spans="1:1" x14ac:dyDescent="0.25">
      <c r="A2000" t="s">
        <v>4174</v>
      </c>
    </row>
    <row r="2001" spans="1:1" x14ac:dyDescent="0.25">
      <c r="A2001" t="s">
        <v>4175</v>
      </c>
    </row>
    <row r="2002" spans="1:1" x14ac:dyDescent="0.25">
      <c r="A2002" t="s">
        <v>4176</v>
      </c>
    </row>
    <row r="2003" spans="1:1" x14ac:dyDescent="0.25">
      <c r="A2003" t="s">
        <v>4177</v>
      </c>
    </row>
    <row r="2004" spans="1:1" x14ac:dyDescent="0.25">
      <c r="A2004" t="s">
        <v>4178</v>
      </c>
    </row>
    <row r="2005" spans="1:1" x14ac:dyDescent="0.25">
      <c r="A2005" t="s">
        <v>4179</v>
      </c>
    </row>
    <row r="2006" spans="1:1" x14ac:dyDescent="0.25">
      <c r="A2006" t="s">
        <v>4180</v>
      </c>
    </row>
    <row r="2007" spans="1:1" x14ac:dyDescent="0.25">
      <c r="A2007" t="s">
        <v>4181</v>
      </c>
    </row>
    <row r="2008" spans="1:1" x14ac:dyDescent="0.25">
      <c r="A2008" t="s">
        <v>4182</v>
      </c>
    </row>
    <row r="2009" spans="1:1" x14ac:dyDescent="0.25">
      <c r="A2009" t="s">
        <v>4183</v>
      </c>
    </row>
    <row r="2010" spans="1:1" x14ac:dyDescent="0.25">
      <c r="A2010" t="s">
        <v>4184</v>
      </c>
    </row>
    <row r="2011" spans="1:1" x14ac:dyDescent="0.25">
      <c r="A2011" t="s">
        <v>4185</v>
      </c>
    </row>
    <row r="2012" spans="1:1" x14ac:dyDescent="0.25">
      <c r="A2012" t="s">
        <v>4186</v>
      </c>
    </row>
    <row r="2013" spans="1:1" x14ac:dyDescent="0.25">
      <c r="A2013" t="s">
        <v>4187</v>
      </c>
    </row>
    <row r="2014" spans="1:1" x14ac:dyDescent="0.25">
      <c r="A2014" t="s">
        <v>4188</v>
      </c>
    </row>
    <row r="2015" spans="1:1" x14ac:dyDescent="0.25">
      <c r="A2015" t="s">
        <v>4189</v>
      </c>
    </row>
    <row r="2016" spans="1:1" x14ac:dyDescent="0.25">
      <c r="A2016" t="s">
        <v>4190</v>
      </c>
    </row>
    <row r="2017" spans="1:1" x14ac:dyDescent="0.25">
      <c r="A2017" t="s">
        <v>4191</v>
      </c>
    </row>
    <row r="2018" spans="1:1" x14ac:dyDescent="0.25">
      <c r="A2018" t="s">
        <v>4192</v>
      </c>
    </row>
    <row r="2019" spans="1:1" x14ac:dyDescent="0.25">
      <c r="A2019" t="s">
        <v>4193</v>
      </c>
    </row>
    <row r="2020" spans="1:1" x14ac:dyDescent="0.25">
      <c r="A2020" t="s">
        <v>4194</v>
      </c>
    </row>
    <row r="2021" spans="1:1" x14ac:dyDescent="0.25">
      <c r="A2021" t="s">
        <v>4195</v>
      </c>
    </row>
    <row r="2022" spans="1:1" x14ac:dyDescent="0.25">
      <c r="A2022" t="s">
        <v>4196</v>
      </c>
    </row>
    <row r="2023" spans="1:1" x14ac:dyDescent="0.25">
      <c r="A2023" t="s">
        <v>4197</v>
      </c>
    </row>
    <row r="2024" spans="1:1" x14ac:dyDescent="0.25">
      <c r="A2024" t="s">
        <v>4198</v>
      </c>
    </row>
    <row r="2025" spans="1:1" x14ac:dyDescent="0.25">
      <c r="A2025" t="s">
        <v>4199</v>
      </c>
    </row>
    <row r="2026" spans="1:1" x14ac:dyDescent="0.25">
      <c r="A2026" t="s">
        <v>4200</v>
      </c>
    </row>
    <row r="2027" spans="1:1" x14ac:dyDescent="0.25">
      <c r="A2027" t="s">
        <v>4201</v>
      </c>
    </row>
    <row r="2028" spans="1:1" x14ac:dyDescent="0.25">
      <c r="A2028" t="s">
        <v>4202</v>
      </c>
    </row>
    <row r="2029" spans="1:1" x14ac:dyDescent="0.25">
      <c r="A2029" t="s">
        <v>4203</v>
      </c>
    </row>
    <row r="2030" spans="1:1" x14ac:dyDescent="0.25">
      <c r="A2030" t="s">
        <v>4204</v>
      </c>
    </row>
    <row r="2031" spans="1:1" x14ac:dyDescent="0.25">
      <c r="A2031" t="s">
        <v>4205</v>
      </c>
    </row>
    <row r="2032" spans="1:1" x14ac:dyDescent="0.25">
      <c r="A2032" t="s">
        <v>4206</v>
      </c>
    </row>
    <row r="2033" spans="1:1" x14ac:dyDescent="0.25">
      <c r="A2033" t="s">
        <v>4207</v>
      </c>
    </row>
    <row r="2034" spans="1:1" x14ac:dyDescent="0.25">
      <c r="A2034" t="s">
        <v>4208</v>
      </c>
    </row>
    <row r="2035" spans="1:1" x14ac:dyDescent="0.25">
      <c r="A2035" t="s">
        <v>4209</v>
      </c>
    </row>
    <row r="2036" spans="1:1" x14ac:dyDescent="0.25">
      <c r="A2036" t="s">
        <v>4210</v>
      </c>
    </row>
    <row r="2037" spans="1:1" x14ac:dyDescent="0.25">
      <c r="A2037" t="s">
        <v>4211</v>
      </c>
    </row>
    <row r="2038" spans="1:1" x14ac:dyDescent="0.25">
      <c r="A2038" t="s">
        <v>4212</v>
      </c>
    </row>
    <row r="2039" spans="1:1" x14ac:dyDescent="0.25">
      <c r="A2039" t="s">
        <v>4213</v>
      </c>
    </row>
    <row r="2040" spans="1:1" x14ac:dyDescent="0.25">
      <c r="A2040" t="s">
        <v>4214</v>
      </c>
    </row>
    <row r="2041" spans="1:1" x14ac:dyDescent="0.25">
      <c r="A2041" t="s">
        <v>4215</v>
      </c>
    </row>
    <row r="2042" spans="1:1" x14ac:dyDescent="0.25">
      <c r="A2042" t="s">
        <v>4216</v>
      </c>
    </row>
    <row r="2043" spans="1:1" x14ac:dyDescent="0.25">
      <c r="A2043" t="s">
        <v>4217</v>
      </c>
    </row>
    <row r="2044" spans="1:1" x14ac:dyDescent="0.25">
      <c r="A2044" t="s">
        <v>4218</v>
      </c>
    </row>
    <row r="2045" spans="1:1" x14ac:dyDescent="0.25">
      <c r="A2045" t="s">
        <v>4219</v>
      </c>
    </row>
    <row r="2046" spans="1:1" x14ac:dyDescent="0.25">
      <c r="A2046" t="s">
        <v>4220</v>
      </c>
    </row>
    <row r="2047" spans="1:1" x14ac:dyDescent="0.25">
      <c r="A2047" t="s">
        <v>4221</v>
      </c>
    </row>
    <row r="2048" spans="1:1" x14ac:dyDescent="0.25">
      <c r="A2048" t="s">
        <v>4222</v>
      </c>
    </row>
    <row r="2049" spans="1:1" x14ac:dyDescent="0.25">
      <c r="A2049" t="s">
        <v>4223</v>
      </c>
    </row>
    <row r="2050" spans="1:1" x14ac:dyDescent="0.25">
      <c r="A2050" t="s">
        <v>4224</v>
      </c>
    </row>
    <row r="2051" spans="1:1" x14ac:dyDescent="0.25">
      <c r="A2051" t="s">
        <v>4225</v>
      </c>
    </row>
    <row r="2052" spans="1:1" x14ac:dyDescent="0.25">
      <c r="A2052" t="s">
        <v>4226</v>
      </c>
    </row>
    <row r="2053" spans="1:1" x14ac:dyDescent="0.25">
      <c r="A2053" t="s">
        <v>4227</v>
      </c>
    </row>
    <row r="2054" spans="1:1" x14ac:dyDescent="0.25">
      <c r="A2054" t="s">
        <v>4228</v>
      </c>
    </row>
    <row r="2055" spans="1:1" x14ac:dyDescent="0.25">
      <c r="A2055" t="s">
        <v>4229</v>
      </c>
    </row>
    <row r="2056" spans="1:1" x14ac:dyDescent="0.25">
      <c r="A2056" t="s">
        <v>4230</v>
      </c>
    </row>
    <row r="2057" spans="1:1" x14ac:dyDescent="0.25">
      <c r="A2057" t="s">
        <v>4231</v>
      </c>
    </row>
    <row r="2058" spans="1:1" x14ac:dyDescent="0.25">
      <c r="A2058" t="s">
        <v>4232</v>
      </c>
    </row>
    <row r="2059" spans="1:1" x14ac:dyDescent="0.25">
      <c r="A2059" t="s">
        <v>4233</v>
      </c>
    </row>
    <row r="2060" spans="1:1" x14ac:dyDescent="0.25">
      <c r="A2060" t="s">
        <v>4234</v>
      </c>
    </row>
    <row r="2061" spans="1:1" x14ac:dyDescent="0.25">
      <c r="A2061" t="s">
        <v>4235</v>
      </c>
    </row>
    <row r="2062" spans="1:1" x14ac:dyDescent="0.25">
      <c r="A2062" t="s">
        <v>4236</v>
      </c>
    </row>
    <row r="2063" spans="1:1" x14ac:dyDescent="0.25">
      <c r="A2063" t="s">
        <v>4237</v>
      </c>
    </row>
    <row r="2064" spans="1:1" x14ac:dyDescent="0.25">
      <c r="A2064" t="s">
        <v>4238</v>
      </c>
    </row>
    <row r="2065" spans="1:1" x14ac:dyDescent="0.25">
      <c r="A2065" t="s">
        <v>4239</v>
      </c>
    </row>
    <row r="2066" spans="1:1" x14ac:dyDescent="0.25">
      <c r="A2066" t="s">
        <v>4240</v>
      </c>
    </row>
    <row r="2067" spans="1:1" x14ac:dyDescent="0.25">
      <c r="A2067" t="s">
        <v>4241</v>
      </c>
    </row>
    <row r="2068" spans="1:1" x14ac:dyDescent="0.25">
      <c r="A2068" t="s">
        <v>4242</v>
      </c>
    </row>
    <row r="2069" spans="1:1" x14ac:dyDescent="0.25">
      <c r="A2069" t="s">
        <v>4243</v>
      </c>
    </row>
    <row r="2070" spans="1:1" x14ac:dyDescent="0.25">
      <c r="A2070" t="s">
        <v>4244</v>
      </c>
    </row>
    <row r="2071" spans="1:1" x14ac:dyDescent="0.25">
      <c r="A2071" t="s">
        <v>4245</v>
      </c>
    </row>
    <row r="2072" spans="1:1" x14ac:dyDescent="0.25">
      <c r="A2072" t="s">
        <v>4246</v>
      </c>
    </row>
    <row r="2073" spans="1:1" x14ac:dyDescent="0.25">
      <c r="A2073" t="s">
        <v>4247</v>
      </c>
    </row>
    <row r="2074" spans="1:1" x14ac:dyDescent="0.25">
      <c r="A2074" t="s">
        <v>4248</v>
      </c>
    </row>
    <row r="2075" spans="1:1" x14ac:dyDescent="0.25">
      <c r="A2075" t="s">
        <v>4249</v>
      </c>
    </row>
    <row r="2076" spans="1:1" x14ac:dyDescent="0.25">
      <c r="A2076" t="s">
        <v>4250</v>
      </c>
    </row>
    <row r="2077" spans="1:1" x14ac:dyDescent="0.25">
      <c r="A2077" t="s">
        <v>4251</v>
      </c>
    </row>
    <row r="2078" spans="1:1" x14ac:dyDescent="0.25">
      <c r="A2078" t="s">
        <v>4252</v>
      </c>
    </row>
    <row r="2079" spans="1:1" x14ac:dyDescent="0.25">
      <c r="A2079" t="s">
        <v>4253</v>
      </c>
    </row>
    <row r="2080" spans="1:1" x14ac:dyDescent="0.25">
      <c r="A2080" t="s">
        <v>4254</v>
      </c>
    </row>
    <row r="2081" spans="1:1" x14ac:dyDescent="0.25">
      <c r="A2081" t="s">
        <v>4255</v>
      </c>
    </row>
    <row r="2082" spans="1:1" x14ac:dyDescent="0.25">
      <c r="A2082" t="s">
        <v>4256</v>
      </c>
    </row>
    <row r="2083" spans="1:1" x14ac:dyDescent="0.25">
      <c r="A2083" t="s">
        <v>4257</v>
      </c>
    </row>
    <row r="2084" spans="1:1" x14ac:dyDescent="0.25">
      <c r="A2084" t="s">
        <v>4258</v>
      </c>
    </row>
    <row r="2085" spans="1:1" x14ac:dyDescent="0.25">
      <c r="A2085" t="s">
        <v>4259</v>
      </c>
    </row>
    <row r="2086" spans="1:1" x14ac:dyDescent="0.25">
      <c r="A2086" t="s">
        <v>4260</v>
      </c>
    </row>
    <row r="2087" spans="1:1" x14ac:dyDescent="0.25">
      <c r="A2087" t="s">
        <v>4261</v>
      </c>
    </row>
    <row r="2088" spans="1:1" x14ac:dyDescent="0.25">
      <c r="A2088" t="s">
        <v>4262</v>
      </c>
    </row>
    <row r="2089" spans="1:1" x14ac:dyDescent="0.25">
      <c r="A2089" t="s">
        <v>4263</v>
      </c>
    </row>
    <row r="2090" spans="1:1" x14ac:dyDescent="0.25">
      <c r="A2090" t="s">
        <v>4264</v>
      </c>
    </row>
    <row r="2091" spans="1:1" x14ac:dyDescent="0.25">
      <c r="A2091" t="s">
        <v>4265</v>
      </c>
    </row>
    <row r="2092" spans="1:1" x14ac:dyDescent="0.25">
      <c r="A2092" t="s">
        <v>4266</v>
      </c>
    </row>
    <row r="2093" spans="1:1" x14ac:dyDescent="0.25">
      <c r="A2093" t="s">
        <v>4267</v>
      </c>
    </row>
    <row r="2094" spans="1:1" x14ac:dyDescent="0.25">
      <c r="A2094" t="s">
        <v>4268</v>
      </c>
    </row>
    <row r="2095" spans="1:1" x14ac:dyDescent="0.25">
      <c r="A2095" t="s">
        <v>4269</v>
      </c>
    </row>
    <row r="2096" spans="1:1" x14ac:dyDescent="0.25">
      <c r="A2096" t="s">
        <v>4270</v>
      </c>
    </row>
    <row r="2097" spans="1:1" x14ac:dyDescent="0.25">
      <c r="A2097" t="s">
        <v>4271</v>
      </c>
    </row>
    <row r="2098" spans="1:1" x14ac:dyDescent="0.25">
      <c r="A2098" t="s">
        <v>4272</v>
      </c>
    </row>
    <row r="2099" spans="1:1" x14ac:dyDescent="0.25">
      <c r="A2099" t="s">
        <v>4273</v>
      </c>
    </row>
    <row r="2100" spans="1:1" x14ac:dyDescent="0.25">
      <c r="A2100" t="s">
        <v>4274</v>
      </c>
    </row>
    <row r="2101" spans="1:1" x14ac:dyDescent="0.25">
      <c r="A2101" t="s">
        <v>4275</v>
      </c>
    </row>
    <row r="2102" spans="1:1" x14ac:dyDescent="0.25">
      <c r="A2102" t="s">
        <v>4276</v>
      </c>
    </row>
    <row r="2103" spans="1:1" x14ac:dyDescent="0.25">
      <c r="A2103" t="s">
        <v>4277</v>
      </c>
    </row>
    <row r="2104" spans="1:1" x14ac:dyDescent="0.25">
      <c r="A2104" t="s">
        <v>4278</v>
      </c>
    </row>
    <row r="2105" spans="1:1" x14ac:dyDescent="0.25">
      <c r="A2105" t="s">
        <v>4279</v>
      </c>
    </row>
    <row r="2106" spans="1:1" x14ac:dyDescent="0.25">
      <c r="A2106" t="s">
        <v>4280</v>
      </c>
    </row>
    <row r="2107" spans="1:1" x14ac:dyDescent="0.25">
      <c r="A2107" t="s">
        <v>4281</v>
      </c>
    </row>
    <row r="2108" spans="1:1" x14ac:dyDescent="0.25">
      <c r="A2108" t="s">
        <v>4282</v>
      </c>
    </row>
    <row r="2109" spans="1:1" x14ac:dyDescent="0.25">
      <c r="A2109" t="s">
        <v>4283</v>
      </c>
    </row>
    <row r="2110" spans="1:1" x14ac:dyDescent="0.25">
      <c r="A2110" t="s">
        <v>4284</v>
      </c>
    </row>
    <row r="2111" spans="1:1" x14ac:dyDescent="0.25">
      <c r="A2111" t="s">
        <v>4285</v>
      </c>
    </row>
    <row r="2112" spans="1:1" x14ac:dyDescent="0.25">
      <c r="A2112" t="s">
        <v>4286</v>
      </c>
    </row>
    <row r="2113" spans="1:1" x14ac:dyDescent="0.25">
      <c r="A2113" t="s">
        <v>4287</v>
      </c>
    </row>
    <row r="2114" spans="1:1" x14ac:dyDescent="0.25">
      <c r="A2114" t="s">
        <v>4288</v>
      </c>
    </row>
    <row r="2115" spans="1:1" x14ac:dyDescent="0.25">
      <c r="A2115" t="s">
        <v>4289</v>
      </c>
    </row>
    <row r="2116" spans="1:1" x14ac:dyDescent="0.25">
      <c r="A2116" t="s">
        <v>4290</v>
      </c>
    </row>
    <row r="2117" spans="1:1" x14ac:dyDescent="0.25">
      <c r="A2117" t="s">
        <v>4291</v>
      </c>
    </row>
    <row r="2118" spans="1:1" x14ac:dyDescent="0.25">
      <c r="A2118" t="s">
        <v>4292</v>
      </c>
    </row>
    <row r="2119" spans="1:1" x14ac:dyDescent="0.25">
      <c r="A2119" t="s">
        <v>4293</v>
      </c>
    </row>
    <row r="2120" spans="1:1" x14ac:dyDescent="0.25">
      <c r="A2120" t="s">
        <v>4294</v>
      </c>
    </row>
    <row r="2121" spans="1:1" x14ac:dyDescent="0.25">
      <c r="A2121" t="s">
        <v>4295</v>
      </c>
    </row>
    <row r="2122" spans="1:1" x14ac:dyDescent="0.25">
      <c r="A2122" t="s">
        <v>4296</v>
      </c>
    </row>
    <row r="2123" spans="1:1" x14ac:dyDescent="0.25">
      <c r="A2123" t="s">
        <v>4297</v>
      </c>
    </row>
    <row r="2124" spans="1:1" x14ac:dyDescent="0.25">
      <c r="A2124" t="s">
        <v>4298</v>
      </c>
    </row>
    <row r="2125" spans="1:1" x14ac:dyDescent="0.25">
      <c r="A2125" t="s">
        <v>4299</v>
      </c>
    </row>
    <row r="2126" spans="1:1" x14ac:dyDescent="0.25">
      <c r="A2126" t="s">
        <v>4300</v>
      </c>
    </row>
    <row r="2127" spans="1:1" x14ac:dyDescent="0.25">
      <c r="A2127" t="s">
        <v>4301</v>
      </c>
    </row>
    <row r="2128" spans="1:1" x14ac:dyDescent="0.25">
      <c r="A2128" t="s">
        <v>4302</v>
      </c>
    </row>
    <row r="2129" spans="1:1" x14ac:dyDescent="0.25">
      <c r="A2129" t="s">
        <v>4303</v>
      </c>
    </row>
    <row r="2130" spans="1:1" x14ac:dyDescent="0.25">
      <c r="A2130" t="s">
        <v>4304</v>
      </c>
    </row>
    <row r="2131" spans="1:1" x14ac:dyDescent="0.25">
      <c r="A2131" t="s">
        <v>4305</v>
      </c>
    </row>
    <row r="2132" spans="1:1" x14ac:dyDescent="0.25">
      <c r="A2132" t="s">
        <v>4306</v>
      </c>
    </row>
    <row r="2133" spans="1:1" x14ac:dyDescent="0.25">
      <c r="A2133" t="s">
        <v>4307</v>
      </c>
    </row>
    <row r="2134" spans="1:1" x14ac:dyDescent="0.25">
      <c r="A2134" t="s">
        <v>4308</v>
      </c>
    </row>
    <row r="2135" spans="1:1" x14ac:dyDescent="0.25">
      <c r="A2135" t="s">
        <v>4309</v>
      </c>
    </row>
    <row r="2136" spans="1:1" x14ac:dyDescent="0.25">
      <c r="A2136" t="s">
        <v>4310</v>
      </c>
    </row>
    <row r="2137" spans="1:1" x14ac:dyDescent="0.25">
      <c r="A2137" t="s">
        <v>4311</v>
      </c>
    </row>
    <row r="2138" spans="1:1" x14ac:dyDescent="0.25">
      <c r="A2138" t="s">
        <v>4312</v>
      </c>
    </row>
    <row r="2139" spans="1:1" x14ac:dyDescent="0.25">
      <c r="A2139" t="s">
        <v>4313</v>
      </c>
    </row>
    <row r="2140" spans="1:1" x14ac:dyDescent="0.25">
      <c r="A2140" t="s">
        <v>4314</v>
      </c>
    </row>
    <row r="2141" spans="1:1" x14ac:dyDescent="0.25">
      <c r="A2141" t="s">
        <v>4315</v>
      </c>
    </row>
    <row r="2142" spans="1:1" x14ac:dyDescent="0.25">
      <c r="A2142" t="s">
        <v>4316</v>
      </c>
    </row>
    <row r="2143" spans="1:1" x14ac:dyDescent="0.25">
      <c r="A2143" t="s">
        <v>4317</v>
      </c>
    </row>
    <row r="2144" spans="1:1" x14ac:dyDescent="0.25">
      <c r="A2144" t="s">
        <v>4318</v>
      </c>
    </row>
    <row r="2145" spans="1:1" x14ac:dyDescent="0.25">
      <c r="A2145" t="s">
        <v>4319</v>
      </c>
    </row>
    <row r="2146" spans="1:1" x14ac:dyDescent="0.25">
      <c r="A2146" t="s">
        <v>4320</v>
      </c>
    </row>
    <row r="2147" spans="1:1" x14ac:dyDescent="0.25">
      <c r="A2147" t="s">
        <v>4321</v>
      </c>
    </row>
    <row r="2148" spans="1:1" x14ac:dyDescent="0.25">
      <c r="A2148" t="s">
        <v>4322</v>
      </c>
    </row>
    <row r="2149" spans="1:1" x14ac:dyDescent="0.25">
      <c r="A2149" t="s">
        <v>4323</v>
      </c>
    </row>
    <row r="2150" spans="1:1" x14ac:dyDescent="0.25">
      <c r="A2150" t="s">
        <v>4324</v>
      </c>
    </row>
    <row r="2151" spans="1:1" x14ac:dyDescent="0.25">
      <c r="A2151" t="s">
        <v>4325</v>
      </c>
    </row>
    <row r="2152" spans="1:1" x14ac:dyDescent="0.25">
      <c r="A2152" t="s">
        <v>4326</v>
      </c>
    </row>
    <row r="2153" spans="1:1" x14ac:dyDescent="0.25">
      <c r="A2153" t="s">
        <v>4327</v>
      </c>
    </row>
    <row r="2154" spans="1:1" x14ac:dyDescent="0.25">
      <c r="A2154" t="s">
        <v>4328</v>
      </c>
    </row>
    <row r="2155" spans="1:1" x14ac:dyDescent="0.25">
      <c r="A2155" t="s">
        <v>4329</v>
      </c>
    </row>
    <row r="2156" spans="1:1" x14ac:dyDescent="0.25">
      <c r="A2156" t="s">
        <v>4330</v>
      </c>
    </row>
    <row r="2157" spans="1:1" x14ac:dyDescent="0.25">
      <c r="A2157" t="s">
        <v>4331</v>
      </c>
    </row>
    <row r="2158" spans="1:1" x14ac:dyDescent="0.25">
      <c r="A2158" t="s">
        <v>4332</v>
      </c>
    </row>
    <row r="2159" spans="1:1" x14ac:dyDescent="0.25">
      <c r="A2159" t="s">
        <v>4333</v>
      </c>
    </row>
    <row r="2160" spans="1:1" x14ac:dyDescent="0.25">
      <c r="A2160" t="s">
        <v>4334</v>
      </c>
    </row>
    <row r="2161" spans="1:1" x14ac:dyDescent="0.25">
      <c r="A2161" t="s">
        <v>4335</v>
      </c>
    </row>
    <row r="2162" spans="1:1" x14ac:dyDescent="0.25">
      <c r="A2162" t="s">
        <v>4336</v>
      </c>
    </row>
    <row r="2163" spans="1:1" x14ac:dyDescent="0.25">
      <c r="A2163" t="s">
        <v>4337</v>
      </c>
    </row>
    <row r="2164" spans="1:1" x14ac:dyDescent="0.25">
      <c r="A2164" t="s">
        <v>4338</v>
      </c>
    </row>
    <row r="2165" spans="1:1" x14ac:dyDescent="0.25">
      <c r="A2165" t="s">
        <v>4339</v>
      </c>
    </row>
    <row r="2166" spans="1:1" x14ac:dyDescent="0.25">
      <c r="A2166" t="s">
        <v>4340</v>
      </c>
    </row>
    <row r="2167" spans="1:1" x14ac:dyDescent="0.25">
      <c r="A2167" t="s">
        <v>4341</v>
      </c>
    </row>
    <row r="2168" spans="1:1" x14ac:dyDescent="0.25">
      <c r="A2168" t="s">
        <v>4342</v>
      </c>
    </row>
    <row r="2169" spans="1:1" x14ac:dyDescent="0.25">
      <c r="A2169" t="s">
        <v>4343</v>
      </c>
    </row>
    <row r="2170" spans="1:1" x14ac:dyDescent="0.25">
      <c r="A2170" t="s">
        <v>4344</v>
      </c>
    </row>
    <row r="2171" spans="1:1" x14ac:dyDescent="0.25">
      <c r="A2171" t="s">
        <v>4345</v>
      </c>
    </row>
    <row r="2172" spans="1:1" x14ac:dyDescent="0.25">
      <c r="A2172" t="s">
        <v>4346</v>
      </c>
    </row>
    <row r="2173" spans="1:1" x14ac:dyDescent="0.25">
      <c r="A2173" t="s">
        <v>4347</v>
      </c>
    </row>
    <row r="2174" spans="1:1" x14ac:dyDescent="0.25">
      <c r="A2174" t="s">
        <v>4348</v>
      </c>
    </row>
    <row r="2175" spans="1:1" x14ac:dyDescent="0.25">
      <c r="A2175" t="s">
        <v>4349</v>
      </c>
    </row>
    <row r="2176" spans="1:1" x14ac:dyDescent="0.25">
      <c r="A2176" t="s">
        <v>4350</v>
      </c>
    </row>
    <row r="2177" spans="1:1" x14ac:dyDescent="0.25">
      <c r="A2177" t="s">
        <v>4351</v>
      </c>
    </row>
    <row r="2178" spans="1:1" x14ac:dyDescent="0.25">
      <c r="A2178" t="s">
        <v>4352</v>
      </c>
    </row>
    <row r="2179" spans="1:1" x14ac:dyDescent="0.25">
      <c r="A2179" t="s">
        <v>4353</v>
      </c>
    </row>
    <row r="2180" spans="1:1" x14ac:dyDescent="0.25">
      <c r="A2180" t="s">
        <v>4354</v>
      </c>
    </row>
    <row r="2181" spans="1:1" x14ac:dyDescent="0.25">
      <c r="A2181" t="s">
        <v>4355</v>
      </c>
    </row>
    <row r="2182" spans="1:1" x14ac:dyDescent="0.25">
      <c r="A2182" t="s">
        <v>4356</v>
      </c>
    </row>
    <row r="2183" spans="1:1" x14ac:dyDescent="0.25">
      <c r="A2183" t="s">
        <v>4357</v>
      </c>
    </row>
    <row r="2184" spans="1:1" x14ac:dyDescent="0.25">
      <c r="A2184" t="s">
        <v>4358</v>
      </c>
    </row>
    <row r="2185" spans="1:1" x14ac:dyDescent="0.25">
      <c r="A2185" t="s">
        <v>4359</v>
      </c>
    </row>
    <row r="2186" spans="1:1" x14ac:dyDescent="0.25">
      <c r="A2186" t="s">
        <v>4360</v>
      </c>
    </row>
    <row r="2187" spans="1:1" x14ac:dyDescent="0.25">
      <c r="A2187" t="s">
        <v>4361</v>
      </c>
    </row>
    <row r="2188" spans="1:1" x14ac:dyDescent="0.25">
      <c r="A2188" t="s">
        <v>4362</v>
      </c>
    </row>
    <row r="2189" spans="1:1" x14ac:dyDescent="0.25">
      <c r="A2189" t="s">
        <v>4363</v>
      </c>
    </row>
    <row r="2190" spans="1:1" x14ac:dyDescent="0.25">
      <c r="A2190" t="s">
        <v>4364</v>
      </c>
    </row>
    <row r="2191" spans="1:1" x14ac:dyDescent="0.25">
      <c r="A2191" t="s">
        <v>4365</v>
      </c>
    </row>
    <row r="2192" spans="1:1" x14ac:dyDescent="0.25">
      <c r="A2192" t="s">
        <v>4366</v>
      </c>
    </row>
    <row r="2193" spans="1:1" x14ac:dyDescent="0.25">
      <c r="A2193" t="s">
        <v>4367</v>
      </c>
    </row>
    <row r="2194" spans="1:1" x14ac:dyDescent="0.25">
      <c r="A2194" t="s">
        <v>4368</v>
      </c>
    </row>
    <row r="2195" spans="1:1" x14ac:dyDescent="0.25">
      <c r="A2195" t="s">
        <v>4369</v>
      </c>
    </row>
    <row r="2196" spans="1:1" x14ac:dyDescent="0.25">
      <c r="A2196" t="s">
        <v>4370</v>
      </c>
    </row>
    <row r="2197" spans="1:1" x14ac:dyDescent="0.25">
      <c r="A2197" t="s">
        <v>4371</v>
      </c>
    </row>
    <row r="2198" spans="1:1" x14ac:dyDescent="0.25">
      <c r="A2198" t="s">
        <v>4372</v>
      </c>
    </row>
    <row r="2199" spans="1:1" x14ac:dyDescent="0.25">
      <c r="A2199" t="s">
        <v>4373</v>
      </c>
    </row>
    <row r="2200" spans="1:1" x14ac:dyDescent="0.25">
      <c r="A2200" t="s">
        <v>4374</v>
      </c>
    </row>
    <row r="2201" spans="1:1" x14ac:dyDescent="0.25">
      <c r="A2201" t="s">
        <v>4375</v>
      </c>
    </row>
    <row r="2202" spans="1:1" x14ac:dyDescent="0.25">
      <c r="A2202" t="s">
        <v>4376</v>
      </c>
    </row>
    <row r="2203" spans="1:1" x14ac:dyDescent="0.25">
      <c r="A2203" t="s">
        <v>4377</v>
      </c>
    </row>
    <row r="2204" spans="1:1" x14ac:dyDescent="0.25">
      <c r="A2204" t="s">
        <v>4378</v>
      </c>
    </row>
    <row r="2205" spans="1:1" x14ac:dyDescent="0.25">
      <c r="A2205" t="s">
        <v>4379</v>
      </c>
    </row>
    <row r="2206" spans="1:1" x14ac:dyDescent="0.25">
      <c r="A2206" t="s">
        <v>4380</v>
      </c>
    </row>
    <row r="2207" spans="1:1" x14ac:dyDescent="0.25">
      <c r="A2207" t="s">
        <v>4381</v>
      </c>
    </row>
    <row r="2208" spans="1:1" x14ac:dyDescent="0.25">
      <c r="A2208" t="s">
        <v>4382</v>
      </c>
    </row>
    <row r="2209" spans="1:1" x14ac:dyDescent="0.25">
      <c r="A2209" t="s">
        <v>4383</v>
      </c>
    </row>
    <row r="2210" spans="1:1" x14ac:dyDescent="0.25">
      <c r="A2210" t="s">
        <v>4384</v>
      </c>
    </row>
    <row r="2211" spans="1:1" x14ac:dyDescent="0.25">
      <c r="A2211" t="s">
        <v>4385</v>
      </c>
    </row>
    <row r="2212" spans="1:1" x14ac:dyDescent="0.25">
      <c r="A2212" t="s">
        <v>4386</v>
      </c>
    </row>
    <row r="2213" spans="1:1" x14ac:dyDescent="0.25">
      <c r="A2213" t="s">
        <v>4387</v>
      </c>
    </row>
    <row r="2214" spans="1:1" x14ac:dyDescent="0.25">
      <c r="A2214" t="s">
        <v>4388</v>
      </c>
    </row>
    <row r="2215" spans="1:1" x14ac:dyDescent="0.25">
      <c r="A2215" t="s">
        <v>4389</v>
      </c>
    </row>
    <row r="2216" spans="1:1" x14ac:dyDescent="0.25">
      <c r="A2216" t="s">
        <v>4390</v>
      </c>
    </row>
    <row r="2217" spans="1:1" x14ac:dyDescent="0.25">
      <c r="A2217" t="s">
        <v>4391</v>
      </c>
    </row>
    <row r="2218" spans="1:1" x14ac:dyDescent="0.25">
      <c r="A2218" t="s">
        <v>4392</v>
      </c>
    </row>
    <row r="2219" spans="1:1" x14ac:dyDescent="0.25">
      <c r="A2219" t="s">
        <v>4393</v>
      </c>
    </row>
    <row r="2220" spans="1:1" x14ac:dyDescent="0.25">
      <c r="A2220" t="s">
        <v>4394</v>
      </c>
    </row>
    <row r="2221" spans="1:1" x14ac:dyDescent="0.25">
      <c r="A2221" t="s">
        <v>4395</v>
      </c>
    </row>
    <row r="2222" spans="1:1" x14ac:dyDescent="0.25">
      <c r="A2222" t="s">
        <v>4396</v>
      </c>
    </row>
    <row r="2223" spans="1:1" x14ac:dyDescent="0.25">
      <c r="A2223" t="s">
        <v>4397</v>
      </c>
    </row>
    <row r="2224" spans="1:1" x14ac:dyDescent="0.25">
      <c r="A2224" t="s">
        <v>4398</v>
      </c>
    </row>
    <row r="2225" spans="1:1" x14ac:dyDescent="0.25">
      <c r="A2225" t="s">
        <v>4399</v>
      </c>
    </row>
    <row r="2226" spans="1:1" x14ac:dyDescent="0.25">
      <c r="A2226" t="s">
        <v>4400</v>
      </c>
    </row>
    <row r="2227" spans="1:1" x14ac:dyDescent="0.25">
      <c r="A2227" t="s">
        <v>4401</v>
      </c>
    </row>
    <row r="2228" spans="1:1" x14ac:dyDescent="0.25">
      <c r="A2228" t="s">
        <v>4402</v>
      </c>
    </row>
    <row r="2229" spans="1:1" x14ac:dyDescent="0.25">
      <c r="A2229" t="s">
        <v>4403</v>
      </c>
    </row>
    <row r="2230" spans="1:1" x14ac:dyDescent="0.25">
      <c r="A2230" t="s">
        <v>4404</v>
      </c>
    </row>
    <row r="2231" spans="1:1" x14ac:dyDescent="0.25">
      <c r="A2231" t="s">
        <v>4405</v>
      </c>
    </row>
    <row r="2232" spans="1:1" x14ac:dyDescent="0.25">
      <c r="A2232" t="s">
        <v>4406</v>
      </c>
    </row>
    <row r="2233" spans="1:1" x14ac:dyDescent="0.25">
      <c r="A2233" t="s">
        <v>4407</v>
      </c>
    </row>
    <row r="2234" spans="1:1" x14ac:dyDescent="0.25">
      <c r="A2234" t="s">
        <v>4408</v>
      </c>
    </row>
    <row r="2235" spans="1:1" x14ac:dyDescent="0.25">
      <c r="A2235" t="s">
        <v>4409</v>
      </c>
    </row>
    <row r="2236" spans="1:1" x14ac:dyDescent="0.25">
      <c r="A2236" t="s">
        <v>4410</v>
      </c>
    </row>
    <row r="2237" spans="1:1" x14ac:dyDescent="0.25">
      <c r="A2237" t="s">
        <v>4411</v>
      </c>
    </row>
    <row r="2238" spans="1:1" x14ac:dyDescent="0.25">
      <c r="A2238" t="s">
        <v>4412</v>
      </c>
    </row>
    <row r="2239" spans="1:1" x14ac:dyDescent="0.25">
      <c r="A2239" t="s">
        <v>4413</v>
      </c>
    </row>
    <row r="2240" spans="1:1" x14ac:dyDescent="0.25">
      <c r="A2240" t="s">
        <v>4414</v>
      </c>
    </row>
    <row r="2241" spans="1:1" x14ac:dyDescent="0.25">
      <c r="A2241" t="s">
        <v>4415</v>
      </c>
    </row>
    <row r="2242" spans="1:1" x14ac:dyDescent="0.25">
      <c r="A2242" t="s">
        <v>4416</v>
      </c>
    </row>
    <row r="2243" spans="1:1" x14ac:dyDescent="0.25">
      <c r="A2243" t="s">
        <v>4417</v>
      </c>
    </row>
    <row r="2244" spans="1:1" x14ac:dyDescent="0.25">
      <c r="A2244" t="s">
        <v>4418</v>
      </c>
    </row>
    <row r="2245" spans="1:1" x14ac:dyDescent="0.25">
      <c r="A2245" t="s">
        <v>4419</v>
      </c>
    </row>
    <row r="2246" spans="1:1" x14ac:dyDescent="0.25">
      <c r="A2246" t="s">
        <v>4420</v>
      </c>
    </row>
    <row r="2247" spans="1:1" x14ac:dyDescent="0.25">
      <c r="A2247" t="s">
        <v>4421</v>
      </c>
    </row>
    <row r="2248" spans="1:1" x14ac:dyDescent="0.25">
      <c r="A2248" t="s">
        <v>4422</v>
      </c>
    </row>
    <row r="2249" spans="1:1" x14ac:dyDescent="0.25">
      <c r="A2249" t="s">
        <v>4423</v>
      </c>
    </row>
    <row r="2250" spans="1:1" x14ac:dyDescent="0.25">
      <c r="A2250" t="s">
        <v>4424</v>
      </c>
    </row>
    <row r="2251" spans="1:1" x14ac:dyDescent="0.25">
      <c r="A2251" t="s">
        <v>4425</v>
      </c>
    </row>
    <row r="2252" spans="1:1" x14ac:dyDescent="0.25">
      <c r="A2252" t="s">
        <v>4426</v>
      </c>
    </row>
    <row r="2253" spans="1:1" x14ac:dyDescent="0.25">
      <c r="A2253" t="s">
        <v>4427</v>
      </c>
    </row>
    <row r="2254" spans="1:1" x14ac:dyDescent="0.25">
      <c r="A2254" t="s">
        <v>4428</v>
      </c>
    </row>
    <row r="2255" spans="1:1" x14ac:dyDescent="0.25">
      <c r="A2255" t="s">
        <v>4429</v>
      </c>
    </row>
    <row r="2256" spans="1:1" x14ac:dyDescent="0.25">
      <c r="A2256" t="s">
        <v>4430</v>
      </c>
    </row>
    <row r="2257" spans="1:1" x14ac:dyDescent="0.25">
      <c r="A2257" t="s">
        <v>4431</v>
      </c>
    </row>
    <row r="2258" spans="1:1" x14ac:dyDescent="0.25">
      <c r="A2258" t="s">
        <v>4432</v>
      </c>
    </row>
    <row r="2259" spans="1:1" x14ac:dyDescent="0.25">
      <c r="A2259" t="s">
        <v>4433</v>
      </c>
    </row>
    <row r="2260" spans="1:1" x14ac:dyDescent="0.25">
      <c r="A2260" t="s">
        <v>4434</v>
      </c>
    </row>
    <row r="2261" spans="1:1" x14ac:dyDescent="0.25">
      <c r="A2261" t="s">
        <v>4435</v>
      </c>
    </row>
    <row r="2262" spans="1:1" x14ac:dyDescent="0.25">
      <c r="A2262" t="s">
        <v>4436</v>
      </c>
    </row>
    <row r="2263" spans="1:1" x14ac:dyDescent="0.25">
      <c r="A2263" t="s">
        <v>4437</v>
      </c>
    </row>
    <row r="2264" spans="1:1" x14ac:dyDescent="0.25">
      <c r="A2264" t="s">
        <v>4438</v>
      </c>
    </row>
    <row r="2265" spans="1:1" x14ac:dyDescent="0.25">
      <c r="A2265" t="s">
        <v>4439</v>
      </c>
    </row>
    <row r="2266" spans="1:1" x14ac:dyDescent="0.25">
      <c r="A2266" t="s">
        <v>4440</v>
      </c>
    </row>
    <row r="2267" spans="1:1" x14ac:dyDescent="0.25">
      <c r="A2267" t="s">
        <v>4441</v>
      </c>
    </row>
    <row r="2268" spans="1:1" x14ac:dyDescent="0.25">
      <c r="A2268" t="s">
        <v>4442</v>
      </c>
    </row>
    <row r="2269" spans="1:1" x14ac:dyDescent="0.25">
      <c r="A2269" t="s">
        <v>4443</v>
      </c>
    </row>
    <row r="2270" spans="1:1" x14ac:dyDescent="0.25">
      <c r="A2270" t="s">
        <v>4444</v>
      </c>
    </row>
    <row r="2271" spans="1:1" x14ac:dyDescent="0.25">
      <c r="A2271" t="s">
        <v>4445</v>
      </c>
    </row>
    <row r="2272" spans="1:1" x14ac:dyDescent="0.25">
      <c r="A2272" t="s">
        <v>4446</v>
      </c>
    </row>
    <row r="2273" spans="1:1" x14ac:dyDescent="0.25">
      <c r="A2273" t="s">
        <v>4447</v>
      </c>
    </row>
    <row r="2274" spans="1:1" x14ac:dyDescent="0.25">
      <c r="A2274" t="s">
        <v>4448</v>
      </c>
    </row>
    <row r="2275" spans="1:1" x14ac:dyDescent="0.25">
      <c r="A2275" t="s">
        <v>4449</v>
      </c>
    </row>
    <row r="2276" spans="1:1" x14ac:dyDescent="0.25">
      <c r="A2276" t="s">
        <v>4450</v>
      </c>
    </row>
    <row r="2277" spans="1:1" x14ac:dyDescent="0.25">
      <c r="A2277" t="s">
        <v>4451</v>
      </c>
    </row>
    <row r="2278" spans="1:1" x14ac:dyDescent="0.25">
      <c r="A2278" t="s">
        <v>4452</v>
      </c>
    </row>
    <row r="2279" spans="1:1" x14ac:dyDescent="0.25">
      <c r="A2279" t="s">
        <v>4453</v>
      </c>
    </row>
    <row r="2280" spans="1:1" x14ac:dyDescent="0.25">
      <c r="A2280" t="s">
        <v>4454</v>
      </c>
    </row>
    <row r="2281" spans="1:1" x14ac:dyDescent="0.25">
      <c r="A2281" t="s">
        <v>4455</v>
      </c>
    </row>
    <row r="2282" spans="1:1" x14ac:dyDescent="0.25">
      <c r="A2282" t="s">
        <v>4456</v>
      </c>
    </row>
    <row r="2283" spans="1:1" x14ac:dyDescent="0.25">
      <c r="A2283" t="s">
        <v>4457</v>
      </c>
    </row>
    <row r="2284" spans="1:1" x14ac:dyDescent="0.25">
      <c r="A2284" t="s">
        <v>4458</v>
      </c>
    </row>
    <row r="2285" spans="1:1" x14ac:dyDescent="0.25">
      <c r="A2285" t="s">
        <v>4459</v>
      </c>
    </row>
    <row r="2286" spans="1:1" x14ac:dyDescent="0.25">
      <c r="A2286" t="s">
        <v>4460</v>
      </c>
    </row>
    <row r="2287" spans="1:1" x14ac:dyDescent="0.25">
      <c r="A2287" t="s">
        <v>4461</v>
      </c>
    </row>
    <row r="2288" spans="1:1" x14ac:dyDescent="0.25">
      <c r="A2288" t="s">
        <v>4462</v>
      </c>
    </row>
    <row r="2289" spans="1:1" x14ac:dyDescent="0.25">
      <c r="A2289" t="s">
        <v>4463</v>
      </c>
    </row>
    <row r="2290" spans="1:1" x14ac:dyDescent="0.25">
      <c r="A2290" t="s">
        <v>4464</v>
      </c>
    </row>
    <row r="2291" spans="1:1" x14ac:dyDescent="0.25">
      <c r="A2291" t="s">
        <v>4465</v>
      </c>
    </row>
    <row r="2292" spans="1:1" x14ac:dyDescent="0.25">
      <c r="A2292" t="s">
        <v>4466</v>
      </c>
    </row>
    <row r="2293" spans="1:1" x14ac:dyDescent="0.25">
      <c r="A2293" t="s">
        <v>4467</v>
      </c>
    </row>
    <row r="2294" spans="1:1" x14ac:dyDescent="0.25">
      <c r="A2294" t="s">
        <v>4468</v>
      </c>
    </row>
    <row r="2295" spans="1:1" x14ac:dyDescent="0.25">
      <c r="A2295" t="s">
        <v>4469</v>
      </c>
    </row>
    <row r="2296" spans="1:1" x14ac:dyDescent="0.25">
      <c r="A2296" t="s">
        <v>4470</v>
      </c>
    </row>
    <row r="2297" spans="1:1" x14ac:dyDescent="0.25">
      <c r="A2297" t="s">
        <v>4471</v>
      </c>
    </row>
    <row r="2298" spans="1:1" x14ac:dyDescent="0.25">
      <c r="A2298" t="s">
        <v>4472</v>
      </c>
    </row>
    <row r="2299" spans="1:1" x14ac:dyDescent="0.25">
      <c r="A2299" t="s">
        <v>4473</v>
      </c>
    </row>
    <row r="2300" spans="1:1" x14ac:dyDescent="0.25">
      <c r="A2300" t="s">
        <v>4474</v>
      </c>
    </row>
    <row r="2301" spans="1:1" x14ac:dyDescent="0.25">
      <c r="A2301" t="s">
        <v>4475</v>
      </c>
    </row>
    <row r="2302" spans="1:1" x14ac:dyDescent="0.25">
      <c r="A2302" t="s">
        <v>4476</v>
      </c>
    </row>
    <row r="2303" spans="1:1" x14ac:dyDescent="0.25">
      <c r="A2303" t="s">
        <v>4477</v>
      </c>
    </row>
    <row r="2304" spans="1:1" x14ac:dyDescent="0.25">
      <c r="A2304" t="s">
        <v>4478</v>
      </c>
    </row>
    <row r="2305" spans="1:1" x14ac:dyDescent="0.25">
      <c r="A2305" t="s">
        <v>4479</v>
      </c>
    </row>
    <row r="2306" spans="1:1" x14ac:dyDescent="0.25">
      <c r="A2306" t="s">
        <v>4480</v>
      </c>
    </row>
    <row r="2307" spans="1:1" x14ac:dyDescent="0.25">
      <c r="A2307" t="s">
        <v>4481</v>
      </c>
    </row>
    <row r="2308" spans="1:1" x14ac:dyDescent="0.25">
      <c r="A2308" t="s">
        <v>4482</v>
      </c>
    </row>
    <row r="2309" spans="1:1" x14ac:dyDescent="0.25">
      <c r="A2309" t="s">
        <v>4483</v>
      </c>
    </row>
    <row r="2310" spans="1:1" x14ac:dyDescent="0.25">
      <c r="A2310" t="s">
        <v>4484</v>
      </c>
    </row>
    <row r="2311" spans="1:1" x14ac:dyDescent="0.25">
      <c r="A2311" t="s">
        <v>4485</v>
      </c>
    </row>
    <row r="2312" spans="1:1" x14ac:dyDescent="0.25">
      <c r="A2312" t="s">
        <v>4486</v>
      </c>
    </row>
    <row r="2313" spans="1:1" x14ac:dyDescent="0.25">
      <c r="A2313" t="s">
        <v>4487</v>
      </c>
    </row>
    <row r="2314" spans="1:1" x14ac:dyDescent="0.25">
      <c r="A2314" t="s">
        <v>4488</v>
      </c>
    </row>
    <row r="2315" spans="1:1" x14ac:dyDescent="0.25">
      <c r="A2315" t="s">
        <v>4489</v>
      </c>
    </row>
    <row r="2316" spans="1:1" x14ac:dyDescent="0.25">
      <c r="A2316" t="s">
        <v>4490</v>
      </c>
    </row>
    <row r="2317" spans="1:1" x14ac:dyDescent="0.25">
      <c r="A2317" t="s">
        <v>4491</v>
      </c>
    </row>
    <row r="2318" spans="1:1" x14ac:dyDescent="0.25">
      <c r="A2318" t="s">
        <v>4492</v>
      </c>
    </row>
    <row r="2319" spans="1:1" x14ac:dyDescent="0.25">
      <c r="A2319" t="s">
        <v>4493</v>
      </c>
    </row>
    <row r="2320" spans="1:1" x14ac:dyDescent="0.25">
      <c r="A2320" t="s">
        <v>4494</v>
      </c>
    </row>
    <row r="2321" spans="1:1" x14ac:dyDescent="0.25">
      <c r="A2321" t="s">
        <v>4495</v>
      </c>
    </row>
    <row r="2322" spans="1:1" x14ac:dyDescent="0.25">
      <c r="A2322" t="s">
        <v>4496</v>
      </c>
    </row>
    <row r="2323" spans="1:1" x14ac:dyDescent="0.25">
      <c r="A2323" t="s">
        <v>4497</v>
      </c>
    </row>
    <row r="2324" spans="1:1" x14ac:dyDescent="0.25">
      <c r="A2324" t="s">
        <v>4498</v>
      </c>
    </row>
    <row r="2325" spans="1:1" x14ac:dyDescent="0.25">
      <c r="A2325" t="s">
        <v>4499</v>
      </c>
    </row>
    <row r="2326" spans="1:1" x14ac:dyDescent="0.25">
      <c r="A2326" t="s">
        <v>4500</v>
      </c>
    </row>
    <row r="2327" spans="1:1" x14ac:dyDescent="0.25">
      <c r="A2327" t="s">
        <v>4501</v>
      </c>
    </row>
    <row r="2328" spans="1:1" x14ac:dyDescent="0.25">
      <c r="A2328" t="s">
        <v>4502</v>
      </c>
    </row>
    <row r="2329" spans="1:1" x14ac:dyDescent="0.25">
      <c r="A2329" t="s">
        <v>4503</v>
      </c>
    </row>
    <row r="2330" spans="1:1" x14ac:dyDescent="0.25">
      <c r="A2330" t="s">
        <v>4504</v>
      </c>
    </row>
    <row r="2331" spans="1:1" x14ac:dyDescent="0.25">
      <c r="A2331" t="s">
        <v>4505</v>
      </c>
    </row>
    <row r="2332" spans="1:1" x14ac:dyDescent="0.25">
      <c r="A2332" t="s">
        <v>4506</v>
      </c>
    </row>
    <row r="2333" spans="1:1" x14ac:dyDescent="0.25">
      <c r="A2333" t="s">
        <v>4507</v>
      </c>
    </row>
    <row r="2334" spans="1:1" x14ac:dyDescent="0.25">
      <c r="A2334" t="s">
        <v>4508</v>
      </c>
    </row>
    <row r="2335" spans="1:1" x14ac:dyDescent="0.25">
      <c r="A2335" t="s">
        <v>4509</v>
      </c>
    </row>
    <row r="2336" spans="1:1" x14ac:dyDescent="0.25">
      <c r="A2336" t="s">
        <v>4510</v>
      </c>
    </row>
    <row r="2337" spans="1:1" x14ac:dyDescent="0.25">
      <c r="A2337" t="s">
        <v>4511</v>
      </c>
    </row>
    <row r="2338" spans="1:1" x14ac:dyDescent="0.25">
      <c r="A2338" t="s">
        <v>4512</v>
      </c>
    </row>
    <row r="2339" spans="1:1" x14ac:dyDescent="0.25">
      <c r="A2339" t="s">
        <v>4513</v>
      </c>
    </row>
    <row r="2340" spans="1:1" x14ac:dyDescent="0.25">
      <c r="A2340" t="s">
        <v>4514</v>
      </c>
    </row>
    <row r="2341" spans="1:1" x14ac:dyDescent="0.25">
      <c r="A2341" t="s">
        <v>4515</v>
      </c>
    </row>
    <row r="2342" spans="1:1" x14ac:dyDescent="0.25">
      <c r="A2342" t="s">
        <v>4516</v>
      </c>
    </row>
    <row r="2343" spans="1:1" x14ac:dyDescent="0.25">
      <c r="A2343" t="s">
        <v>4517</v>
      </c>
    </row>
    <row r="2344" spans="1:1" x14ac:dyDescent="0.25">
      <c r="A2344" t="s">
        <v>4518</v>
      </c>
    </row>
    <row r="2345" spans="1:1" x14ac:dyDescent="0.25">
      <c r="A2345" t="s">
        <v>4519</v>
      </c>
    </row>
    <row r="2346" spans="1:1" x14ac:dyDescent="0.25">
      <c r="A2346" t="s">
        <v>4520</v>
      </c>
    </row>
    <row r="2347" spans="1:1" x14ac:dyDescent="0.25">
      <c r="A2347" t="s">
        <v>4521</v>
      </c>
    </row>
    <row r="2348" spans="1:1" x14ac:dyDescent="0.25">
      <c r="A2348" t="s">
        <v>4522</v>
      </c>
    </row>
    <row r="2349" spans="1:1" x14ac:dyDescent="0.25">
      <c r="A2349" t="s">
        <v>4523</v>
      </c>
    </row>
    <row r="2350" spans="1:1" x14ac:dyDescent="0.25">
      <c r="A2350" t="s">
        <v>4524</v>
      </c>
    </row>
    <row r="2351" spans="1:1" x14ac:dyDescent="0.25">
      <c r="A2351" t="s">
        <v>4525</v>
      </c>
    </row>
    <row r="2352" spans="1:1" x14ac:dyDescent="0.25">
      <c r="A2352" t="s">
        <v>4526</v>
      </c>
    </row>
    <row r="2353" spans="1:1" x14ac:dyDescent="0.25">
      <c r="A2353" t="s">
        <v>4527</v>
      </c>
    </row>
    <row r="2354" spans="1:1" x14ac:dyDescent="0.25">
      <c r="A2354" t="s">
        <v>4528</v>
      </c>
    </row>
    <row r="2355" spans="1:1" x14ac:dyDescent="0.25">
      <c r="A2355" t="s">
        <v>4529</v>
      </c>
    </row>
    <row r="2356" spans="1:1" x14ac:dyDescent="0.25">
      <c r="A2356" t="s">
        <v>4530</v>
      </c>
    </row>
    <row r="2357" spans="1:1" x14ac:dyDescent="0.25">
      <c r="A2357" t="s">
        <v>4531</v>
      </c>
    </row>
    <row r="2358" spans="1:1" x14ac:dyDescent="0.25">
      <c r="A2358" t="s">
        <v>4532</v>
      </c>
    </row>
    <row r="2359" spans="1:1" x14ac:dyDescent="0.25">
      <c r="A2359" t="s">
        <v>4533</v>
      </c>
    </row>
    <row r="2360" spans="1:1" x14ac:dyDescent="0.25">
      <c r="A2360" t="s">
        <v>4534</v>
      </c>
    </row>
    <row r="2361" spans="1:1" x14ac:dyDescent="0.25">
      <c r="A2361" t="s">
        <v>4535</v>
      </c>
    </row>
    <row r="2362" spans="1:1" x14ac:dyDescent="0.25">
      <c r="A2362" t="s">
        <v>4536</v>
      </c>
    </row>
    <row r="2363" spans="1:1" x14ac:dyDescent="0.25">
      <c r="A2363" t="s">
        <v>4537</v>
      </c>
    </row>
    <row r="2364" spans="1:1" x14ac:dyDescent="0.25">
      <c r="A2364" t="s">
        <v>4538</v>
      </c>
    </row>
    <row r="2365" spans="1:1" x14ac:dyDescent="0.25">
      <c r="A2365" t="s">
        <v>4539</v>
      </c>
    </row>
    <row r="2366" spans="1:1" x14ac:dyDescent="0.25">
      <c r="A2366" t="s">
        <v>4540</v>
      </c>
    </row>
    <row r="2367" spans="1:1" x14ac:dyDescent="0.25">
      <c r="A2367" t="s">
        <v>4541</v>
      </c>
    </row>
    <row r="2368" spans="1:1" x14ac:dyDescent="0.25">
      <c r="A2368" t="s">
        <v>4542</v>
      </c>
    </row>
    <row r="2369" spans="1:1" x14ac:dyDescent="0.25">
      <c r="A2369" t="s">
        <v>4543</v>
      </c>
    </row>
    <row r="2370" spans="1:1" x14ac:dyDescent="0.25">
      <c r="A2370" t="s">
        <v>4544</v>
      </c>
    </row>
    <row r="2371" spans="1:1" x14ac:dyDescent="0.25">
      <c r="A2371" t="s">
        <v>4545</v>
      </c>
    </row>
    <row r="2372" spans="1:1" x14ac:dyDescent="0.25">
      <c r="A2372" t="s">
        <v>4546</v>
      </c>
    </row>
    <row r="2373" spans="1:1" x14ac:dyDescent="0.25">
      <c r="A2373" t="s">
        <v>4547</v>
      </c>
    </row>
    <row r="2374" spans="1:1" x14ac:dyDescent="0.25">
      <c r="A2374" t="s">
        <v>4548</v>
      </c>
    </row>
    <row r="2375" spans="1:1" x14ac:dyDescent="0.25">
      <c r="A2375" t="s">
        <v>4549</v>
      </c>
    </row>
    <row r="2376" spans="1:1" x14ac:dyDescent="0.25">
      <c r="A2376" t="s">
        <v>4550</v>
      </c>
    </row>
    <row r="2377" spans="1:1" x14ac:dyDescent="0.25">
      <c r="A2377" t="s">
        <v>4551</v>
      </c>
    </row>
    <row r="2378" spans="1:1" x14ac:dyDescent="0.25">
      <c r="A2378" t="s">
        <v>4552</v>
      </c>
    </row>
    <row r="2379" spans="1:1" x14ac:dyDescent="0.25">
      <c r="A2379" t="s">
        <v>4553</v>
      </c>
    </row>
    <row r="2380" spans="1:1" x14ac:dyDescent="0.25">
      <c r="A2380" t="s">
        <v>4554</v>
      </c>
    </row>
    <row r="2381" spans="1:1" x14ac:dyDescent="0.25">
      <c r="A2381" t="s">
        <v>4555</v>
      </c>
    </row>
    <row r="2382" spans="1:1" x14ac:dyDescent="0.25">
      <c r="A2382" t="s">
        <v>4556</v>
      </c>
    </row>
    <row r="2383" spans="1:1" x14ac:dyDescent="0.25">
      <c r="A2383" t="s">
        <v>4557</v>
      </c>
    </row>
    <row r="2384" spans="1:1" x14ac:dyDescent="0.25">
      <c r="A2384" t="s">
        <v>4558</v>
      </c>
    </row>
    <row r="2385" spans="1:1" x14ac:dyDescent="0.25">
      <c r="A2385" t="s">
        <v>4559</v>
      </c>
    </row>
    <row r="2386" spans="1:1" x14ac:dyDescent="0.25">
      <c r="A2386" t="s">
        <v>4560</v>
      </c>
    </row>
    <row r="2387" spans="1:1" x14ac:dyDescent="0.25">
      <c r="A2387" t="s">
        <v>4561</v>
      </c>
    </row>
    <row r="2388" spans="1:1" x14ac:dyDescent="0.25">
      <c r="A2388" t="s">
        <v>4562</v>
      </c>
    </row>
    <row r="2389" spans="1:1" x14ac:dyDescent="0.25">
      <c r="A2389" t="s">
        <v>4563</v>
      </c>
    </row>
    <row r="2390" spans="1:1" x14ac:dyDescent="0.25">
      <c r="A2390" t="s">
        <v>4564</v>
      </c>
    </row>
    <row r="2391" spans="1:1" x14ac:dyDescent="0.25">
      <c r="A2391" t="s">
        <v>4565</v>
      </c>
    </row>
    <row r="2392" spans="1:1" x14ac:dyDescent="0.25">
      <c r="A2392" t="s">
        <v>4566</v>
      </c>
    </row>
    <row r="2393" spans="1:1" x14ac:dyDescent="0.25">
      <c r="A2393" t="s">
        <v>4567</v>
      </c>
    </row>
    <row r="2394" spans="1:1" x14ac:dyDescent="0.25">
      <c r="A2394" t="s">
        <v>4568</v>
      </c>
    </row>
    <row r="2395" spans="1:1" x14ac:dyDescent="0.25">
      <c r="A2395" t="s">
        <v>4569</v>
      </c>
    </row>
    <row r="2396" spans="1:1" x14ac:dyDescent="0.25">
      <c r="A2396" t="s">
        <v>4570</v>
      </c>
    </row>
    <row r="2397" spans="1:1" x14ac:dyDescent="0.25">
      <c r="A2397" t="s">
        <v>4571</v>
      </c>
    </row>
    <row r="2398" spans="1:1" x14ac:dyDescent="0.25">
      <c r="A2398" t="s">
        <v>4572</v>
      </c>
    </row>
    <row r="2399" spans="1:1" x14ac:dyDescent="0.25">
      <c r="A2399" t="s">
        <v>4573</v>
      </c>
    </row>
    <row r="2400" spans="1:1" x14ac:dyDescent="0.25">
      <c r="A2400" t="s">
        <v>4574</v>
      </c>
    </row>
    <row r="2401" spans="1:1" x14ac:dyDescent="0.25">
      <c r="A2401" t="s">
        <v>4575</v>
      </c>
    </row>
    <row r="2402" spans="1:1" x14ac:dyDescent="0.25">
      <c r="A2402" t="s">
        <v>4576</v>
      </c>
    </row>
    <row r="2403" spans="1:1" x14ac:dyDescent="0.25">
      <c r="A2403" t="s">
        <v>4577</v>
      </c>
    </row>
    <row r="2404" spans="1:1" x14ac:dyDescent="0.25">
      <c r="A2404" t="s">
        <v>4578</v>
      </c>
    </row>
    <row r="2405" spans="1:1" x14ac:dyDescent="0.25">
      <c r="A2405" t="s">
        <v>4579</v>
      </c>
    </row>
    <row r="2406" spans="1:1" x14ac:dyDescent="0.25">
      <c r="A2406" t="s">
        <v>4580</v>
      </c>
    </row>
    <row r="2407" spans="1:1" x14ac:dyDescent="0.25">
      <c r="A2407" t="s">
        <v>4581</v>
      </c>
    </row>
    <row r="2408" spans="1:1" x14ac:dyDescent="0.25">
      <c r="A2408" t="s">
        <v>4582</v>
      </c>
    </row>
    <row r="2409" spans="1:1" x14ac:dyDescent="0.25">
      <c r="A2409" t="s">
        <v>4583</v>
      </c>
    </row>
    <row r="2410" spans="1:1" x14ac:dyDescent="0.25">
      <c r="A2410" t="s">
        <v>4584</v>
      </c>
    </row>
    <row r="2411" spans="1:1" x14ac:dyDescent="0.25">
      <c r="A2411" t="s">
        <v>4585</v>
      </c>
    </row>
    <row r="2412" spans="1:1" x14ac:dyDescent="0.25">
      <c r="A2412" t="s">
        <v>4586</v>
      </c>
    </row>
    <row r="2413" spans="1:1" x14ac:dyDescent="0.25">
      <c r="A2413" t="s">
        <v>4587</v>
      </c>
    </row>
    <row r="2414" spans="1:1" x14ac:dyDescent="0.25">
      <c r="A2414" t="s">
        <v>4588</v>
      </c>
    </row>
    <row r="2415" spans="1:1" x14ac:dyDescent="0.25">
      <c r="A2415" t="s">
        <v>4589</v>
      </c>
    </row>
    <row r="2416" spans="1:1" x14ac:dyDescent="0.25">
      <c r="A2416" t="s">
        <v>4590</v>
      </c>
    </row>
    <row r="2417" spans="1:1" x14ac:dyDescent="0.25">
      <c r="A2417" t="s">
        <v>4591</v>
      </c>
    </row>
    <row r="2418" spans="1:1" x14ac:dyDescent="0.25">
      <c r="A2418" t="s">
        <v>4592</v>
      </c>
    </row>
    <row r="2419" spans="1:1" x14ac:dyDescent="0.25">
      <c r="A2419" t="s">
        <v>4593</v>
      </c>
    </row>
    <row r="2420" spans="1:1" x14ac:dyDescent="0.25">
      <c r="A2420" t="s">
        <v>4594</v>
      </c>
    </row>
    <row r="2421" spans="1:1" x14ac:dyDescent="0.25">
      <c r="A2421" t="s">
        <v>4595</v>
      </c>
    </row>
    <row r="2422" spans="1:1" x14ac:dyDescent="0.25">
      <c r="A2422" t="s">
        <v>4596</v>
      </c>
    </row>
    <row r="2423" spans="1:1" x14ac:dyDescent="0.25">
      <c r="A2423" t="s">
        <v>4597</v>
      </c>
    </row>
    <row r="2424" spans="1:1" x14ac:dyDescent="0.25">
      <c r="A2424" t="s">
        <v>4598</v>
      </c>
    </row>
    <row r="2425" spans="1:1" x14ac:dyDescent="0.25">
      <c r="A2425" t="s">
        <v>4599</v>
      </c>
    </row>
    <row r="2426" spans="1:1" x14ac:dyDescent="0.25">
      <c r="A2426" t="s">
        <v>4600</v>
      </c>
    </row>
    <row r="2427" spans="1:1" x14ac:dyDescent="0.25">
      <c r="A2427" t="s">
        <v>4601</v>
      </c>
    </row>
    <row r="2428" spans="1:1" x14ac:dyDescent="0.25">
      <c r="A2428" t="s">
        <v>4602</v>
      </c>
    </row>
    <row r="2429" spans="1:1" x14ac:dyDescent="0.25">
      <c r="A2429" t="s">
        <v>4603</v>
      </c>
    </row>
    <row r="2430" spans="1:1" x14ac:dyDescent="0.25">
      <c r="A2430" t="s">
        <v>4604</v>
      </c>
    </row>
    <row r="2431" spans="1:1" x14ac:dyDescent="0.25">
      <c r="A2431" t="s">
        <v>4605</v>
      </c>
    </row>
    <row r="2432" spans="1:1" x14ac:dyDescent="0.25">
      <c r="A2432" t="s">
        <v>4606</v>
      </c>
    </row>
    <row r="2433" spans="1:1" x14ac:dyDescent="0.25">
      <c r="A2433" t="s">
        <v>4607</v>
      </c>
    </row>
    <row r="2434" spans="1:1" x14ac:dyDescent="0.25">
      <c r="A2434" t="s">
        <v>4608</v>
      </c>
    </row>
    <row r="2435" spans="1:1" x14ac:dyDescent="0.25">
      <c r="A2435" t="s">
        <v>4609</v>
      </c>
    </row>
    <row r="2436" spans="1:1" x14ac:dyDescent="0.25">
      <c r="A2436" t="s">
        <v>4610</v>
      </c>
    </row>
    <row r="2437" spans="1:1" x14ac:dyDescent="0.25">
      <c r="A2437" t="s">
        <v>4611</v>
      </c>
    </row>
    <row r="2438" spans="1:1" x14ac:dyDescent="0.25">
      <c r="A2438" t="s">
        <v>4612</v>
      </c>
    </row>
    <row r="2439" spans="1:1" x14ac:dyDescent="0.25">
      <c r="A2439" t="s">
        <v>4613</v>
      </c>
    </row>
    <row r="2440" spans="1:1" x14ac:dyDescent="0.25">
      <c r="A2440" t="s">
        <v>4614</v>
      </c>
    </row>
    <row r="2441" spans="1:1" x14ac:dyDescent="0.25">
      <c r="A2441" t="s">
        <v>4615</v>
      </c>
    </row>
    <row r="2442" spans="1:1" x14ac:dyDescent="0.25">
      <c r="A2442" t="s">
        <v>4616</v>
      </c>
    </row>
    <row r="2443" spans="1:1" x14ac:dyDescent="0.25">
      <c r="A2443" t="s">
        <v>4617</v>
      </c>
    </row>
    <row r="2444" spans="1:1" x14ac:dyDescent="0.25">
      <c r="A2444" t="s">
        <v>4618</v>
      </c>
    </row>
    <row r="2445" spans="1:1" x14ac:dyDescent="0.25">
      <c r="A2445" t="s">
        <v>4619</v>
      </c>
    </row>
    <row r="2446" spans="1:1" x14ac:dyDescent="0.25">
      <c r="A2446" t="s">
        <v>4620</v>
      </c>
    </row>
    <row r="2447" spans="1:1" x14ac:dyDescent="0.25">
      <c r="A2447" t="s">
        <v>4621</v>
      </c>
    </row>
    <row r="2448" spans="1:1" x14ac:dyDescent="0.25">
      <c r="A2448" t="s">
        <v>4622</v>
      </c>
    </row>
    <row r="2449" spans="1:1" x14ac:dyDescent="0.25">
      <c r="A2449" t="s">
        <v>4623</v>
      </c>
    </row>
    <row r="2450" spans="1:1" x14ac:dyDescent="0.25">
      <c r="A2450" t="s">
        <v>4624</v>
      </c>
    </row>
    <row r="2451" spans="1:1" x14ac:dyDescent="0.25">
      <c r="A2451" t="s">
        <v>4625</v>
      </c>
    </row>
    <row r="2452" spans="1:1" x14ac:dyDescent="0.25">
      <c r="A2452" t="s">
        <v>4626</v>
      </c>
    </row>
    <row r="2453" spans="1:1" x14ac:dyDescent="0.25">
      <c r="A2453" t="s">
        <v>4627</v>
      </c>
    </row>
    <row r="2454" spans="1:1" x14ac:dyDescent="0.25">
      <c r="A2454" t="s">
        <v>4628</v>
      </c>
    </row>
    <row r="2455" spans="1:1" x14ac:dyDescent="0.25">
      <c r="A2455" t="s">
        <v>4629</v>
      </c>
    </row>
    <row r="2456" spans="1:1" x14ac:dyDescent="0.25">
      <c r="A2456" t="s">
        <v>4630</v>
      </c>
    </row>
    <row r="2457" spans="1:1" x14ac:dyDescent="0.25">
      <c r="A2457" t="s">
        <v>4631</v>
      </c>
    </row>
    <row r="2458" spans="1:1" x14ac:dyDescent="0.25">
      <c r="A2458" t="s">
        <v>4632</v>
      </c>
    </row>
    <row r="2459" spans="1:1" x14ac:dyDescent="0.25">
      <c r="A2459" t="s">
        <v>4633</v>
      </c>
    </row>
    <row r="2460" spans="1:1" x14ac:dyDescent="0.25">
      <c r="A2460" t="s">
        <v>4634</v>
      </c>
    </row>
    <row r="2461" spans="1:1" x14ac:dyDescent="0.25">
      <c r="A2461" t="s">
        <v>4635</v>
      </c>
    </row>
    <row r="2462" spans="1:1" x14ac:dyDescent="0.25">
      <c r="A2462" t="s">
        <v>4636</v>
      </c>
    </row>
    <row r="2463" spans="1:1" x14ac:dyDescent="0.25">
      <c r="A2463" t="s">
        <v>4637</v>
      </c>
    </row>
    <row r="2464" spans="1:1" x14ac:dyDescent="0.25">
      <c r="A2464" t="s">
        <v>4638</v>
      </c>
    </row>
    <row r="2465" spans="1:1" x14ac:dyDescent="0.25">
      <c r="A2465" t="s">
        <v>4639</v>
      </c>
    </row>
    <row r="2466" spans="1:1" x14ac:dyDescent="0.25">
      <c r="A2466" t="s">
        <v>4640</v>
      </c>
    </row>
    <row r="2467" spans="1:1" x14ac:dyDescent="0.25">
      <c r="A2467" t="s">
        <v>4641</v>
      </c>
    </row>
    <row r="2468" spans="1:1" x14ac:dyDescent="0.25">
      <c r="A2468" t="s">
        <v>4642</v>
      </c>
    </row>
    <row r="2469" spans="1:1" x14ac:dyDescent="0.25">
      <c r="A2469" t="s">
        <v>4643</v>
      </c>
    </row>
    <row r="2470" spans="1:1" x14ac:dyDescent="0.25">
      <c r="A2470" t="s">
        <v>4644</v>
      </c>
    </row>
    <row r="2471" spans="1:1" x14ac:dyDescent="0.25">
      <c r="A2471" t="s">
        <v>4645</v>
      </c>
    </row>
    <row r="2472" spans="1:1" x14ac:dyDescent="0.25">
      <c r="A2472" t="s">
        <v>4646</v>
      </c>
    </row>
    <row r="2473" spans="1:1" x14ac:dyDescent="0.25">
      <c r="A2473" t="s">
        <v>4647</v>
      </c>
    </row>
    <row r="2474" spans="1:1" x14ac:dyDescent="0.25">
      <c r="A2474" t="s">
        <v>4648</v>
      </c>
    </row>
    <row r="2475" spans="1:1" x14ac:dyDescent="0.25">
      <c r="A2475" t="s">
        <v>4649</v>
      </c>
    </row>
    <row r="2476" spans="1:1" x14ac:dyDescent="0.25">
      <c r="A2476" t="s">
        <v>4650</v>
      </c>
    </row>
    <row r="2477" spans="1:1" x14ac:dyDescent="0.25">
      <c r="A2477" t="s">
        <v>4651</v>
      </c>
    </row>
    <row r="2478" spans="1:1" x14ac:dyDescent="0.25">
      <c r="A2478" t="s">
        <v>4652</v>
      </c>
    </row>
    <row r="2479" spans="1:1" x14ac:dyDescent="0.25">
      <c r="A2479" t="s">
        <v>4653</v>
      </c>
    </row>
    <row r="2480" spans="1:1" x14ac:dyDescent="0.25">
      <c r="A2480" t="s">
        <v>4654</v>
      </c>
    </row>
    <row r="2481" spans="1:1" x14ac:dyDescent="0.25">
      <c r="A2481" t="s">
        <v>4655</v>
      </c>
    </row>
    <row r="2482" spans="1:1" x14ac:dyDescent="0.25">
      <c r="A2482" t="s">
        <v>4656</v>
      </c>
    </row>
    <row r="2483" spans="1:1" x14ac:dyDescent="0.25">
      <c r="A2483" t="s">
        <v>4657</v>
      </c>
    </row>
    <row r="2484" spans="1:1" x14ac:dyDescent="0.25">
      <c r="A2484" t="s">
        <v>4658</v>
      </c>
    </row>
    <row r="2485" spans="1:1" x14ac:dyDescent="0.25">
      <c r="A2485" t="s">
        <v>4659</v>
      </c>
    </row>
    <row r="2486" spans="1:1" x14ac:dyDescent="0.25">
      <c r="A2486" t="s">
        <v>4660</v>
      </c>
    </row>
    <row r="2487" spans="1:1" x14ac:dyDescent="0.25">
      <c r="A2487" t="s">
        <v>4661</v>
      </c>
    </row>
    <row r="2488" spans="1:1" x14ac:dyDescent="0.25">
      <c r="A2488" t="s">
        <v>4662</v>
      </c>
    </row>
    <row r="2489" spans="1:1" x14ac:dyDescent="0.25">
      <c r="A2489" t="s">
        <v>4663</v>
      </c>
    </row>
    <row r="2490" spans="1:1" x14ac:dyDescent="0.25">
      <c r="A2490" t="s">
        <v>4664</v>
      </c>
    </row>
    <row r="2491" spans="1:1" x14ac:dyDescent="0.25">
      <c r="A2491" t="s">
        <v>4665</v>
      </c>
    </row>
    <row r="2492" spans="1:1" x14ac:dyDescent="0.25">
      <c r="A2492" t="s">
        <v>4666</v>
      </c>
    </row>
    <row r="2493" spans="1:1" x14ac:dyDescent="0.25">
      <c r="A2493" t="s">
        <v>4667</v>
      </c>
    </row>
    <row r="2494" spans="1:1" x14ac:dyDescent="0.25">
      <c r="A2494" t="s">
        <v>4668</v>
      </c>
    </row>
    <row r="2495" spans="1:1" x14ac:dyDescent="0.25">
      <c r="A2495" t="s">
        <v>4669</v>
      </c>
    </row>
    <row r="2496" spans="1:1" x14ac:dyDescent="0.25">
      <c r="A2496" t="s">
        <v>4670</v>
      </c>
    </row>
    <row r="2497" spans="1:1" x14ac:dyDescent="0.25">
      <c r="A2497" t="s">
        <v>4671</v>
      </c>
    </row>
    <row r="2498" spans="1:1" x14ac:dyDescent="0.25">
      <c r="A2498" t="s">
        <v>4672</v>
      </c>
    </row>
    <row r="2499" spans="1:1" x14ac:dyDescent="0.25">
      <c r="A2499" t="s">
        <v>4673</v>
      </c>
    </row>
    <row r="2500" spans="1:1" x14ac:dyDescent="0.25">
      <c r="A2500" t="s">
        <v>4674</v>
      </c>
    </row>
    <row r="2501" spans="1:1" x14ac:dyDescent="0.25">
      <c r="A2501" t="s">
        <v>4675</v>
      </c>
    </row>
    <row r="2502" spans="1:1" x14ac:dyDescent="0.25">
      <c r="A2502" t="s">
        <v>4676</v>
      </c>
    </row>
    <row r="2503" spans="1:1" x14ac:dyDescent="0.25">
      <c r="A2503" t="s">
        <v>4677</v>
      </c>
    </row>
    <row r="2504" spans="1:1" x14ac:dyDescent="0.25">
      <c r="A2504" t="s">
        <v>4678</v>
      </c>
    </row>
    <row r="2505" spans="1:1" x14ac:dyDescent="0.25">
      <c r="A2505" t="s">
        <v>4679</v>
      </c>
    </row>
    <row r="2506" spans="1:1" x14ac:dyDescent="0.25">
      <c r="A2506" t="s">
        <v>4680</v>
      </c>
    </row>
    <row r="2507" spans="1:1" x14ac:dyDescent="0.25">
      <c r="A2507" t="s">
        <v>4681</v>
      </c>
    </row>
    <row r="2508" spans="1:1" x14ac:dyDescent="0.25">
      <c r="A2508" t="s">
        <v>4682</v>
      </c>
    </row>
    <row r="2509" spans="1:1" x14ac:dyDescent="0.25">
      <c r="A2509" t="s">
        <v>4683</v>
      </c>
    </row>
    <row r="2510" spans="1:1" x14ac:dyDescent="0.25">
      <c r="A2510" t="s">
        <v>4684</v>
      </c>
    </row>
    <row r="2511" spans="1:1" x14ac:dyDescent="0.25">
      <c r="A2511" t="s">
        <v>4685</v>
      </c>
    </row>
    <row r="2512" spans="1:1" x14ac:dyDescent="0.25">
      <c r="A2512" t="s">
        <v>4686</v>
      </c>
    </row>
    <row r="2513" spans="1:1" x14ac:dyDescent="0.25">
      <c r="A2513" t="s">
        <v>4687</v>
      </c>
    </row>
    <row r="2514" spans="1:1" x14ac:dyDescent="0.25">
      <c r="A2514" t="s">
        <v>4688</v>
      </c>
    </row>
    <row r="2515" spans="1:1" x14ac:dyDescent="0.25">
      <c r="A2515" t="s">
        <v>4689</v>
      </c>
    </row>
    <row r="2516" spans="1:1" x14ac:dyDescent="0.25">
      <c r="A2516" t="s">
        <v>4690</v>
      </c>
    </row>
    <row r="2517" spans="1:1" x14ac:dyDescent="0.25">
      <c r="A2517" t="s">
        <v>4691</v>
      </c>
    </row>
    <row r="2518" spans="1:1" x14ac:dyDescent="0.25">
      <c r="A2518" t="s">
        <v>4692</v>
      </c>
    </row>
    <row r="2519" spans="1:1" x14ac:dyDescent="0.25">
      <c r="A2519" t="s">
        <v>4693</v>
      </c>
    </row>
    <row r="2520" spans="1:1" x14ac:dyDescent="0.25">
      <c r="A2520" t="s">
        <v>4694</v>
      </c>
    </row>
    <row r="2521" spans="1:1" x14ac:dyDescent="0.25">
      <c r="A2521" t="s">
        <v>4695</v>
      </c>
    </row>
    <row r="2522" spans="1:1" x14ac:dyDescent="0.25">
      <c r="A2522" t="s">
        <v>4696</v>
      </c>
    </row>
    <row r="2523" spans="1:1" x14ac:dyDescent="0.25">
      <c r="A2523" t="s">
        <v>4697</v>
      </c>
    </row>
    <row r="2524" spans="1:1" x14ac:dyDescent="0.25">
      <c r="A2524" t="s">
        <v>4698</v>
      </c>
    </row>
    <row r="2525" spans="1:1" x14ac:dyDescent="0.25">
      <c r="A2525" t="s">
        <v>4699</v>
      </c>
    </row>
    <row r="2526" spans="1:1" x14ac:dyDescent="0.25">
      <c r="A2526" t="s">
        <v>4700</v>
      </c>
    </row>
    <row r="2527" spans="1:1" x14ac:dyDescent="0.25">
      <c r="A2527" t="s">
        <v>4701</v>
      </c>
    </row>
    <row r="2528" spans="1:1" x14ac:dyDescent="0.25">
      <c r="A2528" t="s">
        <v>4702</v>
      </c>
    </row>
    <row r="2529" spans="1:1" x14ac:dyDescent="0.25">
      <c r="A2529" t="s">
        <v>4703</v>
      </c>
    </row>
    <row r="2530" spans="1:1" x14ac:dyDescent="0.25">
      <c r="A2530" t="s">
        <v>4704</v>
      </c>
    </row>
    <row r="2531" spans="1:1" x14ac:dyDescent="0.25">
      <c r="A2531" t="s">
        <v>4705</v>
      </c>
    </row>
    <row r="2532" spans="1:1" x14ac:dyDescent="0.25">
      <c r="A2532" t="s">
        <v>4706</v>
      </c>
    </row>
    <row r="2533" spans="1:1" x14ac:dyDescent="0.25">
      <c r="A2533" t="s">
        <v>4707</v>
      </c>
    </row>
    <row r="2534" spans="1:1" x14ac:dyDescent="0.25">
      <c r="A2534" t="s">
        <v>4708</v>
      </c>
    </row>
    <row r="2535" spans="1:1" x14ac:dyDescent="0.25">
      <c r="A2535" t="s">
        <v>4709</v>
      </c>
    </row>
    <row r="2536" spans="1:1" x14ac:dyDescent="0.25">
      <c r="A2536" t="s">
        <v>4710</v>
      </c>
    </row>
    <row r="2537" spans="1:1" x14ac:dyDescent="0.25">
      <c r="A2537" t="s">
        <v>4711</v>
      </c>
    </row>
    <row r="2538" spans="1:1" x14ac:dyDescent="0.25">
      <c r="A2538" t="s">
        <v>4712</v>
      </c>
    </row>
    <row r="2539" spans="1:1" x14ac:dyDescent="0.25">
      <c r="A2539" t="s">
        <v>4713</v>
      </c>
    </row>
    <row r="2540" spans="1:1" x14ac:dyDescent="0.25">
      <c r="A2540" t="s">
        <v>4714</v>
      </c>
    </row>
    <row r="2541" spans="1:1" x14ac:dyDescent="0.25">
      <c r="A2541" t="s">
        <v>4715</v>
      </c>
    </row>
    <row r="2542" spans="1:1" x14ac:dyDescent="0.25">
      <c r="A2542" t="s">
        <v>4716</v>
      </c>
    </row>
    <row r="2543" spans="1:1" x14ac:dyDescent="0.25">
      <c r="A2543" t="s">
        <v>4717</v>
      </c>
    </row>
    <row r="2544" spans="1:1" x14ac:dyDescent="0.25">
      <c r="A2544" t="s">
        <v>4718</v>
      </c>
    </row>
    <row r="2545" spans="1:1" x14ac:dyDescent="0.25">
      <c r="A2545" t="s">
        <v>4719</v>
      </c>
    </row>
    <row r="2546" spans="1:1" x14ac:dyDescent="0.25">
      <c r="A2546" t="s">
        <v>4720</v>
      </c>
    </row>
    <row r="2547" spans="1:1" x14ac:dyDescent="0.25">
      <c r="A2547" t="s">
        <v>4721</v>
      </c>
    </row>
    <row r="2548" spans="1:1" x14ac:dyDescent="0.25">
      <c r="A2548" t="s">
        <v>4722</v>
      </c>
    </row>
    <row r="2549" spans="1:1" x14ac:dyDescent="0.25">
      <c r="A2549" t="s">
        <v>4723</v>
      </c>
    </row>
    <row r="2550" spans="1:1" x14ac:dyDescent="0.25">
      <c r="A2550" t="s">
        <v>4724</v>
      </c>
    </row>
    <row r="2551" spans="1:1" x14ac:dyDescent="0.25">
      <c r="A2551" t="s">
        <v>4725</v>
      </c>
    </row>
    <row r="2552" spans="1:1" x14ac:dyDescent="0.25">
      <c r="A2552" t="s">
        <v>4726</v>
      </c>
    </row>
    <row r="2553" spans="1:1" x14ac:dyDescent="0.25">
      <c r="A2553" t="s">
        <v>4727</v>
      </c>
    </row>
    <row r="2554" spans="1:1" x14ac:dyDescent="0.25">
      <c r="A2554" t="s">
        <v>4728</v>
      </c>
    </row>
    <row r="2555" spans="1:1" x14ac:dyDescent="0.25">
      <c r="A2555" t="s">
        <v>4729</v>
      </c>
    </row>
    <row r="2556" spans="1:1" x14ac:dyDescent="0.25">
      <c r="A2556" t="s">
        <v>4730</v>
      </c>
    </row>
    <row r="2557" spans="1:1" x14ac:dyDescent="0.25">
      <c r="A2557" t="s">
        <v>4731</v>
      </c>
    </row>
    <row r="2558" spans="1:1" x14ac:dyDescent="0.25">
      <c r="A2558" t="s">
        <v>4732</v>
      </c>
    </row>
    <row r="2559" spans="1:1" x14ac:dyDescent="0.25">
      <c r="A2559" t="s">
        <v>4733</v>
      </c>
    </row>
    <row r="2560" spans="1:1" x14ac:dyDescent="0.25">
      <c r="A2560" t="s">
        <v>4734</v>
      </c>
    </row>
    <row r="2561" spans="1:1" x14ac:dyDescent="0.25">
      <c r="A2561" t="s">
        <v>4735</v>
      </c>
    </row>
    <row r="2562" spans="1:1" x14ac:dyDescent="0.25">
      <c r="A2562" t="s">
        <v>4736</v>
      </c>
    </row>
    <row r="2563" spans="1:1" x14ac:dyDescent="0.25">
      <c r="A2563" t="s">
        <v>4737</v>
      </c>
    </row>
    <row r="2564" spans="1:1" x14ac:dyDescent="0.25">
      <c r="A2564" t="s">
        <v>4738</v>
      </c>
    </row>
    <row r="2565" spans="1:1" x14ac:dyDescent="0.25">
      <c r="A2565" t="s">
        <v>4739</v>
      </c>
    </row>
    <row r="2566" spans="1:1" x14ac:dyDescent="0.25">
      <c r="A2566" t="s">
        <v>4740</v>
      </c>
    </row>
    <row r="2567" spans="1:1" x14ac:dyDescent="0.25">
      <c r="A2567" t="s">
        <v>4741</v>
      </c>
    </row>
    <row r="2568" spans="1:1" x14ac:dyDescent="0.25">
      <c r="A2568" t="s">
        <v>4742</v>
      </c>
    </row>
    <row r="2569" spans="1:1" x14ac:dyDescent="0.25">
      <c r="A2569" t="s">
        <v>4743</v>
      </c>
    </row>
    <row r="2570" spans="1:1" x14ac:dyDescent="0.25">
      <c r="A2570" t="s">
        <v>4744</v>
      </c>
    </row>
    <row r="2571" spans="1:1" x14ac:dyDescent="0.25">
      <c r="A2571" t="s">
        <v>4745</v>
      </c>
    </row>
    <row r="2572" spans="1:1" x14ac:dyDescent="0.25">
      <c r="A2572" t="s">
        <v>4746</v>
      </c>
    </row>
    <row r="2573" spans="1:1" x14ac:dyDescent="0.25">
      <c r="A2573" t="s">
        <v>4747</v>
      </c>
    </row>
    <row r="2574" spans="1:1" x14ac:dyDescent="0.25">
      <c r="A2574" t="s">
        <v>4748</v>
      </c>
    </row>
    <row r="2575" spans="1:1" x14ac:dyDescent="0.25">
      <c r="A2575" t="s">
        <v>4749</v>
      </c>
    </row>
    <row r="2576" spans="1:1" x14ac:dyDescent="0.25">
      <c r="A2576" t="s">
        <v>4750</v>
      </c>
    </row>
    <row r="2577" spans="1:1" x14ac:dyDescent="0.25">
      <c r="A2577" t="s">
        <v>4751</v>
      </c>
    </row>
    <row r="2578" spans="1:1" x14ac:dyDescent="0.25">
      <c r="A2578" t="s">
        <v>4752</v>
      </c>
    </row>
    <row r="2579" spans="1:1" x14ac:dyDescent="0.25">
      <c r="A2579" t="s">
        <v>4753</v>
      </c>
    </row>
    <row r="2580" spans="1:1" x14ac:dyDescent="0.25">
      <c r="A2580" t="s">
        <v>4754</v>
      </c>
    </row>
    <row r="2581" spans="1:1" x14ac:dyDescent="0.25">
      <c r="A2581" t="s">
        <v>4755</v>
      </c>
    </row>
    <row r="2582" spans="1:1" x14ac:dyDescent="0.25">
      <c r="A2582" t="s">
        <v>4756</v>
      </c>
    </row>
    <row r="2583" spans="1:1" x14ac:dyDescent="0.25">
      <c r="A2583" t="s">
        <v>4757</v>
      </c>
    </row>
    <row r="2584" spans="1:1" x14ac:dyDescent="0.25">
      <c r="A2584" t="s">
        <v>4758</v>
      </c>
    </row>
    <row r="2585" spans="1:1" x14ac:dyDescent="0.25">
      <c r="A2585" t="s">
        <v>4759</v>
      </c>
    </row>
    <row r="2586" spans="1:1" x14ac:dyDescent="0.25">
      <c r="A2586" t="s">
        <v>4760</v>
      </c>
    </row>
    <row r="2587" spans="1:1" x14ac:dyDescent="0.25">
      <c r="A2587" t="s">
        <v>4761</v>
      </c>
    </row>
    <row r="2588" spans="1:1" x14ac:dyDescent="0.25">
      <c r="A2588" t="s">
        <v>4762</v>
      </c>
    </row>
    <row r="2589" spans="1:1" x14ac:dyDescent="0.25">
      <c r="A2589" t="s">
        <v>4763</v>
      </c>
    </row>
    <row r="2590" spans="1:1" x14ac:dyDescent="0.25">
      <c r="A2590" t="s">
        <v>4764</v>
      </c>
    </row>
    <row r="2591" spans="1:1" x14ac:dyDescent="0.25">
      <c r="A2591" t="s">
        <v>4765</v>
      </c>
    </row>
    <row r="2592" spans="1:1" x14ac:dyDescent="0.25">
      <c r="A2592" t="s">
        <v>4766</v>
      </c>
    </row>
    <row r="2593" spans="1:1" x14ac:dyDescent="0.25">
      <c r="A2593" t="s">
        <v>4767</v>
      </c>
    </row>
    <row r="2594" spans="1:1" x14ac:dyDescent="0.25">
      <c r="A2594" t="s">
        <v>4768</v>
      </c>
    </row>
    <row r="2595" spans="1:1" x14ac:dyDescent="0.25">
      <c r="A2595" t="s">
        <v>4769</v>
      </c>
    </row>
    <row r="2596" spans="1:1" x14ac:dyDescent="0.25">
      <c r="A2596" t="s">
        <v>4770</v>
      </c>
    </row>
    <row r="2597" spans="1:1" x14ac:dyDescent="0.25">
      <c r="A2597" t="s">
        <v>4771</v>
      </c>
    </row>
    <row r="2598" spans="1:1" x14ac:dyDescent="0.25">
      <c r="A2598" t="s">
        <v>4772</v>
      </c>
    </row>
    <row r="2599" spans="1:1" x14ac:dyDescent="0.25">
      <c r="A2599" t="s">
        <v>4773</v>
      </c>
    </row>
    <row r="2600" spans="1:1" x14ac:dyDescent="0.25">
      <c r="A2600" t="s">
        <v>4774</v>
      </c>
    </row>
    <row r="2601" spans="1:1" x14ac:dyDescent="0.25">
      <c r="A2601" t="s">
        <v>4775</v>
      </c>
    </row>
    <row r="2602" spans="1:1" x14ac:dyDescent="0.25">
      <c r="A2602" t="s">
        <v>4776</v>
      </c>
    </row>
    <row r="2603" spans="1:1" x14ac:dyDescent="0.25">
      <c r="A2603" t="s">
        <v>4777</v>
      </c>
    </row>
    <row r="2604" spans="1:1" x14ac:dyDescent="0.25">
      <c r="A2604" t="s">
        <v>4778</v>
      </c>
    </row>
    <row r="2605" spans="1:1" x14ac:dyDescent="0.25">
      <c r="A2605" t="s">
        <v>4779</v>
      </c>
    </row>
    <row r="2606" spans="1:1" x14ac:dyDescent="0.25">
      <c r="A2606" t="s">
        <v>4780</v>
      </c>
    </row>
    <row r="2607" spans="1:1" x14ac:dyDescent="0.25">
      <c r="A2607" t="s">
        <v>4781</v>
      </c>
    </row>
    <row r="2608" spans="1:1" x14ac:dyDescent="0.25">
      <c r="A2608" t="s">
        <v>4782</v>
      </c>
    </row>
    <row r="2609" spans="1:1" x14ac:dyDescent="0.25">
      <c r="A2609" t="s">
        <v>4783</v>
      </c>
    </row>
    <row r="2610" spans="1:1" x14ac:dyDescent="0.25">
      <c r="A2610" t="s">
        <v>4784</v>
      </c>
    </row>
    <row r="2611" spans="1:1" x14ac:dyDescent="0.25">
      <c r="A2611" t="s">
        <v>4785</v>
      </c>
    </row>
    <row r="2612" spans="1:1" x14ac:dyDescent="0.25">
      <c r="A2612" t="s">
        <v>4786</v>
      </c>
    </row>
    <row r="2613" spans="1:1" x14ac:dyDescent="0.25">
      <c r="A2613" t="s">
        <v>4787</v>
      </c>
    </row>
    <row r="2614" spans="1:1" x14ac:dyDescent="0.25">
      <c r="A2614" t="s">
        <v>4788</v>
      </c>
    </row>
    <row r="2615" spans="1:1" x14ac:dyDescent="0.25">
      <c r="A2615" t="s">
        <v>4789</v>
      </c>
    </row>
    <row r="2616" spans="1:1" x14ac:dyDescent="0.25">
      <c r="A2616" t="s">
        <v>4790</v>
      </c>
    </row>
    <row r="2617" spans="1:1" x14ac:dyDescent="0.25">
      <c r="A2617" t="s">
        <v>4791</v>
      </c>
    </row>
    <row r="2618" spans="1:1" x14ac:dyDescent="0.25">
      <c r="A2618" t="s">
        <v>4792</v>
      </c>
    </row>
    <row r="2619" spans="1:1" x14ac:dyDescent="0.25">
      <c r="A2619" t="s">
        <v>4793</v>
      </c>
    </row>
    <row r="2620" spans="1:1" x14ac:dyDescent="0.25">
      <c r="A2620" t="s">
        <v>4794</v>
      </c>
    </row>
    <row r="2621" spans="1:1" x14ac:dyDescent="0.25">
      <c r="A2621" t="s">
        <v>4795</v>
      </c>
    </row>
    <row r="2622" spans="1:1" x14ac:dyDescent="0.25">
      <c r="A2622" t="s">
        <v>4796</v>
      </c>
    </row>
    <row r="2623" spans="1:1" x14ac:dyDescent="0.25">
      <c r="A2623" t="s">
        <v>4797</v>
      </c>
    </row>
    <row r="2624" spans="1:1" x14ac:dyDescent="0.25">
      <c r="A2624" t="s">
        <v>4798</v>
      </c>
    </row>
    <row r="2625" spans="1:1" x14ac:dyDescent="0.25">
      <c r="A2625" t="s">
        <v>4799</v>
      </c>
    </row>
    <row r="2626" spans="1:1" x14ac:dyDescent="0.25">
      <c r="A2626" t="s">
        <v>4800</v>
      </c>
    </row>
    <row r="2627" spans="1:1" x14ac:dyDescent="0.25">
      <c r="A2627" t="s">
        <v>4801</v>
      </c>
    </row>
    <row r="2628" spans="1:1" x14ac:dyDescent="0.25">
      <c r="A2628" t="s">
        <v>4802</v>
      </c>
    </row>
    <row r="2629" spans="1:1" x14ac:dyDescent="0.25">
      <c r="A2629" t="s">
        <v>4803</v>
      </c>
    </row>
    <row r="2630" spans="1:1" x14ac:dyDescent="0.25">
      <c r="A2630" t="s">
        <v>4804</v>
      </c>
    </row>
    <row r="2631" spans="1:1" x14ac:dyDescent="0.25">
      <c r="A2631" t="s">
        <v>4805</v>
      </c>
    </row>
    <row r="2632" spans="1:1" x14ac:dyDescent="0.25">
      <c r="A2632" t="s">
        <v>4806</v>
      </c>
    </row>
    <row r="2633" spans="1:1" x14ac:dyDescent="0.25">
      <c r="A2633" t="s">
        <v>4807</v>
      </c>
    </row>
    <row r="2634" spans="1:1" x14ac:dyDescent="0.25">
      <c r="A2634" t="s">
        <v>4808</v>
      </c>
    </row>
    <row r="2635" spans="1:1" x14ac:dyDescent="0.25">
      <c r="A2635" t="s">
        <v>4809</v>
      </c>
    </row>
    <row r="2636" spans="1:1" x14ac:dyDescent="0.25">
      <c r="A2636" t="s">
        <v>4810</v>
      </c>
    </row>
    <row r="2637" spans="1:1" x14ac:dyDescent="0.25">
      <c r="A2637" t="s">
        <v>4811</v>
      </c>
    </row>
    <row r="2638" spans="1:1" x14ac:dyDescent="0.25">
      <c r="A2638" t="s">
        <v>4812</v>
      </c>
    </row>
    <row r="2639" spans="1:1" x14ac:dyDescent="0.25">
      <c r="A2639" t="s">
        <v>4813</v>
      </c>
    </row>
    <row r="2640" spans="1:1" x14ac:dyDescent="0.25">
      <c r="A2640" t="s">
        <v>4814</v>
      </c>
    </row>
    <row r="2641" spans="1:1" x14ac:dyDescent="0.25">
      <c r="A2641" t="s">
        <v>4815</v>
      </c>
    </row>
    <row r="2642" spans="1:1" x14ac:dyDescent="0.25">
      <c r="A2642" t="s">
        <v>4816</v>
      </c>
    </row>
    <row r="2643" spans="1:1" x14ac:dyDescent="0.25">
      <c r="A2643" t="s">
        <v>4817</v>
      </c>
    </row>
    <row r="2644" spans="1:1" x14ac:dyDescent="0.25">
      <c r="A2644" t="s">
        <v>4818</v>
      </c>
    </row>
    <row r="2645" spans="1:1" x14ac:dyDescent="0.25">
      <c r="A2645" t="s">
        <v>4819</v>
      </c>
    </row>
    <row r="2646" spans="1:1" x14ac:dyDescent="0.25">
      <c r="A2646" t="s">
        <v>4820</v>
      </c>
    </row>
    <row r="2647" spans="1:1" x14ac:dyDescent="0.25">
      <c r="A2647" t="s">
        <v>4821</v>
      </c>
    </row>
    <row r="2648" spans="1:1" x14ac:dyDescent="0.25">
      <c r="A2648" t="s">
        <v>4822</v>
      </c>
    </row>
    <row r="2649" spans="1:1" x14ac:dyDescent="0.25">
      <c r="A2649" t="s">
        <v>4823</v>
      </c>
    </row>
    <row r="2650" spans="1:1" x14ac:dyDescent="0.25">
      <c r="A2650" t="s">
        <v>4824</v>
      </c>
    </row>
    <row r="2651" spans="1:1" x14ac:dyDescent="0.25">
      <c r="A2651" t="s">
        <v>4825</v>
      </c>
    </row>
    <row r="2652" spans="1:1" x14ac:dyDescent="0.25">
      <c r="A2652" t="s">
        <v>4826</v>
      </c>
    </row>
    <row r="2653" spans="1:1" x14ac:dyDescent="0.25">
      <c r="A2653" t="s">
        <v>4827</v>
      </c>
    </row>
    <row r="2654" spans="1:1" x14ac:dyDescent="0.25">
      <c r="A2654" t="s">
        <v>4828</v>
      </c>
    </row>
    <row r="2655" spans="1:1" x14ac:dyDescent="0.25">
      <c r="A2655" t="s">
        <v>4829</v>
      </c>
    </row>
    <row r="2656" spans="1:1" x14ac:dyDescent="0.25">
      <c r="A2656" t="s">
        <v>4830</v>
      </c>
    </row>
    <row r="2657" spans="1:1" x14ac:dyDescent="0.25">
      <c r="A2657" t="s">
        <v>4831</v>
      </c>
    </row>
    <row r="2658" spans="1:1" x14ac:dyDescent="0.25">
      <c r="A2658" t="s">
        <v>4832</v>
      </c>
    </row>
    <row r="2659" spans="1:1" x14ac:dyDescent="0.25">
      <c r="A2659" t="s">
        <v>4833</v>
      </c>
    </row>
    <row r="2660" spans="1:1" x14ac:dyDescent="0.25">
      <c r="A2660" t="s">
        <v>4834</v>
      </c>
    </row>
    <row r="2661" spans="1:1" x14ac:dyDescent="0.25">
      <c r="A2661" t="s">
        <v>4835</v>
      </c>
    </row>
    <row r="2662" spans="1:1" x14ac:dyDescent="0.25">
      <c r="A2662" t="s">
        <v>4836</v>
      </c>
    </row>
    <row r="2663" spans="1:1" x14ac:dyDescent="0.25">
      <c r="A2663" t="s">
        <v>4837</v>
      </c>
    </row>
    <row r="2664" spans="1:1" x14ac:dyDescent="0.25">
      <c r="A2664" t="s">
        <v>4838</v>
      </c>
    </row>
    <row r="2665" spans="1:1" x14ac:dyDescent="0.25">
      <c r="A2665" t="s">
        <v>4839</v>
      </c>
    </row>
    <row r="2666" spans="1:1" x14ac:dyDescent="0.25">
      <c r="A2666" t="s">
        <v>4840</v>
      </c>
    </row>
    <row r="2667" spans="1:1" x14ac:dyDescent="0.25">
      <c r="A2667" t="s">
        <v>4841</v>
      </c>
    </row>
    <row r="2668" spans="1:1" x14ac:dyDescent="0.25">
      <c r="A2668" t="s">
        <v>4842</v>
      </c>
    </row>
    <row r="2669" spans="1:1" x14ac:dyDescent="0.25">
      <c r="A2669" t="s">
        <v>4843</v>
      </c>
    </row>
    <row r="2670" spans="1:1" x14ac:dyDescent="0.25">
      <c r="A2670" t="s">
        <v>4844</v>
      </c>
    </row>
    <row r="2671" spans="1:1" x14ac:dyDescent="0.25">
      <c r="A2671" t="s">
        <v>4845</v>
      </c>
    </row>
    <row r="2672" spans="1:1" x14ac:dyDescent="0.25">
      <c r="A2672" t="s">
        <v>4846</v>
      </c>
    </row>
    <row r="2673" spans="1:1" x14ac:dyDescent="0.25">
      <c r="A2673" t="s">
        <v>4847</v>
      </c>
    </row>
    <row r="2674" spans="1:1" x14ac:dyDescent="0.25">
      <c r="A2674" t="s">
        <v>4848</v>
      </c>
    </row>
    <row r="2675" spans="1:1" x14ac:dyDescent="0.25">
      <c r="A2675" t="s">
        <v>4849</v>
      </c>
    </row>
    <row r="2676" spans="1:1" x14ac:dyDescent="0.25">
      <c r="A2676" t="s">
        <v>4850</v>
      </c>
    </row>
    <row r="2677" spans="1:1" x14ac:dyDescent="0.25">
      <c r="A2677" t="s">
        <v>4851</v>
      </c>
    </row>
    <row r="2678" spans="1:1" x14ac:dyDescent="0.25">
      <c r="A2678" t="s">
        <v>4852</v>
      </c>
    </row>
    <row r="2679" spans="1:1" x14ac:dyDescent="0.25">
      <c r="A2679" t="s">
        <v>4853</v>
      </c>
    </row>
    <row r="2680" spans="1:1" x14ac:dyDescent="0.25">
      <c r="A2680" t="s">
        <v>4854</v>
      </c>
    </row>
    <row r="2681" spans="1:1" x14ac:dyDescent="0.25">
      <c r="A2681" t="s">
        <v>4855</v>
      </c>
    </row>
    <row r="2682" spans="1:1" x14ac:dyDescent="0.25">
      <c r="A2682" t="s">
        <v>4856</v>
      </c>
    </row>
    <row r="2683" spans="1:1" x14ac:dyDescent="0.25">
      <c r="A2683" t="s">
        <v>4857</v>
      </c>
    </row>
    <row r="2684" spans="1:1" x14ac:dyDescent="0.25">
      <c r="A2684" t="s">
        <v>4858</v>
      </c>
    </row>
    <row r="2685" spans="1:1" x14ac:dyDescent="0.25">
      <c r="A2685" t="s">
        <v>4859</v>
      </c>
    </row>
    <row r="2686" spans="1:1" x14ac:dyDescent="0.25">
      <c r="A2686" t="s">
        <v>4860</v>
      </c>
    </row>
    <row r="2687" spans="1:1" x14ac:dyDescent="0.25">
      <c r="A2687" t="s">
        <v>4861</v>
      </c>
    </row>
    <row r="2688" spans="1:1" x14ac:dyDescent="0.25">
      <c r="A2688" t="s">
        <v>4862</v>
      </c>
    </row>
    <row r="2689" spans="1:1" x14ac:dyDescent="0.25">
      <c r="A2689" t="s">
        <v>4863</v>
      </c>
    </row>
    <row r="2690" spans="1:1" x14ac:dyDescent="0.25">
      <c r="A2690" t="s">
        <v>4864</v>
      </c>
    </row>
    <row r="2691" spans="1:1" x14ac:dyDescent="0.25">
      <c r="A2691" t="s">
        <v>4865</v>
      </c>
    </row>
    <row r="2692" spans="1:1" x14ac:dyDescent="0.25">
      <c r="A2692" t="s">
        <v>4866</v>
      </c>
    </row>
    <row r="2693" spans="1:1" x14ac:dyDescent="0.25">
      <c r="A2693" t="s">
        <v>4867</v>
      </c>
    </row>
    <row r="2694" spans="1:1" x14ac:dyDescent="0.25">
      <c r="A2694" t="s">
        <v>4868</v>
      </c>
    </row>
    <row r="2695" spans="1:1" x14ac:dyDescent="0.25">
      <c r="A2695" t="s">
        <v>4869</v>
      </c>
    </row>
    <row r="2696" spans="1:1" x14ac:dyDescent="0.25">
      <c r="A2696" t="s">
        <v>4870</v>
      </c>
    </row>
    <row r="2697" spans="1:1" x14ac:dyDescent="0.25">
      <c r="A2697" t="s">
        <v>4871</v>
      </c>
    </row>
    <row r="2698" spans="1:1" x14ac:dyDescent="0.25">
      <c r="A2698" t="s">
        <v>4872</v>
      </c>
    </row>
    <row r="2699" spans="1:1" x14ac:dyDescent="0.25">
      <c r="A2699" t="s">
        <v>4873</v>
      </c>
    </row>
    <row r="2700" spans="1:1" x14ac:dyDescent="0.25">
      <c r="A2700" t="s">
        <v>4874</v>
      </c>
    </row>
    <row r="2701" spans="1:1" x14ac:dyDescent="0.25">
      <c r="A2701" t="s">
        <v>4875</v>
      </c>
    </row>
    <row r="2702" spans="1:1" x14ac:dyDescent="0.25">
      <c r="A2702" t="s">
        <v>4876</v>
      </c>
    </row>
    <row r="2703" spans="1:1" x14ac:dyDescent="0.25">
      <c r="A2703" t="s">
        <v>4877</v>
      </c>
    </row>
    <row r="2704" spans="1:1" x14ac:dyDescent="0.25">
      <c r="A2704" t="s">
        <v>4878</v>
      </c>
    </row>
    <row r="2705" spans="1:1" x14ac:dyDescent="0.25">
      <c r="A2705" t="s">
        <v>4879</v>
      </c>
    </row>
    <row r="2706" spans="1:1" x14ac:dyDescent="0.25">
      <c r="A2706" t="s">
        <v>4880</v>
      </c>
    </row>
    <row r="2707" spans="1:1" x14ac:dyDescent="0.25">
      <c r="A2707" t="s">
        <v>4881</v>
      </c>
    </row>
    <row r="2708" spans="1:1" x14ac:dyDescent="0.25">
      <c r="A2708" t="s">
        <v>4882</v>
      </c>
    </row>
    <row r="2709" spans="1:1" x14ac:dyDescent="0.25">
      <c r="A2709" t="s">
        <v>4883</v>
      </c>
    </row>
    <row r="2710" spans="1:1" x14ac:dyDescent="0.25">
      <c r="A2710" t="s">
        <v>4884</v>
      </c>
    </row>
    <row r="2711" spans="1:1" x14ac:dyDescent="0.25">
      <c r="A2711" t="s">
        <v>4885</v>
      </c>
    </row>
    <row r="2712" spans="1:1" x14ac:dyDescent="0.25">
      <c r="A2712" t="s">
        <v>4886</v>
      </c>
    </row>
    <row r="2713" spans="1:1" x14ac:dyDescent="0.25">
      <c r="A2713" t="s">
        <v>4887</v>
      </c>
    </row>
    <row r="2714" spans="1:1" x14ac:dyDescent="0.25">
      <c r="A2714" t="s">
        <v>4888</v>
      </c>
    </row>
    <row r="2715" spans="1:1" x14ac:dyDescent="0.25">
      <c r="A2715" t="s">
        <v>4889</v>
      </c>
    </row>
    <row r="2716" spans="1:1" x14ac:dyDescent="0.25">
      <c r="A2716" t="s">
        <v>4890</v>
      </c>
    </row>
    <row r="2717" spans="1:1" x14ac:dyDescent="0.25">
      <c r="A2717" t="s">
        <v>4891</v>
      </c>
    </row>
    <row r="2718" spans="1:1" x14ac:dyDescent="0.25">
      <c r="A2718" t="s">
        <v>4892</v>
      </c>
    </row>
    <row r="2719" spans="1:1" x14ac:dyDescent="0.25">
      <c r="A2719" t="s">
        <v>4893</v>
      </c>
    </row>
    <row r="2720" spans="1:1" x14ac:dyDescent="0.25">
      <c r="A2720" t="s">
        <v>4894</v>
      </c>
    </row>
    <row r="2721" spans="1:1" x14ac:dyDescent="0.25">
      <c r="A2721" t="s">
        <v>4895</v>
      </c>
    </row>
    <row r="2722" spans="1:1" x14ac:dyDescent="0.25">
      <c r="A2722" t="s">
        <v>4896</v>
      </c>
    </row>
    <row r="2723" spans="1:1" x14ac:dyDescent="0.25">
      <c r="A2723" t="s">
        <v>4897</v>
      </c>
    </row>
    <row r="2724" spans="1:1" x14ac:dyDescent="0.25">
      <c r="A2724" t="s">
        <v>4898</v>
      </c>
    </row>
    <row r="2725" spans="1:1" x14ac:dyDescent="0.25">
      <c r="A2725" t="s">
        <v>4899</v>
      </c>
    </row>
    <row r="2726" spans="1:1" x14ac:dyDescent="0.25">
      <c r="A2726" t="s">
        <v>4900</v>
      </c>
    </row>
    <row r="2727" spans="1:1" x14ac:dyDescent="0.25">
      <c r="A2727" t="s">
        <v>4901</v>
      </c>
    </row>
    <row r="2728" spans="1:1" x14ac:dyDescent="0.25">
      <c r="A2728" t="s">
        <v>4902</v>
      </c>
    </row>
    <row r="2729" spans="1:1" x14ac:dyDescent="0.25">
      <c r="A2729" t="s">
        <v>4903</v>
      </c>
    </row>
    <row r="2730" spans="1:1" x14ac:dyDescent="0.25">
      <c r="A2730" t="s">
        <v>4904</v>
      </c>
    </row>
    <row r="2731" spans="1:1" x14ac:dyDescent="0.25">
      <c r="A2731" t="s">
        <v>4905</v>
      </c>
    </row>
    <row r="2732" spans="1:1" x14ac:dyDescent="0.25">
      <c r="A2732" t="s">
        <v>4906</v>
      </c>
    </row>
    <row r="2733" spans="1:1" x14ac:dyDescent="0.25">
      <c r="A2733" t="s">
        <v>4907</v>
      </c>
    </row>
    <row r="2734" spans="1:1" x14ac:dyDescent="0.25">
      <c r="A2734" t="s">
        <v>4908</v>
      </c>
    </row>
    <row r="2735" spans="1:1" x14ac:dyDescent="0.25">
      <c r="A2735" t="s">
        <v>4909</v>
      </c>
    </row>
    <row r="2736" spans="1:1" x14ac:dyDescent="0.25">
      <c r="A2736" t="s">
        <v>4910</v>
      </c>
    </row>
    <row r="2737" spans="1:1" x14ac:dyDescent="0.25">
      <c r="A2737" t="s">
        <v>4911</v>
      </c>
    </row>
    <row r="2738" spans="1:1" x14ac:dyDescent="0.25">
      <c r="A2738" t="s">
        <v>4912</v>
      </c>
    </row>
    <row r="2739" spans="1:1" x14ac:dyDescent="0.25">
      <c r="A2739" t="s">
        <v>4913</v>
      </c>
    </row>
    <row r="2740" spans="1:1" x14ac:dyDescent="0.25">
      <c r="A2740" t="s">
        <v>4914</v>
      </c>
    </row>
    <row r="2741" spans="1:1" x14ac:dyDescent="0.25">
      <c r="A2741" t="s">
        <v>4915</v>
      </c>
    </row>
    <row r="2742" spans="1:1" x14ac:dyDescent="0.25">
      <c r="A2742" t="s">
        <v>4916</v>
      </c>
    </row>
    <row r="2743" spans="1:1" x14ac:dyDescent="0.25">
      <c r="A2743" t="s">
        <v>4917</v>
      </c>
    </row>
    <row r="2744" spans="1:1" x14ac:dyDescent="0.25">
      <c r="A2744" t="s">
        <v>4918</v>
      </c>
    </row>
    <row r="2745" spans="1:1" x14ac:dyDescent="0.25">
      <c r="A2745" t="s">
        <v>4919</v>
      </c>
    </row>
    <row r="2746" spans="1:1" x14ac:dyDescent="0.25">
      <c r="A2746" t="s">
        <v>4920</v>
      </c>
    </row>
    <row r="2747" spans="1:1" x14ac:dyDescent="0.25">
      <c r="A2747" t="s">
        <v>4921</v>
      </c>
    </row>
    <row r="2748" spans="1:1" x14ac:dyDescent="0.25">
      <c r="A2748" t="s">
        <v>4922</v>
      </c>
    </row>
    <row r="2749" spans="1:1" x14ac:dyDescent="0.25">
      <c r="A2749" t="s">
        <v>4923</v>
      </c>
    </row>
    <row r="2750" spans="1:1" x14ac:dyDescent="0.25">
      <c r="A2750" t="s">
        <v>4924</v>
      </c>
    </row>
    <row r="2751" spans="1:1" x14ac:dyDescent="0.25">
      <c r="A2751" t="s">
        <v>4925</v>
      </c>
    </row>
    <row r="2752" spans="1:1" x14ac:dyDescent="0.25">
      <c r="A2752" t="s">
        <v>4926</v>
      </c>
    </row>
    <row r="2753" spans="1:1" x14ac:dyDescent="0.25">
      <c r="A2753" t="s">
        <v>4927</v>
      </c>
    </row>
    <row r="2754" spans="1:1" x14ac:dyDescent="0.25">
      <c r="A2754" t="s">
        <v>4928</v>
      </c>
    </row>
    <row r="2755" spans="1:1" x14ac:dyDescent="0.25">
      <c r="A2755" t="s">
        <v>4929</v>
      </c>
    </row>
    <row r="2756" spans="1:1" x14ac:dyDescent="0.25">
      <c r="A2756" t="s">
        <v>4930</v>
      </c>
    </row>
    <row r="2757" spans="1:1" x14ac:dyDescent="0.25">
      <c r="A2757" t="s">
        <v>4931</v>
      </c>
    </row>
    <row r="2758" spans="1:1" x14ac:dyDescent="0.25">
      <c r="A2758" t="s">
        <v>4932</v>
      </c>
    </row>
    <row r="2759" spans="1:1" x14ac:dyDescent="0.25">
      <c r="A2759" t="s">
        <v>4933</v>
      </c>
    </row>
    <row r="2760" spans="1:1" x14ac:dyDescent="0.25">
      <c r="A2760" t="s">
        <v>4934</v>
      </c>
    </row>
    <row r="2761" spans="1:1" x14ac:dyDescent="0.25">
      <c r="A2761" t="s">
        <v>4935</v>
      </c>
    </row>
    <row r="2762" spans="1:1" x14ac:dyDescent="0.25">
      <c r="A2762" t="s">
        <v>4936</v>
      </c>
    </row>
    <row r="2763" spans="1:1" x14ac:dyDescent="0.25">
      <c r="A2763" t="s">
        <v>4937</v>
      </c>
    </row>
    <row r="2764" spans="1:1" x14ac:dyDescent="0.25">
      <c r="A2764" t="s">
        <v>4938</v>
      </c>
    </row>
    <row r="2765" spans="1:1" x14ac:dyDescent="0.25">
      <c r="A2765" t="s">
        <v>4939</v>
      </c>
    </row>
    <row r="2766" spans="1:1" x14ac:dyDescent="0.25">
      <c r="A2766" t="s">
        <v>4940</v>
      </c>
    </row>
    <row r="2767" spans="1:1" x14ac:dyDescent="0.25">
      <c r="A2767" t="s">
        <v>4941</v>
      </c>
    </row>
    <row r="2768" spans="1:1" x14ac:dyDescent="0.25">
      <c r="A2768" t="s">
        <v>4942</v>
      </c>
    </row>
    <row r="2769" spans="1:1" x14ac:dyDescent="0.25">
      <c r="A2769" t="s">
        <v>4943</v>
      </c>
    </row>
    <row r="2770" spans="1:1" x14ac:dyDescent="0.25">
      <c r="A2770" t="s">
        <v>4944</v>
      </c>
    </row>
    <row r="2771" spans="1:1" x14ac:dyDescent="0.25">
      <c r="A2771" t="s">
        <v>4945</v>
      </c>
    </row>
    <row r="2772" spans="1:1" x14ac:dyDescent="0.25">
      <c r="A2772" t="s">
        <v>4946</v>
      </c>
    </row>
    <row r="2773" spans="1:1" x14ac:dyDescent="0.25">
      <c r="A2773" t="s">
        <v>4947</v>
      </c>
    </row>
    <row r="2774" spans="1:1" x14ac:dyDescent="0.25">
      <c r="A2774" t="s">
        <v>4948</v>
      </c>
    </row>
    <row r="2775" spans="1:1" x14ac:dyDescent="0.25">
      <c r="A2775" t="s">
        <v>4949</v>
      </c>
    </row>
    <row r="2776" spans="1:1" x14ac:dyDescent="0.25">
      <c r="A2776" t="s">
        <v>4950</v>
      </c>
    </row>
    <row r="2777" spans="1:1" x14ac:dyDescent="0.25">
      <c r="A2777" t="s">
        <v>4951</v>
      </c>
    </row>
    <row r="2778" spans="1:1" x14ac:dyDescent="0.25">
      <c r="A2778" t="s">
        <v>4952</v>
      </c>
    </row>
    <row r="2779" spans="1:1" x14ac:dyDescent="0.25">
      <c r="A2779" t="s">
        <v>4953</v>
      </c>
    </row>
    <row r="2780" spans="1:1" x14ac:dyDescent="0.25">
      <c r="A2780" t="s">
        <v>4954</v>
      </c>
    </row>
    <row r="2781" spans="1:1" x14ac:dyDescent="0.25">
      <c r="A2781" t="s">
        <v>4955</v>
      </c>
    </row>
    <row r="2782" spans="1:1" x14ac:dyDescent="0.25">
      <c r="A2782" t="s">
        <v>4956</v>
      </c>
    </row>
    <row r="2783" spans="1:1" x14ac:dyDescent="0.25">
      <c r="A2783" t="s">
        <v>4957</v>
      </c>
    </row>
    <row r="2784" spans="1:1" x14ac:dyDescent="0.25">
      <c r="A2784" t="s">
        <v>4958</v>
      </c>
    </row>
    <row r="2785" spans="1:1" x14ac:dyDescent="0.25">
      <c r="A2785" t="s">
        <v>4959</v>
      </c>
    </row>
    <row r="2786" spans="1:1" x14ac:dyDescent="0.25">
      <c r="A2786" t="s">
        <v>4960</v>
      </c>
    </row>
    <row r="2787" spans="1:1" x14ac:dyDescent="0.25">
      <c r="A2787" t="s">
        <v>4961</v>
      </c>
    </row>
    <row r="2788" spans="1:1" x14ac:dyDescent="0.25">
      <c r="A2788" t="s">
        <v>4962</v>
      </c>
    </row>
    <row r="2789" spans="1:1" x14ac:dyDescent="0.25">
      <c r="A2789" t="s">
        <v>4963</v>
      </c>
    </row>
    <row r="2790" spans="1:1" x14ac:dyDescent="0.25">
      <c r="A2790" t="s">
        <v>4964</v>
      </c>
    </row>
    <row r="2791" spans="1:1" x14ac:dyDescent="0.25">
      <c r="A2791" t="s">
        <v>4965</v>
      </c>
    </row>
    <row r="2792" spans="1:1" x14ac:dyDescent="0.25">
      <c r="A2792" t="s">
        <v>4966</v>
      </c>
    </row>
    <row r="2793" spans="1:1" x14ac:dyDescent="0.25">
      <c r="A2793" t="s">
        <v>4967</v>
      </c>
    </row>
    <row r="2794" spans="1:1" x14ac:dyDescent="0.25">
      <c r="A2794" t="s">
        <v>4968</v>
      </c>
    </row>
    <row r="2795" spans="1:1" x14ac:dyDescent="0.25">
      <c r="A2795" t="s">
        <v>4969</v>
      </c>
    </row>
    <row r="2796" spans="1:1" x14ac:dyDescent="0.25">
      <c r="A2796" t="s">
        <v>4970</v>
      </c>
    </row>
    <row r="2797" spans="1:1" x14ac:dyDescent="0.25">
      <c r="A2797" t="s">
        <v>4971</v>
      </c>
    </row>
    <row r="2798" spans="1:1" x14ac:dyDescent="0.25">
      <c r="A2798" t="s">
        <v>4972</v>
      </c>
    </row>
    <row r="2799" spans="1:1" x14ac:dyDescent="0.25">
      <c r="A2799" t="s">
        <v>4973</v>
      </c>
    </row>
    <row r="2800" spans="1:1" x14ac:dyDescent="0.25">
      <c r="A2800" t="s">
        <v>4974</v>
      </c>
    </row>
    <row r="2801" spans="1:1" x14ac:dyDescent="0.25">
      <c r="A2801" t="s">
        <v>4975</v>
      </c>
    </row>
    <row r="2802" spans="1:1" x14ac:dyDescent="0.25">
      <c r="A2802" t="s">
        <v>4976</v>
      </c>
    </row>
    <row r="2803" spans="1:1" x14ac:dyDescent="0.25">
      <c r="A2803" t="s">
        <v>4977</v>
      </c>
    </row>
    <row r="2804" spans="1:1" x14ac:dyDescent="0.25">
      <c r="A2804" t="s">
        <v>4978</v>
      </c>
    </row>
    <row r="2805" spans="1:1" x14ac:dyDescent="0.25">
      <c r="A2805" t="s">
        <v>4979</v>
      </c>
    </row>
    <row r="2806" spans="1:1" x14ac:dyDescent="0.25">
      <c r="A2806" t="s">
        <v>4980</v>
      </c>
    </row>
    <row r="2807" spans="1:1" x14ac:dyDescent="0.25">
      <c r="A2807" t="s">
        <v>4981</v>
      </c>
    </row>
    <row r="2808" spans="1:1" x14ac:dyDescent="0.25">
      <c r="A2808" t="s">
        <v>4982</v>
      </c>
    </row>
    <row r="2809" spans="1:1" x14ac:dyDescent="0.25">
      <c r="A2809" t="s">
        <v>4983</v>
      </c>
    </row>
    <row r="2810" spans="1:1" x14ac:dyDescent="0.25">
      <c r="A2810" t="s">
        <v>4984</v>
      </c>
    </row>
    <row r="2811" spans="1:1" x14ac:dyDescent="0.25">
      <c r="A2811" t="s">
        <v>4985</v>
      </c>
    </row>
    <row r="2812" spans="1:1" x14ac:dyDescent="0.25">
      <c r="A2812" t="s">
        <v>4986</v>
      </c>
    </row>
    <row r="2813" spans="1:1" x14ac:dyDescent="0.25">
      <c r="A2813" t="s">
        <v>4987</v>
      </c>
    </row>
    <row r="2814" spans="1:1" x14ac:dyDescent="0.25">
      <c r="A2814" t="s">
        <v>4988</v>
      </c>
    </row>
    <row r="2815" spans="1:1" x14ac:dyDescent="0.25">
      <c r="A2815" t="s">
        <v>4989</v>
      </c>
    </row>
    <row r="2816" spans="1:1" x14ac:dyDescent="0.25">
      <c r="A2816" t="s">
        <v>4990</v>
      </c>
    </row>
    <row r="2817" spans="1:1" x14ac:dyDescent="0.25">
      <c r="A2817" t="s">
        <v>4991</v>
      </c>
    </row>
    <row r="2818" spans="1:1" x14ac:dyDescent="0.25">
      <c r="A2818" t="s">
        <v>4992</v>
      </c>
    </row>
    <row r="2819" spans="1:1" x14ac:dyDescent="0.25">
      <c r="A2819" t="s">
        <v>4993</v>
      </c>
    </row>
    <row r="2820" spans="1:1" x14ac:dyDescent="0.25">
      <c r="A2820" t="s">
        <v>4994</v>
      </c>
    </row>
    <row r="2821" spans="1:1" x14ac:dyDescent="0.25">
      <c r="A2821" t="s">
        <v>4995</v>
      </c>
    </row>
    <row r="2822" spans="1:1" x14ac:dyDescent="0.25">
      <c r="A2822" t="s">
        <v>4996</v>
      </c>
    </row>
    <row r="2823" spans="1:1" x14ac:dyDescent="0.25">
      <c r="A2823" t="s">
        <v>4997</v>
      </c>
    </row>
    <row r="2824" spans="1:1" x14ac:dyDescent="0.25">
      <c r="A2824" t="s">
        <v>4998</v>
      </c>
    </row>
    <row r="2825" spans="1:1" x14ac:dyDescent="0.25">
      <c r="A2825" t="s">
        <v>4999</v>
      </c>
    </row>
    <row r="2826" spans="1:1" x14ac:dyDescent="0.25">
      <c r="A2826" t="s">
        <v>5000</v>
      </c>
    </row>
    <row r="2827" spans="1:1" x14ac:dyDescent="0.25">
      <c r="A2827" t="s">
        <v>5001</v>
      </c>
    </row>
    <row r="2828" spans="1:1" x14ac:dyDescent="0.25">
      <c r="A2828" t="s">
        <v>5002</v>
      </c>
    </row>
    <row r="2829" spans="1:1" x14ac:dyDescent="0.25">
      <c r="A2829" t="s">
        <v>5003</v>
      </c>
    </row>
    <row r="2830" spans="1:1" x14ac:dyDescent="0.25">
      <c r="A2830" t="s">
        <v>5004</v>
      </c>
    </row>
    <row r="2831" spans="1:1" x14ac:dyDescent="0.25">
      <c r="A2831" t="s">
        <v>5005</v>
      </c>
    </row>
    <row r="2832" spans="1:1" x14ac:dyDescent="0.25">
      <c r="A2832" t="s">
        <v>5006</v>
      </c>
    </row>
    <row r="2833" spans="1:1" x14ac:dyDescent="0.25">
      <c r="A2833" t="s">
        <v>5007</v>
      </c>
    </row>
    <row r="2834" spans="1:1" x14ac:dyDescent="0.25">
      <c r="A2834" t="s">
        <v>5008</v>
      </c>
    </row>
    <row r="2835" spans="1:1" x14ac:dyDescent="0.25">
      <c r="A2835" t="s">
        <v>5009</v>
      </c>
    </row>
    <row r="2836" spans="1:1" x14ac:dyDescent="0.25">
      <c r="A2836" t="s">
        <v>5010</v>
      </c>
    </row>
    <row r="2837" spans="1:1" x14ac:dyDescent="0.25">
      <c r="A2837" t="s">
        <v>5011</v>
      </c>
    </row>
    <row r="2838" spans="1:1" x14ac:dyDescent="0.25">
      <c r="A2838" t="s">
        <v>5012</v>
      </c>
    </row>
    <row r="2839" spans="1:1" x14ac:dyDescent="0.25">
      <c r="A2839" t="s">
        <v>5013</v>
      </c>
    </row>
    <row r="2840" spans="1:1" x14ac:dyDescent="0.25">
      <c r="A2840" t="s">
        <v>5014</v>
      </c>
    </row>
    <row r="2841" spans="1:1" x14ac:dyDescent="0.25">
      <c r="A2841" t="s">
        <v>5015</v>
      </c>
    </row>
    <row r="2842" spans="1:1" x14ac:dyDescent="0.25">
      <c r="A2842" t="s">
        <v>5016</v>
      </c>
    </row>
    <row r="2843" spans="1:1" x14ac:dyDescent="0.25">
      <c r="A2843" t="s">
        <v>5017</v>
      </c>
    </row>
    <row r="2844" spans="1:1" x14ac:dyDescent="0.25">
      <c r="A2844" t="s">
        <v>5018</v>
      </c>
    </row>
    <row r="2845" spans="1:1" x14ac:dyDescent="0.25">
      <c r="A2845" t="s">
        <v>5019</v>
      </c>
    </row>
    <row r="2846" spans="1:1" x14ac:dyDescent="0.25">
      <c r="A2846" t="s">
        <v>5020</v>
      </c>
    </row>
    <row r="2847" spans="1:1" x14ac:dyDescent="0.25">
      <c r="A2847" t="s">
        <v>5021</v>
      </c>
    </row>
    <row r="2848" spans="1:1" x14ac:dyDescent="0.25">
      <c r="A2848" t="s">
        <v>5022</v>
      </c>
    </row>
    <row r="2849" spans="1:1" x14ac:dyDescent="0.25">
      <c r="A2849" t="s">
        <v>5023</v>
      </c>
    </row>
    <row r="2850" spans="1:1" x14ac:dyDescent="0.25">
      <c r="A2850" t="s">
        <v>5024</v>
      </c>
    </row>
    <row r="2851" spans="1:1" x14ac:dyDescent="0.25">
      <c r="A2851" t="s">
        <v>5025</v>
      </c>
    </row>
    <row r="2852" spans="1:1" x14ac:dyDescent="0.25">
      <c r="A2852" t="s">
        <v>5026</v>
      </c>
    </row>
    <row r="2853" spans="1:1" x14ac:dyDescent="0.25">
      <c r="A2853" t="s">
        <v>5027</v>
      </c>
    </row>
    <row r="2854" spans="1:1" x14ac:dyDescent="0.25">
      <c r="A2854" t="s">
        <v>5028</v>
      </c>
    </row>
    <row r="2855" spans="1:1" x14ac:dyDescent="0.25">
      <c r="A2855" t="s">
        <v>5029</v>
      </c>
    </row>
    <row r="2856" spans="1:1" x14ac:dyDescent="0.25">
      <c r="A2856" t="s">
        <v>5030</v>
      </c>
    </row>
    <row r="2857" spans="1:1" x14ac:dyDescent="0.25">
      <c r="A2857" t="s">
        <v>5031</v>
      </c>
    </row>
    <row r="2858" spans="1:1" x14ac:dyDescent="0.25">
      <c r="A2858" t="s">
        <v>5032</v>
      </c>
    </row>
    <row r="2859" spans="1:1" x14ac:dyDescent="0.25">
      <c r="A2859" t="s">
        <v>5033</v>
      </c>
    </row>
    <row r="2860" spans="1:1" x14ac:dyDescent="0.25">
      <c r="A2860" t="s">
        <v>5034</v>
      </c>
    </row>
    <row r="2861" spans="1:1" x14ac:dyDescent="0.25">
      <c r="A2861" t="s">
        <v>5035</v>
      </c>
    </row>
    <row r="2862" spans="1:1" x14ac:dyDescent="0.25">
      <c r="A2862" t="s">
        <v>5036</v>
      </c>
    </row>
    <row r="2863" spans="1:1" x14ac:dyDescent="0.25">
      <c r="A2863" t="s">
        <v>5037</v>
      </c>
    </row>
    <row r="2864" spans="1:1" x14ac:dyDescent="0.25">
      <c r="A2864" t="s">
        <v>5038</v>
      </c>
    </row>
    <row r="2865" spans="1:1" x14ac:dyDescent="0.25">
      <c r="A2865" t="s">
        <v>5039</v>
      </c>
    </row>
    <row r="2866" spans="1:1" x14ac:dyDescent="0.25">
      <c r="A2866" t="s">
        <v>5040</v>
      </c>
    </row>
    <row r="2867" spans="1:1" x14ac:dyDescent="0.25">
      <c r="A2867" t="s">
        <v>5041</v>
      </c>
    </row>
    <row r="2868" spans="1:1" x14ac:dyDescent="0.25">
      <c r="A2868" t="s">
        <v>5042</v>
      </c>
    </row>
    <row r="2869" spans="1:1" x14ac:dyDescent="0.25">
      <c r="A2869" t="s">
        <v>5043</v>
      </c>
    </row>
    <row r="2870" spans="1:1" x14ac:dyDescent="0.25">
      <c r="A2870" t="s">
        <v>5044</v>
      </c>
    </row>
    <row r="2871" spans="1:1" x14ac:dyDescent="0.25">
      <c r="A2871" t="s">
        <v>5045</v>
      </c>
    </row>
    <row r="2872" spans="1:1" x14ac:dyDescent="0.25">
      <c r="A2872" t="s">
        <v>5046</v>
      </c>
    </row>
    <row r="2873" spans="1:1" x14ac:dyDescent="0.25">
      <c r="A2873" t="s">
        <v>5047</v>
      </c>
    </row>
    <row r="2874" spans="1:1" x14ac:dyDescent="0.25">
      <c r="A2874" t="s">
        <v>5048</v>
      </c>
    </row>
    <row r="2875" spans="1:1" x14ac:dyDescent="0.25">
      <c r="A2875" t="s">
        <v>5049</v>
      </c>
    </row>
    <row r="2876" spans="1:1" x14ac:dyDescent="0.25">
      <c r="A2876" t="s">
        <v>5050</v>
      </c>
    </row>
    <row r="2877" spans="1:1" x14ac:dyDescent="0.25">
      <c r="A2877" t="s">
        <v>5051</v>
      </c>
    </row>
    <row r="2878" spans="1:1" x14ac:dyDescent="0.25">
      <c r="A2878" t="s">
        <v>5052</v>
      </c>
    </row>
    <row r="2879" spans="1:1" x14ac:dyDescent="0.25">
      <c r="A2879" t="s">
        <v>5053</v>
      </c>
    </row>
    <row r="2880" spans="1:1" x14ac:dyDescent="0.25">
      <c r="A2880" t="s">
        <v>5054</v>
      </c>
    </row>
    <row r="2881" spans="1:1" x14ac:dyDescent="0.25">
      <c r="A2881" t="s">
        <v>5055</v>
      </c>
    </row>
    <row r="2882" spans="1:1" x14ac:dyDescent="0.25">
      <c r="A2882" t="s">
        <v>5056</v>
      </c>
    </row>
    <row r="2883" spans="1:1" x14ac:dyDescent="0.25">
      <c r="A2883" t="s">
        <v>5057</v>
      </c>
    </row>
    <row r="2884" spans="1:1" x14ac:dyDescent="0.25">
      <c r="A2884" t="s">
        <v>5058</v>
      </c>
    </row>
    <row r="2885" spans="1:1" x14ac:dyDescent="0.25">
      <c r="A2885" t="s">
        <v>5059</v>
      </c>
    </row>
    <row r="2886" spans="1:1" x14ac:dyDescent="0.25">
      <c r="A2886" t="s">
        <v>5060</v>
      </c>
    </row>
    <row r="2887" spans="1:1" x14ac:dyDescent="0.25">
      <c r="A2887" t="s">
        <v>5061</v>
      </c>
    </row>
    <row r="2888" spans="1:1" x14ac:dyDescent="0.25">
      <c r="A2888" t="s">
        <v>5062</v>
      </c>
    </row>
    <row r="2889" spans="1:1" x14ac:dyDescent="0.25">
      <c r="A2889" t="s">
        <v>5063</v>
      </c>
    </row>
    <row r="2890" spans="1:1" x14ac:dyDescent="0.25">
      <c r="A2890" t="s">
        <v>5064</v>
      </c>
    </row>
    <row r="2891" spans="1:1" x14ac:dyDescent="0.25">
      <c r="A2891" t="s">
        <v>5065</v>
      </c>
    </row>
    <row r="2892" spans="1:1" x14ac:dyDescent="0.25">
      <c r="A2892" t="s">
        <v>5066</v>
      </c>
    </row>
    <row r="2893" spans="1:1" x14ac:dyDescent="0.25">
      <c r="A2893" t="s">
        <v>5067</v>
      </c>
    </row>
    <row r="2894" spans="1:1" x14ac:dyDescent="0.25">
      <c r="A2894" t="s">
        <v>5068</v>
      </c>
    </row>
    <row r="2895" spans="1:1" x14ac:dyDescent="0.25">
      <c r="A2895" t="s">
        <v>5069</v>
      </c>
    </row>
    <row r="2896" spans="1:1" x14ac:dyDescent="0.25">
      <c r="A2896" t="s">
        <v>5070</v>
      </c>
    </row>
    <row r="2897" spans="1:1" x14ac:dyDescent="0.25">
      <c r="A2897" t="s">
        <v>5071</v>
      </c>
    </row>
    <row r="2898" spans="1:1" x14ac:dyDescent="0.25">
      <c r="A2898" t="s">
        <v>5072</v>
      </c>
    </row>
    <row r="2899" spans="1:1" x14ac:dyDescent="0.25">
      <c r="A2899" t="s">
        <v>5073</v>
      </c>
    </row>
    <row r="2900" spans="1:1" x14ac:dyDescent="0.25">
      <c r="A2900" t="s">
        <v>5074</v>
      </c>
    </row>
    <row r="2901" spans="1:1" x14ac:dyDescent="0.25">
      <c r="A2901" t="s">
        <v>5075</v>
      </c>
    </row>
    <row r="2902" spans="1:1" x14ac:dyDescent="0.25">
      <c r="A2902" t="s">
        <v>5076</v>
      </c>
    </row>
    <row r="2903" spans="1:1" x14ac:dyDescent="0.25">
      <c r="A2903" t="s">
        <v>5077</v>
      </c>
    </row>
    <row r="2904" spans="1:1" x14ac:dyDescent="0.25">
      <c r="A2904" t="s">
        <v>5078</v>
      </c>
    </row>
    <row r="2905" spans="1:1" x14ac:dyDescent="0.25">
      <c r="A2905" t="s">
        <v>5079</v>
      </c>
    </row>
    <row r="2906" spans="1:1" x14ac:dyDescent="0.25">
      <c r="A2906" t="s">
        <v>5080</v>
      </c>
    </row>
    <row r="2907" spans="1:1" x14ac:dyDescent="0.25">
      <c r="A2907" t="s">
        <v>5081</v>
      </c>
    </row>
    <row r="2908" spans="1:1" x14ac:dyDescent="0.25">
      <c r="A2908" t="s">
        <v>5082</v>
      </c>
    </row>
    <row r="2909" spans="1:1" x14ac:dyDescent="0.25">
      <c r="A2909" t="s">
        <v>5083</v>
      </c>
    </row>
    <row r="2910" spans="1:1" x14ac:dyDescent="0.25">
      <c r="A2910" t="s">
        <v>5084</v>
      </c>
    </row>
    <row r="2911" spans="1:1" x14ac:dyDescent="0.25">
      <c r="A2911" t="s">
        <v>5085</v>
      </c>
    </row>
    <row r="2912" spans="1:1" x14ac:dyDescent="0.25">
      <c r="A2912" t="s">
        <v>5086</v>
      </c>
    </row>
    <row r="2913" spans="1:1" x14ac:dyDescent="0.25">
      <c r="A2913" t="s">
        <v>5087</v>
      </c>
    </row>
    <row r="2914" spans="1:1" x14ac:dyDescent="0.25">
      <c r="A2914" t="s">
        <v>5088</v>
      </c>
    </row>
    <row r="2915" spans="1:1" x14ac:dyDescent="0.25">
      <c r="A2915" t="s">
        <v>5089</v>
      </c>
    </row>
    <row r="2916" spans="1:1" x14ac:dyDescent="0.25">
      <c r="A2916" t="s">
        <v>5090</v>
      </c>
    </row>
    <row r="2917" spans="1:1" x14ac:dyDescent="0.25">
      <c r="A2917" t="s">
        <v>5091</v>
      </c>
    </row>
    <row r="2918" spans="1:1" x14ac:dyDescent="0.25">
      <c r="A2918" t="s">
        <v>5092</v>
      </c>
    </row>
    <row r="2919" spans="1:1" x14ac:dyDescent="0.25">
      <c r="A2919" t="s">
        <v>5093</v>
      </c>
    </row>
    <row r="2920" spans="1:1" x14ac:dyDescent="0.25">
      <c r="A2920" t="s">
        <v>5094</v>
      </c>
    </row>
    <row r="2921" spans="1:1" x14ac:dyDescent="0.25">
      <c r="A2921" t="s">
        <v>5095</v>
      </c>
    </row>
    <row r="2922" spans="1:1" x14ac:dyDescent="0.25">
      <c r="A2922" t="s">
        <v>5096</v>
      </c>
    </row>
    <row r="2923" spans="1:1" x14ac:dyDescent="0.25">
      <c r="A2923" t="s">
        <v>5097</v>
      </c>
    </row>
    <row r="2924" spans="1:1" x14ac:dyDescent="0.25">
      <c r="A2924" t="s">
        <v>5098</v>
      </c>
    </row>
    <row r="2925" spans="1:1" x14ac:dyDescent="0.25">
      <c r="A2925" t="s">
        <v>5099</v>
      </c>
    </row>
    <row r="2926" spans="1:1" x14ac:dyDescent="0.25">
      <c r="A2926" t="s">
        <v>5100</v>
      </c>
    </row>
    <row r="2927" spans="1:1" x14ac:dyDescent="0.25">
      <c r="A2927" t="s">
        <v>5101</v>
      </c>
    </row>
    <row r="2928" spans="1:1" x14ac:dyDescent="0.25">
      <c r="A2928" t="s">
        <v>5102</v>
      </c>
    </row>
    <row r="2929" spans="1:1" x14ac:dyDescent="0.25">
      <c r="A2929" t="s">
        <v>5103</v>
      </c>
    </row>
    <row r="2930" spans="1:1" x14ac:dyDescent="0.25">
      <c r="A2930" t="s">
        <v>5104</v>
      </c>
    </row>
    <row r="2931" spans="1:1" x14ac:dyDescent="0.25">
      <c r="A2931" t="s">
        <v>5105</v>
      </c>
    </row>
    <row r="2932" spans="1:1" x14ac:dyDescent="0.25">
      <c r="A2932" t="s">
        <v>5106</v>
      </c>
    </row>
    <row r="2933" spans="1:1" x14ac:dyDescent="0.25">
      <c r="A2933" t="s">
        <v>5107</v>
      </c>
    </row>
    <row r="2934" spans="1:1" x14ac:dyDescent="0.25">
      <c r="A2934" t="s">
        <v>5108</v>
      </c>
    </row>
    <row r="2935" spans="1:1" x14ac:dyDescent="0.25">
      <c r="A2935" t="s">
        <v>5109</v>
      </c>
    </row>
    <row r="2936" spans="1:1" x14ac:dyDescent="0.25">
      <c r="A2936" t="s">
        <v>5110</v>
      </c>
    </row>
    <row r="2937" spans="1:1" x14ac:dyDescent="0.25">
      <c r="A2937" t="s">
        <v>5111</v>
      </c>
    </row>
    <row r="2938" spans="1:1" x14ac:dyDescent="0.25">
      <c r="A2938" t="s">
        <v>5112</v>
      </c>
    </row>
    <row r="2939" spans="1:1" x14ac:dyDescent="0.25">
      <c r="A2939" t="s">
        <v>5113</v>
      </c>
    </row>
    <row r="2940" spans="1:1" x14ac:dyDescent="0.25">
      <c r="A2940" t="s">
        <v>5114</v>
      </c>
    </row>
    <row r="2941" spans="1:1" x14ac:dyDescent="0.25">
      <c r="A2941" t="s">
        <v>5115</v>
      </c>
    </row>
    <row r="2942" spans="1:1" x14ac:dyDescent="0.25">
      <c r="A2942" t="s">
        <v>5116</v>
      </c>
    </row>
    <row r="2943" spans="1:1" x14ac:dyDescent="0.25">
      <c r="A2943" t="s">
        <v>5117</v>
      </c>
    </row>
    <row r="2944" spans="1:1" x14ac:dyDescent="0.25">
      <c r="A2944" t="s">
        <v>5118</v>
      </c>
    </row>
    <row r="2945" spans="1:1" x14ac:dyDescent="0.25">
      <c r="A2945" t="s">
        <v>5119</v>
      </c>
    </row>
    <row r="2946" spans="1:1" x14ac:dyDescent="0.25">
      <c r="A2946" t="s">
        <v>5120</v>
      </c>
    </row>
    <row r="2947" spans="1:1" x14ac:dyDescent="0.25">
      <c r="A2947" t="s">
        <v>5121</v>
      </c>
    </row>
    <row r="2948" spans="1:1" x14ac:dyDescent="0.25">
      <c r="A2948" t="s">
        <v>5122</v>
      </c>
    </row>
    <row r="2949" spans="1:1" x14ac:dyDescent="0.25">
      <c r="A2949" t="s">
        <v>5123</v>
      </c>
    </row>
    <row r="2950" spans="1:1" x14ac:dyDescent="0.25">
      <c r="A2950" t="s">
        <v>5124</v>
      </c>
    </row>
    <row r="2951" spans="1:1" x14ac:dyDescent="0.25">
      <c r="A2951" t="s">
        <v>5125</v>
      </c>
    </row>
    <row r="2952" spans="1:1" x14ac:dyDescent="0.25">
      <c r="A2952" t="s">
        <v>5126</v>
      </c>
    </row>
    <row r="2953" spans="1:1" x14ac:dyDescent="0.25">
      <c r="A2953" t="s">
        <v>5127</v>
      </c>
    </row>
    <row r="2954" spans="1:1" x14ac:dyDescent="0.25">
      <c r="A2954" t="s">
        <v>5128</v>
      </c>
    </row>
    <row r="2955" spans="1:1" x14ac:dyDescent="0.25">
      <c r="A2955" t="s">
        <v>5129</v>
      </c>
    </row>
    <row r="2956" spans="1:1" x14ac:dyDescent="0.25">
      <c r="A2956" t="s">
        <v>5130</v>
      </c>
    </row>
    <row r="2957" spans="1:1" x14ac:dyDescent="0.25">
      <c r="A2957" t="s">
        <v>5131</v>
      </c>
    </row>
    <row r="2958" spans="1:1" x14ac:dyDescent="0.25">
      <c r="A2958" t="s">
        <v>5132</v>
      </c>
    </row>
    <row r="2959" spans="1:1" x14ac:dyDescent="0.25">
      <c r="A2959" t="s">
        <v>5133</v>
      </c>
    </row>
    <row r="2960" spans="1:1" x14ac:dyDescent="0.25">
      <c r="A2960" t="s">
        <v>5134</v>
      </c>
    </row>
    <row r="2961" spans="1:1" x14ac:dyDescent="0.25">
      <c r="A2961" t="s">
        <v>5135</v>
      </c>
    </row>
    <row r="2962" spans="1:1" x14ac:dyDescent="0.25">
      <c r="A2962" t="s">
        <v>5136</v>
      </c>
    </row>
    <row r="2963" spans="1:1" x14ac:dyDescent="0.25">
      <c r="A2963" t="s">
        <v>5137</v>
      </c>
    </row>
    <row r="2964" spans="1:1" x14ac:dyDescent="0.25">
      <c r="A2964" t="s">
        <v>5138</v>
      </c>
    </row>
    <row r="2965" spans="1:1" x14ac:dyDescent="0.25">
      <c r="A2965" t="s">
        <v>5139</v>
      </c>
    </row>
    <row r="2966" spans="1:1" x14ac:dyDescent="0.25">
      <c r="A2966" t="s">
        <v>5140</v>
      </c>
    </row>
    <row r="2967" spans="1:1" x14ac:dyDescent="0.25">
      <c r="A2967" t="s">
        <v>5141</v>
      </c>
    </row>
    <row r="2968" spans="1:1" x14ac:dyDescent="0.25">
      <c r="A2968" t="s">
        <v>5142</v>
      </c>
    </row>
    <row r="2969" spans="1:1" x14ac:dyDescent="0.25">
      <c r="A2969" t="s">
        <v>5143</v>
      </c>
    </row>
    <row r="2970" spans="1:1" x14ac:dyDescent="0.25">
      <c r="A2970" t="s">
        <v>5144</v>
      </c>
    </row>
    <row r="2971" spans="1:1" x14ac:dyDescent="0.25">
      <c r="A2971" t="s">
        <v>5145</v>
      </c>
    </row>
    <row r="2972" spans="1:1" x14ac:dyDescent="0.25">
      <c r="A2972" t="s">
        <v>5146</v>
      </c>
    </row>
    <row r="2973" spans="1:1" x14ac:dyDescent="0.25">
      <c r="A2973" t="s">
        <v>5147</v>
      </c>
    </row>
    <row r="2974" spans="1:1" x14ac:dyDescent="0.25">
      <c r="A2974" t="s">
        <v>5148</v>
      </c>
    </row>
    <row r="2975" spans="1:1" x14ac:dyDescent="0.25">
      <c r="A2975" t="s">
        <v>5149</v>
      </c>
    </row>
    <row r="2976" spans="1:1" x14ac:dyDescent="0.25">
      <c r="A2976" t="s">
        <v>5150</v>
      </c>
    </row>
    <row r="2977" spans="1:1" x14ac:dyDescent="0.25">
      <c r="A2977" t="s">
        <v>5151</v>
      </c>
    </row>
    <row r="2978" spans="1:1" x14ac:dyDescent="0.25">
      <c r="A2978" t="s">
        <v>5152</v>
      </c>
    </row>
    <row r="2979" spans="1:1" x14ac:dyDescent="0.25">
      <c r="A2979" t="s">
        <v>5153</v>
      </c>
    </row>
    <row r="2980" spans="1:1" x14ac:dyDescent="0.25">
      <c r="A2980" t="s">
        <v>5154</v>
      </c>
    </row>
    <row r="2981" spans="1:1" x14ac:dyDescent="0.25">
      <c r="A2981" t="s">
        <v>5155</v>
      </c>
    </row>
    <row r="2982" spans="1:1" x14ac:dyDescent="0.25">
      <c r="A2982" t="s">
        <v>5156</v>
      </c>
    </row>
    <row r="2983" spans="1:1" x14ac:dyDescent="0.25">
      <c r="A2983" t="s">
        <v>5157</v>
      </c>
    </row>
    <row r="2984" spans="1:1" x14ac:dyDescent="0.25">
      <c r="A2984" t="s">
        <v>5158</v>
      </c>
    </row>
    <row r="2985" spans="1:1" x14ac:dyDescent="0.25">
      <c r="A2985" t="s">
        <v>5159</v>
      </c>
    </row>
    <row r="2986" spans="1:1" x14ac:dyDescent="0.25">
      <c r="A2986" t="s">
        <v>5160</v>
      </c>
    </row>
    <row r="2987" spans="1:1" x14ac:dyDescent="0.25">
      <c r="A2987" t="s">
        <v>5161</v>
      </c>
    </row>
    <row r="2988" spans="1:1" x14ac:dyDescent="0.25">
      <c r="A2988" t="s">
        <v>5162</v>
      </c>
    </row>
    <row r="2989" spans="1:1" x14ac:dyDescent="0.25">
      <c r="A2989" t="s">
        <v>5163</v>
      </c>
    </row>
    <row r="2990" spans="1:1" x14ac:dyDescent="0.25">
      <c r="A2990" t="s">
        <v>5164</v>
      </c>
    </row>
    <row r="2991" spans="1:1" x14ac:dyDescent="0.25">
      <c r="A2991" t="s">
        <v>5165</v>
      </c>
    </row>
    <row r="2992" spans="1:1" x14ac:dyDescent="0.25">
      <c r="A2992" t="s">
        <v>5166</v>
      </c>
    </row>
    <row r="2993" spans="1:1" x14ac:dyDescent="0.25">
      <c r="A2993" t="s">
        <v>5167</v>
      </c>
    </row>
    <row r="2994" spans="1:1" x14ac:dyDescent="0.25">
      <c r="A2994" t="s">
        <v>5168</v>
      </c>
    </row>
    <row r="2995" spans="1:1" x14ac:dyDescent="0.25">
      <c r="A2995" t="s">
        <v>5169</v>
      </c>
    </row>
    <row r="2996" spans="1:1" x14ac:dyDescent="0.25">
      <c r="A2996" t="s">
        <v>5170</v>
      </c>
    </row>
    <row r="2997" spans="1:1" x14ac:dyDescent="0.25">
      <c r="A2997" t="s">
        <v>5171</v>
      </c>
    </row>
    <row r="2998" spans="1:1" x14ac:dyDescent="0.25">
      <c r="A2998" t="s">
        <v>5172</v>
      </c>
    </row>
    <row r="2999" spans="1:1" x14ac:dyDescent="0.25">
      <c r="A2999" t="s">
        <v>5173</v>
      </c>
    </row>
    <row r="3000" spans="1:1" x14ac:dyDescent="0.25">
      <c r="A3000" t="s">
        <v>5174</v>
      </c>
    </row>
    <row r="3001" spans="1:1" x14ac:dyDescent="0.25">
      <c r="A3001" t="s">
        <v>5175</v>
      </c>
    </row>
    <row r="3002" spans="1:1" x14ac:dyDescent="0.25">
      <c r="A3002" t="s">
        <v>5176</v>
      </c>
    </row>
    <row r="3003" spans="1:1" x14ac:dyDescent="0.25">
      <c r="A3003" t="s">
        <v>5177</v>
      </c>
    </row>
    <row r="3004" spans="1:1" x14ac:dyDescent="0.25">
      <c r="A3004" t="s">
        <v>5178</v>
      </c>
    </row>
    <row r="3005" spans="1:1" x14ac:dyDescent="0.25">
      <c r="A3005" t="s">
        <v>5179</v>
      </c>
    </row>
    <row r="3006" spans="1:1" x14ac:dyDescent="0.25">
      <c r="A3006" t="s">
        <v>5180</v>
      </c>
    </row>
    <row r="3007" spans="1:1" x14ac:dyDescent="0.25">
      <c r="A3007" t="s">
        <v>5181</v>
      </c>
    </row>
    <row r="3008" spans="1:1" x14ac:dyDescent="0.25">
      <c r="A3008" t="s">
        <v>5182</v>
      </c>
    </row>
    <row r="3009" spans="1:1" x14ac:dyDescent="0.25">
      <c r="A3009" t="s">
        <v>5183</v>
      </c>
    </row>
    <row r="3010" spans="1:1" x14ac:dyDescent="0.25">
      <c r="A3010" t="s">
        <v>5184</v>
      </c>
    </row>
    <row r="3011" spans="1:1" x14ac:dyDescent="0.25">
      <c r="A3011" t="s">
        <v>5185</v>
      </c>
    </row>
    <row r="3012" spans="1:1" x14ac:dyDescent="0.25">
      <c r="A3012" t="s">
        <v>5186</v>
      </c>
    </row>
    <row r="3013" spans="1:1" x14ac:dyDescent="0.25">
      <c r="A3013" t="s">
        <v>5187</v>
      </c>
    </row>
    <row r="3014" spans="1:1" x14ac:dyDescent="0.25">
      <c r="A3014" t="s">
        <v>5188</v>
      </c>
    </row>
    <row r="3015" spans="1:1" x14ac:dyDescent="0.25">
      <c r="A3015" t="s">
        <v>5189</v>
      </c>
    </row>
    <row r="3016" spans="1:1" x14ac:dyDescent="0.25">
      <c r="A3016" t="s">
        <v>5190</v>
      </c>
    </row>
    <row r="3017" spans="1:1" x14ac:dyDescent="0.25">
      <c r="A3017" t="s">
        <v>5191</v>
      </c>
    </row>
    <row r="3018" spans="1:1" x14ac:dyDescent="0.25">
      <c r="A3018" t="s">
        <v>5192</v>
      </c>
    </row>
    <row r="3019" spans="1:1" x14ac:dyDescent="0.25">
      <c r="A3019" t="s">
        <v>5193</v>
      </c>
    </row>
    <row r="3020" spans="1:1" x14ac:dyDescent="0.25">
      <c r="A3020" t="s">
        <v>5194</v>
      </c>
    </row>
    <row r="3021" spans="1:1" x14ac:dyDescent="0.25">
      <c r="A3021" t="s">
        <v>5195</v>
      </c>
    </row>
    <row r="3022" spans="1:1" x14ac:dyDescent="0.25">
      <c r="A3022" t="s">
        <v>5196</v>
      </c>
    </row>
    <row r="3023" spans="1:1" x14ac:dyDescent="0.25">
      <c r="A3023" t="s">
        <v>5197</v>
      </c>
    </row>
    <row r="3024" spans="1:1" x14ac:dyDescent="0.25">
      <c r="A3024" t="s">
        <v>5198</v>
      </c>
    </row>
    <row r="3025" spans="1:1" x14ac:dyDescent="0.25">
      <c r="A3025" t="s">
        <v>5199</v>
      </c>
    </row>
    <row r="3026" spans="1:1" x14ac:dyDescent="0.25">
      <c r="A3026" t="s">
        <v>5200</v>
      </c>
    </row>
    <row r="3027" spans="1:1" x14ac:dyDescent="0.25">
      <c r="A3027" t="s">
        <v>5201</v>
      </c>
    </row>
    <row r="3028" spans="1:1" x14ac:dyDescent="0.25">
      <c r="A3028" t="s">
        <v>5202</v>
      </c>
    </row>
    <row r="3029" spans="1:1" x14ac:dyDescent="0.25">
      <c r="A3029" t="s">
        <v>5203</v>
      </c>
    </row>
    <row r="3030" spans="1:1" x14ac:dyDescent="0.25">
      <c r="A3030" t="s">
        <v>5204</v>
      </c>
    </row>
    <row r="3031" spans="1:1" x14ac:dyDescent="0.25">
      <c r="A3031" t="s">
        <v>5205</v>
      </c>
    </row>
    <row r="3032" spans="1:1" x14ac:dyDescent="0.25">
      <c r="A3032" t="s">
        <v>5206</v>
      </c>
    </row>
    <row r="3033" spans="1:1" x14ac:dyDescent="0.25">
      <c r="A3033" t="s">
        <v>5207</v>
      </c>
    </row>
    <row r="3034" spans="1:1" x14ac:dyDescent="0.25">
      <c r="A3034" t="s">
        <v>5208</v>
      </c>
    </row>
    <row r="3035" spans="1:1" x14ac:dyDescent="0.25">
      <c r="A3035" t="s">
        <v>5209</v>
      </c>
    </row>
    <row r="3036" spans="1:1" x14ac:dyDescent="0.25">
      <c r="A3036" t="s">
        <v>5210</v>
      </c>
    </row>
    <row r="3037" spans="1:1" x14ac:dyDescent="0.25">
      <c r="A3037" t="s">
        <v>5211</v>
      </c>
    </row>
    <row r="3038" spans="1:1" x14ac:dyDescent="0.25">
      <c r="A3038" t="s">
        <v>5212</v>
      </c>
    </row>
    <row r="3039" spans="1:1" x14ac:dyDescent="0.25">
      <c r="A3039" t="s">
        <v>5213</v>
      </c>
    </row>
    <row r="3040" spans="1:1" x14ac:dyDescent="0.25">
      <c r="A3040" t="s">
        <v>5214</v>
      </c>
    </row>
    <row r="3041" spans="1:1" x14ac:dyDescent="0.25">
      <c r="A3041" t="s">
        <v>5215</v>
      </c>
    </row>
    <row r="3042" spans="1:1" x14ac:dyDescent="0.25">
      <c r="A3042" t="s">
        <v>5216</v>
      </c>
    </row>
    <row r="3043" spans="1:1" x14ac:dyDescent="0.25">
      <c r="A3043" t="s">
        <v>5217</v>
      </c>
    </row>
    <row r="3044" spans="1:1" x14ac:dyDescent="0.25">
      <c r="A3044" t="s">
        <v>5218</v>
      </c>
    </row>
    <row r="3045" spans="1:1" x14ac:dyDescent="0.25">
      <c r="A3045" t="s">
        <v>5219</v>
      </c>
    </row>
    <row r="3046" spans="1:1" x14ac:dyDescent="0.25">
      <c r="A3046" t="s">
        <v>5220</v>
      </c>
    </row>
    <row r="3047" spans="1:1" x14ac:dyDescent="0.25">
      <c r="A3047" t="s">
        <v>5221</v>
      </c>
    </row>
    <row r="3048" spans="1:1" x14ac:dyDescent="0.25">
      <c r="A3048" t="s">
        <v>5222</v>
      </c>
    </row>
    <row r="3049" spans="1:1" x14ac:dyDescent="0.25">
      <c r="A3049" t="s">
        <v>5223</v>
      </c>
    </row>
    <row r="3050" spans="1:1" x14ac:dyDescent="0.25">
      <c r="A3050" t="s">
        <v>5224</v>
      </c>
    </row>
    <row r="3051" spans="1:1" x14ac:dyDescent="0.25">
      <c r="A3051" t="s">
        <v>5225</v>
      </c>
    </row>
    <row r="3052" spans="1:1" x14ac:dyDescent="0.25">
      <c r="A3052" t="s">
        <v>5226</v>
      </c>
    </row>
    <row r="3053" spans="1:1" x14ac:dyDescent="0.25">
      <c r="A3053" t="s">
        <v>5227</v>
      </c>
    </row>
    <row r="3054" spans="1:1" x14ac:dyDescent="0.25">
      <c r="A3054" t="s">
        <v>5228</v>
      </c>
    </row>
    <row r="3055" spans="1:1" x14ac:dyDescent="0.25">
      <c r="A3055" t="s">
        <v>5229</v>
      </c>
    </row>
    <row r="3056" spans="1:1" x14ac:dyDescent="0.25">
      <c r="A3056" t="s">
        <v>5230</v>
      </c>
    </row>
    <row r="3057" spans="1:1" x14ac:dyDescent="0.25">
      <c r="A3057" t="s">
        <v>5231</v>
      </c>
    </row>
    <row r="3058" spans="1:1" x14ac:dyDescent="0.25">
      <c r="A3058" t="s">
        <v>5232</v>
      </c>
    </row>
    <row r="3059" spans="1:1" x14ac:dyDescent="0.25">
      <c r="A3059" t="s">
        <v>5233</v>
      </c>
    </row>
    <row r="3060" spans="1:1" x14ac:dyDescent="0.25">
      <c r="A3060" t="s">
        <v>5234</v>
      </c>
    </row>
    <row r="3061" spans="1:1" x14ac:dyDescent="0.25">
      <c r="A3061" t="s">
        <v>5235</v>
      </c>
    </row>
    <row r="3062" spans="1:1" x14ac:dyDescent="0.25">
      <c r="A3062" t="s">
        <v>5236</v>
      </c>
    </row>
    <row r="3063" spans="1:1" x14ac:dyDescent="0.25">
      <c r="A3063" t="s">
        <v>5237</v>
      </c>
    </row>
    <row r="3064" spans="1:1" x14ac:dyDescent="0.25">
      <c r="A3064" t="s">
        <v>5238</v>
      </c>
    </row>
    <row r="3065" spans="1:1" x14ac:dyDescent="0.25">
      <c r="A3065" t="s">
        <v>5239</v>
      </c>
    </row>
    <row r="3066" spans="1:1" x14ac:dyDescent="0.25">
      <c r="A3066" t="s">
        <v>5240</v>
      </c>
    </row>
    <row r="3067" spans="1:1" x14ac:dyDescent="0.25">
      <c r="A3067" t="s">
        <v>5241</v>
      </c>
    </row>
    <row r="3068" spans="1:1" x14ac:dyDescent="0.25">
      <c r="A3068" t="s">
        <v>5242</v>
      </c>
    </row>
    <row r="3069" spans="1:1" x14ac:dyDescent="0.25">
      <c r="A3069" t="s">
        <v>5243</v>
      </c>
    </row>
    <row r="3070" spans="1:1" x14ac:dyDescent="0.25">
      <c r="A3070" t="s">
        <v>5244</v>
      </c>
    </row>
    <row r="3071" spans="1:1" x14ac:dyDescent="0.25">
      <c r="A3071" t="s">
        <v>5245</v>
      </c>
    </row>
    <row r="3072" spans="1:1" x14ac:dyDescent="0.25">
      <c r="A3072" t="s">
        <v>5246</v>
      </c>
    </row>
    <row r="3073" spans="1:1" x14ac:dyDescent="0.25">
      <c r="A3073" t="s">
        <v>5247</v>
      </c>
    </row>
    <row r="3074" spans="1:1" x14ac:dyDescent="0.25">
      <c r="A3074" t="s">
        <v>5248</v>
      </c>
    </row>
    <row r="3075" spans="1:1" x14ac:dyDescent="0.25">
      <c r="A3075" t="s">
        <v>5249</v>
      </c>
    </row>
    <row r="3076" spans="1:1" x14ac:dyDescent="0.25">
      <c r="A3076" t="s">
        <v>5250</v>
      </c>
    </row>
    <row r="3077" spans="1:1" x14ac:dyDescent="0.25">
      <c r="A3077" t="s">
        <v>5251</v>
      </c>
    </row>
    <row r="3078" spans="1:1" x14ac:dyDescent="0.25">
      <c r="A3078" t="s">
        <v>5252</v>
      </c>
    </row>
    <row r="3079" spans="1:1" x14ac:dyDescent="0.25">
      <c r="A3079" t="s">
        <v>5253</v>
      </c>
    </row>
    <row r="3080" spans="1:1" x14ac:dyDescent="0.25">
      <c r="A3080" t="s">
        <v>5254</v>
      </c>
    </row>
    <row r="3081" spans="1:1" x14ac:dyDescent="0.25">
      <c r="A3081" t="s">
        <v>5255</v>
      </c>
    </row>
    <row r="3082" spans="1:1" x14ac:dyDescent="0.25">
      <c r="A3082" t="s">
        <v>5256</v>
      </c>
    </row>
    <row r="3083" spans="1:1" x14ac:dyDescent="0.25">
      <c r="A3083" t="s">
        <v>5257</v>
      </c>
    </row>
    <row r="3084" spans="1:1" x14ac:dyDescent="0.25">
      <c r="A3084" t="s">
        <v>5258</v>
      </c>
    </row>
    <row r="3085" spans="1:1" x14ac:dyDescent="0.25">
      <c r="A3085" t="s">
        <v>5259</v>
      </c>
    </row>
    <row r="3086" spans="1:1" x14ac:dyDescent="0.25">
      <c r="A3086" t="s">
        <v>5260</v>
      </c>
    </row>
    <row r="3087" spans="1:1" x14ac:dyDescent="0.25">
      <c r="A3087" t="s">
        <v>5261</v>
      </c>
    </row>
    <row r="3088" spans="1:1" x14ac:dyDescent="0.25">
      <c r="A3088" t="s">
        <v>5262</v>
      </c>
    </row>
    <row r="3089" spans="1:1" x14ac:dyDescent="0.25">
      <c r="A3089" t="s">
        <v>5263</v>
      </c>
    </row>
    <row r="3090" spans="1:1" x14ac:dyDescent="0.25">
      <c r="A3090" t="s">
        <v>5264</v>
      </c>
    </row>
    <row r="3091" spans="1:1" x14ac:dyDescent="0.25">
      <c r="A3091" t="s">
        <v>5265</v>
      </c>
    </row>
    <row r="3092" spans="1:1" x14ac:dyDescent="0.25">
      <c r="A3092" t="s">
        <v>5266</v>
      </c>
    </row>
    <row r="3093" spans="1:1" x14ac:dyDescent="0.25">
      <c r="A3093" t="s">
        <v>5267</v>
      </c>
    </row>
    <row r="3094" spans="1:1" x14ac:dyDescent="0.25">
      <c r="A3094" t="s">
        <v>5268</v>
      </c>
    </row>
    <row r="3095" spans="1:1" x14ac:dyDescent="0.25">
      <c r="A3095" t="s">
        <v>5269</v>
      </c>
    </row>
    <row r="3096" spans="1:1" x14ac:dyDescent="0.25">
      <c r="A3096" t="s">
        <v>5270</v>
      </c>
    </row>
    <row r="3097" spans="1:1" x14ac:dyDescent="0.25">
      <c r="A3097" t="s">
        <v>5271</v>
      </c>
    </row>
    <row r="3098" spans="1:1" x14ac:dyDescent="0.25">
      <c r="A3098" t="s">
        <v>5272</v>
      </c>
    </row>
    <row r="3099" spans="1:1" x14ac:dyDescent="0.25">
      <c r="A3099" t="s">
        <v>5273</v>
      </c>
    </row>
    <row r="3100" spans="1:1" x14ac:dyDescent="0.25">
      <c r="A3100" t="s">
        <v>5274</v>
      </c>
    </row>
    <row r="3101" spans="1:1" x14ac:dyDescent="0.25">
      <c r="A3101" t="s">
        <v>5275</v>
      </c>
    </row>
    <row r="3102" spans="1:1" x14ac:dyDescent="0.25">
      <c r="A3102" t="s">
        <v>5276</v>
      </c>
    </row>
    <row r="3103" spans="1:1" x14ac:dyDescent="0.25">
      <c r="A3103" t="s">
        <v>5277</v>
      </c>
    </row>
    <row r="3104" spans="1:1" x14ac:dyDescent="0.25">
      <c r="A3104" t="s">
        <v>5278</v>
      </c>
    </row>
    <row r="3105" spans="1:1" x14ac:dyDescent="0.25">
      <c r="A3105" t="s">
        <v>5279</v>
      </c>
    </row>
    <row r="3106" spans="1:1" x14ac:dyDescent="0.25">
      <c r="A3106" t="s">
        <v>5280</v>
      </c>
    </row>
    <row r="3107" spans="1:1" x14ac:dyDescent="0.25">
      <c r="A3107" t="s">
        <v>5281</v>
      </c>
    </row>
    <row r="3108" spans="1:1" x14ac:dyDescent="0.25">
      <c r="A3108" t="s">
        <v>5282</v>
      </c>
    </row>
    <row r="3109" spans="1:1" x14ac:dyDescent="0.25">
      <c r="A3109" t="s">
        <v>5283</v>
      </c>
    </row>
    <row r="3110" spans="1:1" x14ac:dyDescent="0.25">
      <c r="A3110" t="s">
        <v>5284</v>
      </c>
    </row>
    <row r="3111" spans="1:1" x14ac:dyDescent="0.25">
      <c r="A3111" t="s">
        <v>5285</v>
      </c>
    </row>
    <row r="3112" spans="1:1" x14ac:dyDescent="0.25">
      <c r="A3112" t="s">
        <v>5286</v>
      </c>
    </row>
    <row r="3113" spans="1:1" x14ac:dyDescent="0.25">
      <c r="A3113" t="s">
        <v>5287</v>
      </c>
    </row>
    <row r="3114" spans="1:1" x14ac:dyDescent="0.25">
      <c r="A3114" t="s">
        <v>5288</v>
      </c>
    </row>
    <row r="3115" spans="1:1" x14ac:dyDescent="0.25">
      <c r="A3115" t="s">
        <v>5289</v>
      </c>
    </row>
    <row r="3116" spans="1:1" x14ac:dyDescent="0.25">
      <c r="A3116" t="s">
        <v>5290</v>
      </c>
    </row>
    <row r="3117" spans="1:1" x14ac:dyDescent="0.25">
      <c r="A3117" t="s">
        <v>5291</v>
      </c>
    </row>
    <row r="3118" spans="1:1" x14ac:dyDescent="0.25">
      <c r="A3118" t="s">
        <v>5292</v>
      </c>
    </row>
    <row r="3119" spans="1:1" x14ac:dyDescent="0.25">
      <c r="A3119" t="s">
        <v>5293</v>
      </c>
    </row>
    <row r="3120" spans="1:1" x14ac:dyDescent="0.25">
      <c r="A3120" t="s">
        <v>5294</v>
      </c>
    </row>
    <row r="3121" spans="1:1" x14ac:dyDescent="0.25">
      <c r="A3121" t="s">
        <v>5295</v>
      </c>
    </row>
    <row r="3122" spans="1:1" x14ac:dyDescent="0.25">
      <c r="A3122" t="s">
        <v>5296</v>
      </c>
    </row>
    <row r="3123" spans="1:1" x14ac:dyDescent="0.25">
      <c r="A3123" t="s">
        <v>5297</v>
      </c>
    </row>
    <row r="3124" spans="1:1" x14ac:dyDescent="0.25">
      <c r="A3124" t="s">
        <v>5298</v>
      </c>
    </row>
    <row r="3125" spans="1:1" x14ac:dyDescent="0.25">
      <c r="A3125" t="s">
        <v>5299</v>
      </c>
    </row>
    <row r="3126" spans="1:1" x14ac:dyDescent="0.25">
      <c r="A3126" t="s">
        <v>5300</v>
      </c>
    </row>
    <row r="3127" spans="1:1" x14ac:dyDescent="0.25">
      <c r="A3127" t="s">
        <v>5301</v>
      </c>
    </row>
    <row r="3128" spans="1:1" x14ac:dyDescent="0.25">
      <c r="A3128" t="s">
        <v>5302</v>
      </c>
    </row>
    <row r="3129" spans="1:1" x14ac:dyDescent="0.25">
      <c r="A3129" t="s">
        <v>5303</v>
      </c>
    </row>
    <row r="3130" spans="1:1" x14ac:dyDescent="0.25">
      <c r="A3130" t="s">
        <v>5304</v>
      </c>
    </row>
    <row r="3131" spans="1:1" x14ac:dyDescent="0.25">
      <c r="A3131" t="s">
        <v>5305</v>
      </c>
    </row>
    <row r="3132" spans="1:1" x14ac:dyDescent="0.25">
      <c r="A3132" t="s">
        <v>5306</v>
      </c>
    </row>
    <row r="3133" spans="1:1" x14ac:dyDescent="0.25">
      <c r="A3133" t="s">
        <v>5307</v>
      </c>
    </row>
    <row r="3134" spans="1:1" x14ac:dyDescent="0.25">
      <c r="A3134" t="s">
        <v>5308</v>
      </c>
    </row>
    <row r="3135" spans="1:1" x14ac:dyDescent="0.25">
      <c r="A3135" t="s">
        <v>5309</v>
      </c>
    </row>
    <row r="3136" spans="1:1" x14ac:dyDescent="0.25">
      <c r="A3136" t="s">
        <v>5310</v>
      </c>
    </row>
    <row r="3137" spans="1:1" x14ac:dyDescent="0.25">
      <c r="A3137" t="s">
        <v>5311</v>
      </c>
    </row>
    <row r="3138" spans="1:1" x14ac:dyDescent="0.25">
      <c r="A3138" t="s">
        <v>5312</v>
      </c>
    </row>
    <row r="3139" spans="1:1" x14ac:dyDescent="0.25">
      <c r="A3139" t="s">
        <v>5313</v>
      </c>
    </row>
    <row r="3140" spans="1:1" x14ac:dyDescent="0.25">
      <c r="A3140" t="s">
        <v>5314</v>
      </c>
    </row>
    <row r="3141" spans="1:1" x14ac:dyDescent="0.25">
      <c r="A3141" t="s">
        <v>5315</v>
      </c>
    </row>
    <row r="3142" spans="1:1" x14ac:dyDescent="0.25">
      <c r="A3142" t="s">
        <v>5316</v>
      </c>
    </row>
    <row r="3143" spans="1:1" x14ac:dyDescent="0.25">
      <c r="A3143" t="s">
        <v>5317</v>
      </c>
    </row>
    <row r="3144" spans="1:1" x14ac:dyDescent="0.25">
      <c r="A3144" t="s">
        <v>5318</v>
      </c>
    </row>
    <row r="3145" spans="1:1" x14ac:dyDescent="0.25">
      <c r="A3145" t="s">
        <v>5319</v>
      </c>
    </row>
    <row r="3146" spans="1:1" x14ac:dyDescent="0.25">
      <c r="A3146" t="s">
        <v>5320</v>
      </c>
    </row>
    <row r="3147" spans="1:1" x14ac:dyDescent="0.25">
      <c r="A3147" t="s">
        <v>5321</v>
      </c>
    </row>
    <row r="3148" spans="1:1" x14ac:dyDescent="0.25">
      <c r="A3148" t="s">
        <v>5322</v>
      </c>
    </row>
    <row r="3149" spans="1:1" x14ac:dyDescent="0.25">
      <c r="A3149" t="s">
        <v>5323</v>
      </c>
    </row>
    <row r="3150" spans="1:1" x14ac:dyDescent="0.25">
      <c r="A3150" t="s">
        <v>5324</v>
      </c>
    </row>
    <row r="3151" spans="1:1" x14ac:dyDescent="0.25">
      <c r="A3151" t="s">
        <v>5325</v>
      </c>
    </row>
    <row r="3152" spans="1:1" x14ac:dyDescent="0.25">
      <c r="A3152" t="s">
        <v>5326</v>
      </c>
    </row>
    <row r="3153" spans="1:1" x14ac:dyDescent="0.25">
      <c r="A3153" t="s">
        <v>5327</v>
      </c>
    </row>
    <row r="3154" spans="1:1" x14ac:dyDescent="0.25">
      <c r="A3154" t="s">
        <v>5328</v>
      </c>
    </row>
    <row r="3155" spans="1:1" x14ac:dyDescent="0.25">
      <c r="A3155" t="s">
        <v>5329</v>
      </c>
    </row>
    <row r="3156" spans="1:1" x14ac:dyDescent="0.25">
      <c r="A3156" t="s">
        <v>5330</v>
      </c>
    </row>
    <row r="3157" spans="1:1" x14ac:dyDescent="0.25">
      <c r="A3157" t="s">
        <v>5331</v>
      </c>
    </row>
    <row r="3158" spans="1:1" x14ac:dyDescent="0.25">
      <c r="A3158" t="s">
        <v>5332</v>
      </c>
    </row>
    <row r="3159" spans="1:1" x14ac:dyDescent="0.25">
      <c r="A3159" t="s">
        <v>5333</v>
      </c>
    </row>
    <row r="3160" spans="1:1" x14ac:dyDescent="0.25">
      <c r="A3160" t="s">
        <v>5334</v>
      </c>
    </row>
    <row r="3161" spans="1:1" x14ac:dyDescent="0.25">
      <c r="A3161" t="s">
        <v>5335</v>
      </c>
    </row>
    <row r="3162" spans="1:1" x14ac:dyDescent="0.25">
      <c r="A3162" t="s">
        <v>5336</v>
      </c>
    </row>
    <row r="3163" spans="1:1" x14ac:dyDescent="0.25">
      <c r="A3163" t="s">
        <v>5337</v>
      </c>
    </row>
    <row r="3164" spans="1:1" x14ac:dyDescent="0.25">
      <c r="A3164" t="s">
        <v>5338</v>
      </c>
    </row>
    <row r="3165" spans="1:1" x14ac:dyDescent="0.25">
      <c r="A3165" t="s">
        <v>5339</v>
      </c>
    </row>
    <row r="3166" spans="1:1" x14ac:dyDescent="0.25">
      <c r="A3166" t="s">
        <v>5340</v>
      </c>
    </row>
    <row r="3167" spans="1:1" x14ac:dyDescent="0.25">
      <c r="A3167" t="s">
        <v>5341</v>
      </c>
    </row>
    <row r="3168" spans="1:1" x14ac:dyDescent="0.25">
      <c r="A3168" t="s">
        <v>5342</v>
      </c>
    </row>
    <row r="3169" spans="1:1" x14ac:dyDescent="0.25">
      <c r="A3169" t="s">
        <v>5343</v>
      </c>
    </row>
    <row r="3170" spans="1:1" x14ac:dyDescent="0.25">
      <c r="A3170" t="s">
        <v>5344</v>
      </c>
    </row>
    <row r="3171" spans="1:1" x14ac:dyDescent="0.25">
      <c r="A3171" t="s">
        <v>5345</v>
      </c>
    </row>
    <row r="3172" spans="1:1" x14ac:dyDescent="0.25">
      <c r="A3172" t="s">
        <v>5346</v>
      </c>
    </row>
    <row r="3173" spans="1:1" x14ac:dyDescent="0.25">
      <c r="A3173" t="s">
        <v>5347</v>
      </c>
    </row>
    <row r="3174" spans="1:1" x14ac:dyDescent="0.25">
      <c r="A3174" t="s">
        <v>5348</v>
      </c>
    </row>
    <row r="3175" spans="1:1" x14ac:dyDescent="0.25">
      <c r="A3175" t="s">
        <v>5349</v>
      </c>
    </row>
    <row r="3176" spans="1:1" x14ac:dyDescent="0.25">
      <c r="A3176" t="s">
        <v>5350</v>
      </c>
    </row>
    <row r="3177" spans="1:1" x14ac:dyDescent="0.25">
      <c r="A3177" t="s">
        <v>5351</v>
      </c>
    </row>
    <row r="3178" spans="1:1" x14ac:dyDescent="0.25">
      <c r="A3178" t="s">
        <v>5352</v>
      </c>
    </row>
    <row r="3179" spans="1:1" x14ac:dyDescent="0.25">
      <c r="A3179" t="s">
        <v>5353</v>
      </c>
    </row>
    <row r="3180" spans="1:1" x14ac:dyDescent="0.25">
      <c r="A3180" t="s">
        <v>5354</v>
      </c>
    </row>
    <row r="3181" spans="1:1" x14ac:dyDescent="0.25">
      <c r="A3181" t="s">
        <v>5355</v>
      </c>
    </row>
    <row r="3182" spans="1:1" x14ac:dyDescent="0.25">
      <c r="A3182" t="s">
        <v>5356</v>
      </c>
    </row>
    <row r="3183" spans="1:1" x14ac:dyDescent="0.25">
      <c r="A3183" t="s">
        <v>5357</v>
      </c>
    </row>
    <row r="3184" spans="1:1" x14ac:dyDescent="0.25">
      <c r="A3184" t="s">
        <v>5358</v>
      </c>
    </row>
    <row r="3185" spans="1:1" x14ac:dyDescent="0.25">
      <c r="A3185" t="s">
        <v>5359</v>
      </c>
    </row>
    <row r="3186" spans="1:1" x14ac:dyDescent="0.25">
      <c r="A3186" t="s">
        <v>5360</v>
      </c>
    </row>
    <row r="3187" spans="1:1" x14ac:dyDescent="0.25">
      <c r="A3187" t="s">
        <v>5361</v>
      </c>
    </row>
    <row r="3188" spans="1:1" x14ac:dyDescent="0.25">
      <c r="A3188" t="s">
        <v>5362</v>
      </c>
    </row>
    <row r="3189" spans="1:1" x14ac:dyDescent="0.25">
      <c r="A3189" t="s">
        <v>5363</v>
      </c>
    </row>
    <row r="3190" spans="1:1" x14ac:dyDescent="0.25">
      <c r="A3190" t="s">
        <v>5364</v>
      </c>
    </row>
    <row r="3191" spans="1:1" x14ac:dyDescent="0.25">
      <c r="A3191" t="s">
        <v>5365</v>
      </c>
    </row>
    <row r="3192" spans="1:1" x14ac:dyDescent="0.25">
      <c r="A3192" t="s">
        <v>5366</v>
      </c>
    </row>
    <row r="3193" spans="1:1" x14ac:dyDescent="0.25">
      <c r="A3193" t="s">
        <v>5367</v>
      </c>
    </row>
    <row r="3194" spans="1:1" x14ac:dyDescent="0.25">
      <c r="A3194" t="s">
        <v>5368</v>
      </c>
    </row>
    <row r="3195" spans="1:1" x14ac:dyDescent="0.25">
      <c r="A3195" t="s">
        <v>5369</v>
      </c>
    </row>
    <row r="3196" spans="1:1" x14ac:dyDescent="0.25">
      <c r="A3196" t="s">
        <v>5370</v>
      </c>
    </row>
    <row r="3197" spans="1:1" x14ac:dyDescent="0.25">
      <c r="A3197" t="s">
        <v>5371</v>
      </c>
    </row>
    <row r="3198" spans="1:1" x14ac:dyDescent="0.25">
      <c r="A3198" t="s">
        <v>5372</v>
      </c>
    </row>
    <row r="3199" spans="1:1" x14ac:dyDescent="0.25">
      <c r="A3199" t="s">
        <v>5373</v>
      </c>
    </row>
    <row r="3200" spans="1:1" x14ac:dyDescent="0.25">
      <c r="A3200" t="s">
        <v>5374</v>
      </c>
    </row>
    <row r="3201" spans="1:1" x14ac:dyDescent="0.25">
      <c r="A3201" t="s">
        <v>5375</v>
      </c>
    </row>
    <row r="3202" spans="1:1" x14ac:dyDescent="0.25">
      <c r="A3202" t="s">
        <v>5376</v>
      </c>
    </row>
    <row r="3203" spans="1:1" x14ac:dyDescent="0.25">
      <c r="A3203" t="s">
        <v>5377</v>
      </c>
    </row>
    <row r="3204" spans="1:1" x14ac:dyDescent="0.25">
      <c r="A3204" t="s">
        <v>5378</v>
      </c>
    </row>
    <row r="3205" spans="1:1" x14ac:dyDescent="0.25">
      <c r="A3205" t="s">
        <v>5379</v>
      </c>
    </row>
    <row r="3206" spans="1:1" x14ac:dyDescent="0.25">
      <c r="A3206" t="s">
        <v>5380</v>
      </c>
    </row>
    <row r="3207" spans="1:1" x14ac:dyDescent="0.25">
      <c r="A3207" t="s">
        <v>5381</v>
      </c>
    </row>
    <row r="3208" spans="1:1" x14ac:dyDescent="0.25">
      <c r="A3208" t="s">
        <v>5382</v>
      </c>
    </row>
    <row r="3209" spans="1:1" x14ac:dyDescent="0.25">
      <c r="A3209" t="s">
        <v>5383</v>
      </c>
    </row>
    <row r="3210" spans="1:1" x14ac:dyDescent="0.25">
      <c r="A3210" t="s">
        <v>5384</v>
      </c>
    </row>
    <row r="3211" spans="1:1" x14ac:dyDescent="0.25">
      <c r="A3211" t="s">
        <v>5385</v>
      </c>
    </row>
    <row r="3212" spans="1:1" x14ac:dyDescent="0.25">
      <c r="A3212" t="s">
        <v>5386</v>
      </c>
    </row>
    <row r="3213" spans="1:1" x14ac:dyDescent="0.25">
      <c r="A3213" t="s">
        <v>5387</v>
      </c>
    </row>
    <row r="3214" spans="1:1" x14ac:dyDescent="0.25">
      <c r="A3214" t="s">
        <v>5388</v>
      </c>
    </row>
    <row r="3215" spans="1:1" x14ac:dyDescent="0.25">
      <c r="A3215" t="s">
        <v>5389</v>
      </c>
    </row>
    <row r="3216" spans="1:1" x14ac:dyDescent="0.25">
      <c r="A3216" t="s">
        <v>5390</v>
      </c>
    </row>
    <row r="3217" spans="1:1" x14ac:dyDescent="0.25">
      <c r="A3217" t="s">
        <v>5391</v>
      </c>
    </row>
    <row r="3218" spans="1:1" x14ac:dyDescent="0.25">
      <c r="A3218" t="s">
        <v>5392</v>
      </c>
    </row>
    <row r="3219" spans="1:1" x14ac:dyDescent="0.25">
      <c r="A3219" t="s">
        <v>5393</v>
      </c>
    </row>
    <row r="3220" spans="1:1" x14ac:dyDescent="0.25">
      <c r="A3220" t="s">
        <v>5394</v>
      </c>
    </row>
    <row r="3221" spans="1:1" x14ac:dyDescent="0.25">
      <c r="A3221" t="s">
        <v>5395</v>
      </c>
    </row>
    <row r="3222" spans="1:1" x14ac:dyDescent="0.25">
      <c r="A3222" t="s">
        <v>5396</v>
      </c>
    </row>
    <row r="3223" spans="1:1" x14ac:dyDescent="0.25">
      <c r="A3223" t="s">
        <v>5397</v>
      </c>
    </row>
    <row r="3224" spans="1:1" x14ac:dyDescent="0.25">
      <c r="A3224" t="s">
        <v>5398</v>
      </c>
    </row>
    <row r="3225" spans="1:1" x14ac:dyDescent="0.25">
      <c r="A3225" t="s">
        <v>5399</v>
      </c>
    </row>
    <row r="3226" spans="1:1" x14ac:dyDescent="0.25">
      <c r="A3226" t="s">
        <v>5400</v>
      </c>
    </row>
    <row r="3227" spans="1:1" x14ac:dyDescent="0.25">
      <c r="A3227" t="s">
        <v>5401</v>
      </c>
    </row>
    <row r="3228" spans="1:1" x14ac:dyDescent="0.25">
      <c r="A3228" t="s">
        <v>5402</v>
      </c>
    </row>
    <row r="3229" spans="1:1" x14ac:dyDescent="0.25">
      <c r="A3229" t="s">
        <v>5403</v>
      </c>
    </row>
    <row r="3230" spans="1:1" x14ac:dyDescent="0.25">
      <c r="A3230" t="s">
        <v>5404</v>
      </c>
    </row>
    <row r="3231" spans="1:1" x14ac:dyDescent="0.25">
      <c r="A3231" t="s">
        <v>5405</v>
      </c>
    </row>
    <row r="3232" spans="1:1" x14ac:dyDescent="0.25">
      <c r="A3232" t="s">
        <v>5406</v>
      </c>
    </row>
    <row r="3233" spans="1:1" x14ac:dyDescent="0.25">
      <c r="A3233" t="s">
        <v>5407</v>
      </c>
    </row>
    <row r="3234" spans="1:1" x14ac:dyDescent="0.25">
      <c r="A3234" t="s">
        <v>5408</v>
      </c>
    </row>
    <row r="3235" spans="1:1" x14ac:dyDescent="0.25">
      <c r="A3235" t="s">
        <v>5409</v>
      </c>
    </row>
    <row r="3236" spans="1:1" x14ac:dyDescent="0.25">
      <c r="A3236" t="s">
        <v>5410</v>
      </c>
    </row>
    <row r="3237" spans="1:1" x14ac:dyDescent="0.25">
      <c r="A3237" t="s">
        <v>5411</v>
      </c>
    </row>
    <row r="3238" spans="1:1" x14ac:dyDescent="0.25">
      <c r="A3238" t="s">
        <v>5412</v>
      </c>
    </row>
    <row r="3239" spans="1:1" x14ac:dyDescent="0.25">
      <c r="A3239" t="s">
        <v>5413</v>
      </c>
    </row>
    <row r="3240" spans="1:1" x14ac:dyDescent="0.25">
      <c r="A3240" t="s">
        <v>5414</v>
      </c>
    </row>
    <row r="3241" spans="1:1" x14ac:dyDescent="0.25">
      <c r="A3241" t="s">
        <v>5415</v>
      </c>
    </row>
    <row r="3242" spans="1:1" x14ac:dyDescent="0.25">
      <c r="A3242" t="s">
        <v>5416</v>
      </c>
    </row>
    <row r="3243" spans="1:1" x14ac:dyDescent="0.25">
      <c r="A3243" t="s">
        <v>5417</v>
      </c>
    </row>
    <row r="3244" spans="1:1" x14ac:dyDescent="0.25">
      <c r="A3244" t="s">
        <v>5418</v>
      </c>
    </row>
    <row r="3245" spans="1:1" x14ac:dyDescent="0.25">
      <c r="A3245" t="s">
        <v>5419</v>
      </c>
    </row>
    <row r="3246" spans="1:1" x14ac:dyDescent="0.25">
      <c r="A3246" t="s">
        <v>5420</v>
      </c>
    </row>
    <row r="3247" spans="1:1" x14ac:dyDescent="0.25">
      <c r="A3247" t="s">
        <v>5421</v>
      </c>
    </row>
    <row r="3248" spans="1:1" x14ac:dyDescent="0.25">
      <c r="A3248" t="s">
        <v>5422</v>
      </c>
    </row>
    <row r="3249" spans="1:1" x14ac:dyDescent="0.25">
      <c r="A3249" t="s">
        <v>5423</v>
      </c>
    </row>
    <row r="3250" spans="1:1" x14ac:dyDescent="0.25">
      <c r="A3250" t="s">
        <v>5424</v>
      </c>
    </row>
    <row r="3251" spans="1:1" x14ac:dyDescent="0.25">
      <c r="A3251" t="s">
        <v>5425</v>
      </c>
    </row>
    <row r="3252" spans="1:1" x14ac:dyDescent="0.25">
      <c r="A3252" t="s">
        <v>5426</v>
      </c>
    </row>
    <row r="3253" spans="1:1" x14ac:dyDescent="0.25">
      <c r="A3253" t="s">
        <v>5427</v>
      </c>
    </row>
    <row r="3254" spans="1:1" x14ac:dyDescent="0.25">
      <c r="A3254" t="s">
        <v>5428</v>
      </c>
    </row>
    <row r="3255" spans="1:1" x14ac:dyDescent="0.25">
      <c r="A3255" t="s">
        <v>5429</v>
      </c>
    </row>
    <row r="3256" spans="1:1" x14ac:dyDescent="0.25">
      <c r="A3256" t="s">
        <v>5430</v>
      </c>
    </row>
    <row r="3257" spans="1:1" x14ac:dyDescent="0.25">
      <c r="A3257" t="s">
        <v>5431</v>
      </c>
    </row>
    <row r="3258" spans="1:1" x14ac:dyDescent="0.25">
      <c r="A3258" t="s">
        <v>5432</v>
      </c>
    </row>
    <row r="3259" spans="1:1" x14ac:dyDescent="0.25">
      <c r="A3259" t="s">
        <v>5433</v>
      </c>
    </row>
    <row r="3260" spans="1:1" x14ac:dyDescent="0.25">
      <c r="A3260" t="s">
        <v>5434</v>
      </c>
    </row>
    <row r="3261" spans="1:1" x14ac:dyDescent="0.25">
      <c r="A3261" t="s">
        <v>5435</v>
      </c>
    </row>
    <row r="3262" spans="1:1" x14ac:dyDescent="0.25">
      <c r="A3262" t="s">
        <v>5436</v>
      </c>
    </row>
    <row r="3263" spans="1:1" x14ac:dyDescent="0.25">
      <c r="A3263" t="s">
        <v>5437</v>
      </c>
    </row>
    <row r="3264" spans="1:1" x14ac:dyDescent="0.25">
      <c r="A3264" t="s">
        <v>5438</v>
      </c>
    </row>
    <row r="3265" spans="1:1" x14ac:dyDescent="0.25">
      <c r="A3265" t="s">
        <v>5439</v>
      </c>
    </row>
    <row r="3266" spans="1:1" x14ac:dyDescent="0.25">
      <c r="A3266" t="s">
        <v>5440</v>
      </c>
    </row>
    <row r="3267" spans="1:1" x14ac:dyDescent="0.25">
      <c r="A3267" t="s">
        <v>5441</v>
      </c>
    </row>
    <row r="3268" spans="1:1" x14ac:dyDescent="0.25">
      <c r="A3268" t="s">
        <v>5442</v>
      </c>
    </row>
    <row r="3269" spans="1:1" x14ac:dyDescent="0.25">
      <c r="A3269" t="s">
        <v>5443</v>
      </c>
    </row>
    <row r="3270" spans="1:1" x14ac:dyDescent="0.25">
      <c r="A3270" t="s">
        <v>5444</v>
      </c>
    </row>
    <row r="3271" spans="1:1" x14ac:dyDescent="0.25">
      <c r="A3271" t="s">
        <v>5445</v>
      </c>
    </row>
    <row r="3272" spans="1:1" x14ac:dyDescent="0.25">
      <c r="A3272" t="s">
        <v>5446</v>
      </c>
    </row>
    <row r="3273" spans="1:1" x14ac:dyDescent="0.25">
      <c r="A3273" t="s">
        <v>5447</v>
      </c>
    </row>
    <row r="3274" spans="1:1" x14ac:dyDescent="0.25">
      <c r="A3274" t="s">
        <v>5448</v>
      </c>
    </row>
    <row r="3275" spans="1:1" x14ac:dyDescent="0.25">
      <c r="A3275" t="s">
        <v>5449</v>
      </c>
    </row>
    <row r="3276" spans="1:1" x14ac:dyDescent="0.25">
      <c r="A3276" t="s">
        <v>5450</v>
      </c>
    </row>
    <row r="3277" spans="1:1" x14ac:dyDescent="0.25">
      <c r="A3277" t="s">
        <v>5451</v>
      </c>
    </row>
    <row r="3278" spans="1:1" x14ac:dyDescent="0.25">
      <c r="A3278" t="s">
        <v>5452</v>
      </c>
    </row>
    <row r="3279" spans="1:1" x14ac:dyDescent="0.25">
      <c r="A3279" t="s">
        <v>5453</v>
      </c>
    </row>
    <row r="3280" spans="1:1" x14ac:dyDescent="0.25">
      <c r="A3280" t="s">
        <v>5454</v>
      </c>
    </row>
    <row r="3281" spans="1:1" x14ac:dyDescent="0.25">
      <c r="A3281" t="s">
        <v>5455</v>
      </c>
    </row>
    <row r="3282" spans="1:1" x14ac:dyDescent="0.25">
      <c r="A3282" t="s">
        <v>5456</v>
      </c>
    </row>
    <row r="3283" spans="1:1" x14ac:dyDescent="0.25">
      <c r="A3283" t="s">
        <v>5457</v>
      </c>
    </row>
    <row r="3284" spans="1:1" x14ac:dyDescent="0.25">
      <c r="A3284" t="s">
        <v>5458</v>
      </c>
    </row>
    <row r="3285" spans="1:1" x14ac:dyDescent="0.25">
      <c r="A3285" t="s">
        <v>5459</v>
      </c>
    </row>
    <row r="3286" spans="1:1" x14ac:dyDescent="0.25">
      <c r="A3286" t="s">
        <v>5460</v>
      </c>
    </row>
    <row r="3287" spans="1:1" x14ac:dyDescent="0.25">
      <c r="A3287" t="s">
        <v>5461</v>
      </c>
    </row>
    <row r="3288" spans="1:1" x14ac:dyDescent="0.25">
      <c r="A3288" t="s">
        <v>5462</v>
      </c>
    </row>
    <row r="3289" spans="1:1" x14ac:dyDescent="0.25">
      <c r="A3289" t="s">
        <v>5463</v>
      </c>
    </row>
    <row r="3290" spans="1:1" x14ac:dyDescent="0.25">
      <c r="A3290" t="s">
        <v>5464</v>
      </c>
    </row>
    <row r="3291" spans="1:1" x14ac:dyDescent="0.25">
      <c r="A3291" t="s">
        <v>5465</v>
      </c>
    </row>
    <row r="3292" spans="1:1" x14ac:dyDescent="0.25">
      <c r="A3292" t="s">
        <v>5466</v>
      </c>
    </row>
    <row r="3293" spans="1:1" x14ac:dyDescent="0.25">
      <c r="A3293" t="s">
        <v>5467</v>
      </c>
    </row>
    <row r="3294" spans="1:1" x14ac:dyDescent="0.25">
      <c r="A3294" t="s">
        <v>5468</v>
      </c>
    </row>
    <row r="3295" spans="1:1" x14ac:dyDescent="0.25">
      <c r="A3295" t="s">
        <v>5469</v>
      </c>
    </row>
    <row r="3296" spans="1:1" x14ac:dyDescent="0.25">
      <c r="A3296" t="s">
        <v>5470</v>
      </c>
    </row>
    <row r="3297" spans="1:1" x14ac:dyDescent="0.25">
      <c r="A3297" t="s">
        <v>5471</v>
      </c>
    </row>
    <row r="3298" spans="1:1" x14ac:dyDescent="0.25">
      <c r="A3298" t="s">
        <v>5472</v>
      </c>
    </row>
    <row r="3299" spans="1:1" x14ac:dyDescent="0.25">
      <c r="A3299" t="s">
        <v>5473</v>
      </c>
    </row>
    <row r="3300" spans="1:1" x14ac:dyDescent="0.25">
      <c r="A3300" t="s">
        <v>5474</v>
      </c>
    </row>
    <row r="3301" spans="1:1" x14ac:dyDescent="0.25">
      <c r="A3301" t="s">
        <v>5475</v>
      </c>
    </row>
    <row r="3302" spans="1:1" x14ac:dyDescent="0.25">
      <c r="A3302" t="s">
        <v>5476</v>
      </c>
    </row>
    <row r="3303" spans="1:1" x14ac:dyDescent="0.25">
      <c r="A3303" t="s">
        <v>5477</v>
      </c>
    </row>
    <row r="3304" spans="1:1" x14ac:dyDescent="0.25">
      <c r="A3304" t="s">
        <v>5478</v>
      </c>
    </row>
    <row r="3305" spans="1:1" x14ac:dyDescent="0.25">
      <c r="A3305" t="s">
        <v>5479</v>
      </c>
    </row>
    <row r="3306" spans="1:1" x14ac:dyDescent="0.25">
      <c r="A3306" t="s">
        <v>5480</v>
      </c>
    </row>
    <row r="3307" spans="1:1" x14ac:dyDescent="0.25">
      <c r="A3307" t="s">
        <v>5481</v>
      </c>
    </row>
    <row r="3308" spans="1:1" x14ac:dyDescent="0.25">
      <c r="A3308" t="s">
        <v>5482</v>
      </c>
    </row>
    <row r="3309" spans="1:1" x14ac:dyDescent="0.25">
      <c r="A3309" t="s">
        <v>5483</v>
      </c>
    </row>
    <row r="3310" spans="1:1" x14ac:dyDescent="0.25">
      <c r="A3310" t="s">
        <v>5484</v>
      </c>
    </row>
    <row r="3311" spans="1:1" x14ac:dyDescent="0.25">
      <c r="A3311" t="s">
        <v>5485</v>
      </c>
    </row>
    <row r="3312" spans="1:1" x14ac:dyDescent="0.25">
      <c r="A3312" t="s">
        <v>5486</v>
      </c>
    </row>
    <row r="3313" spans="1:1" x14ac:dyDescent="0.25">
      <c r="A3313" t="s">
        <v>5487</v>
      </c>
    </row>
    <row r="3314" spans="1:1" x14ac:dyDescent="0.25">
      <c r="A3314" t="s">
        <v>5488</v>
      </c>
    </row>
    <row r="3315" spans="1:1" x14ac:dyDescent="0.25">
      <c r="A3315" t="s">
        <v>5489</v>
      </c>
    </row>
    <row r="3316" spans="1:1" x14ac:dyDescent="0.25">
      <c r="A3316" t="s">
        <v>5490</v>
      </c>
    </row>
    <row r="3317" spans="1:1" x14ac:dyDescent="0.25">
      <c r="A3317" t="s">
        <v>5491</v>
      </c>
    </row>
    <row r="3318" spans="1:1" x14ac:dyDescent="0.25">
      <c r="A3318" t="s">
        <v>5492</v>
      </c>
    </row>
    <row r="3319" spans="1:1" x14ac:dyDescent="0.25">
      <c r="A3319" t="s">
        <v>5493</v>
      </c>
    </row>
    <row r="3320" spans="1:1" x14ac:dyDescent="0.25">
      <c r="A3320" t="s">
        <v>5494</v>
      </c>
    </row>
    <row r="3321" spans="1:1" x14ac:dyDescent="0.25">
      <c r="A3321" t="s">
        <v>5495</v>
      </c>
    </row>
    <row r="3322" spans="1:1" x14ac:dyDescent="0.25">
      <c r="A3322" t="s">
        <v>5496</v>
      </c>
    </row>
    <row r="3323" spans="1:1" x14ac:dyDescent="0.25">
      <c r="A3323" t="s">
        <v>5497</v>
      </c>
    </row>
    <row r="3324" spans="1:1" x14ac:dyDescent="0.25">
      <c r="A3324" t="s">
        <v>5498</v>
      </c>
    </row>
    <row r="3325" spans="1:1" x14ac:dyDescent="0.25">
      <c r="A3325" t="s">
        <v>5499</v>
      </c>
    </row>
    <row r="3326" spans="1:1" x14ac:dyDescent="0.25">
      <c r="A3326" t="s">
        <v>5500</v>
      </c>
    </row>
    <row r="3327" spans="1:1" x14ac:dyDescent="0.25">
      <c r="A3327" t="s">
        <v>5501</v>
      </c>
    </row>
    <row r="3328" spans="1:1" x14ac:dyDescent="0.25">
      <c r="A3328" t="s">
        <v>5502</v>
      </c>
    </row>
    <row r="3329" spans="1:1" x14ac:dyDescent="0.25">
      <c r="A3329" t="s">
        <v>5503</v>
      </c>
    </row>
    <row r="3330" spans="1:1" x14ac:dyDescent="0.25">
      <c r="A3330" t="s">
        <v>5504</v>
      </c>
    </row>
    <row r="3331" spans="1:1" x14ac:dyDescent="0.25">
      <c r="A3331" t="s">
        <v>5505</v>
      </c>
    </row>
    <row r="3332" spans="1:1" x14ac:dyDescent="0.25">
      <c r="A3332" t="s">
        <v>5506</v>
      </c>
    </row>
    <row r="3333" spans="1:1" x14ac:dyDescent="0.25">
      <c r="A3333" t="s">
        <v>5507</v>
      </c>
    </row>
    <row r="3334" spans="1:1" x14ac:dyDescent="0.25">
      <c r="A3334" t="s">
        <v>5508</v>
      </c>
    </row>
    <row r="3335" spans="1:1" x14ac:dyDescent="0.25">
      <c r="A3335" t="s">
        <v>5509</v>
      </c>
    </row>
    <row r="3336" spans="1:1" x14ac:dyDescent="0.25">
      <c r="A3336" t="s">
        <v>5510</v>
      </c>
    </row>
    <row r="3337" spans="1:1" x14ac:dyDescent="0.25">
      <c r="A3337" t="s">
        <v>5511</v>
      </c>
    </row>
    <row r="3338" spans="1:1" x14ac:dyDescent="0.25">
      <c r="A3338" t="s">
        <v>5512</v>
      </c>
    </row>
    <row r="3339" spans="1:1" x14ac:dyDescent="0.25">
      <c r="A3339" t="s">
        <v>5513</v>
      </c>
    </row>
    <row r="3340" spans="1:1" x14ac:dyDescent="0.25">
      <c r="A3340" t="s">
        <v>5514</v>
      </c>
    </row>
    <row r="3341" spans="1:1" x14ac:dyDescent="0.25">
      <c r="A3341" t="s">
        <v>5515</v>
      </c>
    </row>
    <row r="3342" spans="1:1" x14ac:dyDescent="0.25">
      <c r="A3342" t="s">
        <v>5516</v>
      </c>
    </row>
    <row r="3343" spans="1:1" x14ac:dyDescent="0.25">
      <c r="A3343" t="s">
        <v>5517</v>
      </c>
    </row>
    <row r="3344" spans="1:1" x14ac:dyDescent="0.25">
      <c r="A3344" t="s">
        <v>5518</v>
      </c>
    </row>
    <row r="3345" spans="1:1" x14ac:dyDescent="0.25">
      <c r="A3345" t="s">
        <v>5519</v>
      </c>
    </row>
    <row r="3346" spans="1:1" x14ac:dyDescent="0.25">
      <c r="A3346" t="s">
        <v>5520</v>
      </c>
    </row>
    <row r="3347" spans="1:1" x14ac:dyDescent="0.25">
      <c r="A3347" t="s">
        <v>5521</v>
      </c>
    </row>
    <row r="3348" spans="1:1" x14ac:dyDescent="0.25">
      <c r="A3348" t="s">
        <v>5522</v>
      </c>
    </row>
    <row r="3349" spans="1:1" x14ac:dyDescent="0.25">
      <c r="A3349" t="s">
        <v>5523</v>
      </c>
    </row>
    <row r="3350" spans="1:1" x14ac:dyDescent="0.25">
      <c r="A3350" t="s">
        <v>5524</v>
      </c>
    </row>
    <row r="3351" spans="1:1" x14ac:dyDescent="0.25">
      <c r="A3351" t="s">
        <v>5525</v>
      </c>
    </row>
    <row r="3352" spans="1:1" x14ac:dyDescent="0.25">
      <c r="A3352" t="s">
        <v>5526</v>
      </c>
    </row>
    <row r="3353" spans="1:1" x14ac:dyDescent="0.25">
      <c r="A3353" t="s">
        <v>5527</v>
      </c>
    </row>
    <row r="3354" spans="1:1" x14ac:dyDescent="0.25">
      <c r="A3354" t="s">
        <v>5528</v>
      </c>
    </row>
    <row r="3355" spans="1:1" x14ac:dyDescent="0.25">
      <c r="A3355" t="s">
        <v>5529</v>
      </c>
    </row>
    <row r="3356" spans="1:1" x14ac:dyDescent="0.25">
      <c r="A3356" t="s">
        <v>5530</v>
      </c>
    </row>
    <row r="3357" spans="1:1" x14ac:dyDescent="0.25">
      <c r="A3357" t="s">
        <v>5531</v>
      </c>
    </row>
    <row r="3358" spans="1:1" x14ac:dyDescent="0.25">
      <c r="A3358" t="s">
        <v>5532</v>
      </c>
    </row>
    <row r="3359" spans="1:1" x14ac:dyDescent="0.25">
      <c r="A3359" t="s">
        <v>5533</v>
      </c>
    </row>
    <row r="3360" spans="1:1" x14ac:dyDescent="0.25">
      <c r="A3360" t="s">
        <v>5534</v>
      </c>
    </row>
    <row r="3361" spans="1:1" x14ac:dyDescent="0.25">
      <c r="A3361" t="s">
        <v>5535</v>
      </c>
    </row>
    <row r="3362" spans="1:1" x14ac:dyDescent="0.25">
      <c r="A3362" t="s">
        <v>5536</v>
      </c>
    </row>
    <row r="3363" spans="1:1" x14ac:dyDescent="0.25">
      <c r="A3363" t="s">
        <v>5537</v>
      </c>
    </row>
    <row r="3364" spans="1:1" x14ac:dyDescent="0.25">
      <c r="A3364" t="s">
        <v>5538</v>
      </c>
    </row>
    <row r="3365" spans="1:1" x14ac:dyDescent="0.25">
      <c r="A3365" t="s">
        <v>5539</v>
      </c>
    </row>
    <row r="3366" spans="1:1" x14ac:dyDescent="0.25">
      <c r="A3366" t="s">
        <v>5540</v>
      </c>
    </row>
    <row r="3367" spans="1:1" x14ac:dyDescent="0.25">
      <c r="A3367" t="s">
        <v>5541</v>
      </c>
    </row>
    <row r="3368" spans="1:1" x14ac:dyDescent="0.25">
      <c r="A3368" t="s">
        <v>5542</v>
      </c>
    </row>
    <row r="3369" spans="1:1" x14ac:dyDescent="0.25">
      <c r="A3369" t="s">
        <v>5543</v>
      </c>
    </row>
    <row r="3370" spans="1:1" x14ac:dyDescent="0.25">
      <c r="A3370" t="s">
        <v>5544</v>
      </c>
    </row>
    <row r="3371" spans="1:1" x14ac:dyDescent="0.25">
      <c r="A3371" t="s">
        <v>5545</v>
      </c>
    </row>
    <row r="3372" spans="1:1" x14ac:dyDescent="0.25">
      <c r="A3372" t="s">
        <v>5546</v>
      </c>
    </row>
    <row r="3373" spans="1:1" x14ac:dyDescent="0.25">
      <c r="A3373" t="s">
        <v>5547</v>
      </c>
    </row>
    <row r="3374" spans="1:1" x14ac:dyDescent="0.25">
      <c r="A3374" t="s">
        <v>5548</v>
      </c>
    </row>
    <row r="3375" spans="1:1" x14ac:dyDescent="0.25">
      <c r="A3375" t="s">
        <v>5549</v>
      </c>
    </row>
    <row r="3376" spans="1:1" x14ac:dyDescent="0.25">
      <c r="A3376" t="s">
        <v>5550</v>
      </c>
    </row>
    <row r="3377" spans="1:1" x14ac:dyDescent="0.25">
      <c r="A3377" t="s">
        <v>5551</v>
      </c>
    </row>
    <row r="3378" spans="1:1" x14ac:dyDescent="0.25">
      <c r="A3378" t="s">
        <v>5552</v>
      </c>
    </row>
    <row r="3379" spans="1:1" x14ac:dyDescent="0.25">
      <c r="A3379" t="s">
        <v>5553</v>
      </c>
    </row>
    <row r="3380" spans="1:1" x14ac:dyDescent="0.25">
      <c r="A3380" t="s">
        <v>5554</v>
      </c>
    </row>
    <row r="3381" spans="1:1" x14ac:dyDescent="0.25">
      <c r="A3381" t="s">
        <v>5555</v>
      </c>
    </row>
    <row r="3382" spans="1:1" x14ac:dyDescent="0.25">
      <c r="A3382" t="s">
        <v>5556</v>
      </c>
    </row>
    <row r="3383" spans="1:1" x14ac:dyDescent="0.25">
      <c r="A3383" t="s">
        <v>5557</v>
      </c>
    </row>
    <row r="3384" spans="1:1" x14ac:dyDescent="0.25">
      <c r="A3384" t="s">
        <v>5558</v>
      </c>
    </row>
    <row r="3385" spans="1:1" x14ac:dyDescent="0.25">
      <c r="A3385" t="s">
        <v>5559</v>
      </c>
    </row>
    <row r="3386" spans="1:1" x14ac:dyDescent="0.25">
      <c r="A3386" t="s">
        <v>5560</v>
      </c>
    </row>
    <row r="3387" spans="1:1" x14ac:dyDescent="0.25">
      <c r="A3387" t="s">
        <v>5561</v>
      </c>
    </row>
    <row r="3388" spans="1:1" x14ac:dyDescent="0.25">
      <c r="A3388" t="s">
        <v>5562</v>
      </c>
    </row>
    <row r="3389" spans="1:1" x14ac:dyDescent="0.25">
      <c r="A3389" t="s">
        <v>5563</v>
      </c>
    </row>
    <row r="3390" spans="1:1" x14ac:dyDescent="0.25">
      <c r="A3390" t="s">
        <v>5564</v>
      </c>
    </row>
    <row r="3391" spans="1:1" x14ac:dyDescent="0.25">
      <c r="A3391" t="s">
        <v>5565</v>
      </c>
    </row>
    <row r="3392" spans="1:1" x14ac:dyDescent="0.25">
      <c r="A3392" t="s">
        <v>5566</v>
      </c>
    </row>
    <row r="3393" spans="1:1" x14ac:dyDescent="0.25">
      <c r="A3393" t="s">
        <v>5567</v>
      </c>
    </row>
    <row r="3394" spans="1:1" x14ac:dyDescent="0.25">
      <c r="A3394" t="s">
        <v>5568</v>
      </c>
    </row>
    <row r="3395" spans="1:1" x14ac:dyDescent="0.25">
      <c r="A3395" t="s">
        <v>5569</v>
      </c>
    </row>
    <row r="3396" spans="1:1" x14ac:dyDescent="0.25">
      <c r="A3396" t="s">
        <v>5570</v>
      </c>
    </row>
    <row r="3397" spans="1:1" x14ac:dyDescent="0.25">
      <c r="A3397" t="s">
        <v>5571</v>
      </c>
    </row>
    <row r="3398" spans="1:1" x14ac:dyDescent="0.25">
      <c r="A3398" t="s">
        <v>5572</v>
      </c>
    </row>
    <row r="3399" spans="1:1" x14ac:dyDescent="0.25">
      <c r="A3399" t="s">
        <v>5573</v>
      </c>
    </row>
    <row r="3400" spans="1:1" x14ac:dyDescent="0.25">
      <c r="A3400" t="s">
        <v>5574</v>
      </c>
    </row>
    <row r="3401" spans="1:1" x14ac:dyDescent="0.25">
      <c r="A3401" t="s">
        <v>5575</v>
      </c>
    </row>
    <row r="3402" spans="1:1" x14ac:dyDescent="0.25">
      <c r="A3402" t="s">
        <v>5576</v>
      </c>
    </row>
    <row r="3403" spans="1:1" x14ac:dyDescent="0.25">
      <c r="A3403" t="s">
        <v>5577</v>
      </c>
    </row>
    <row r="3404" spans="1:1" x14ac:dyDescent="0.25">
      <c r="A3404" t="s">
        <v>5578</v>
      </c>
    </row>
    <row r="3405" spans="1:1" x14ac:dyDescent="0.25">
      <c r="A3405" t="s">
        <v>5579</v>
      </c>
    </row>
    <row r="3406" spans="1:1" x14ac:dyDescent="0.25">
      <c r="A3406" t="s">
        <v>5580</v>
      </c>
    </row>
    <row r="3407" spans="1:1" x14ac:dyDescent="0.25">
      <c r="A3407" t="s">
        <v>5581</v>
      </c>
    </row>
    <row r="3408" spans="1:1" x14ac:dyDescent="0.25">
      <c r="A3408" t="s">
        <v>5582</v>
      </c>
    </row>
    <row r="3409" spans="1:1" x14ac:dyDescent="0.25">
      <c r="A3409" t="s">
        <v>5583</v>
      </c>
    </row>
    <row r="3410" spans="1:1" x14ac:dyDescent="0.25">
      <c r="A3410" t="s">
        <v>5584</v>
      </c>
    </row>
    <row r="3411" spans="1:1" x14ac:dyDescent="0.25">
      <c r="A3411" t="s">
        <v>5585</v>
      </c>
    </row>
    <row r="3412" spans="1:1" x14ac:dyDescent="0.25">
      <c r="A3412" t="s">
        <v>5586</v>
      </c>
    </row>
    <row r="3413" spans="1:1" x14ac:dyDescent="0.25">
      <c r="A3413" t="s">
        <v>5587</v>
      </c>
    </row>
    <row r="3414" spans="1:1" x14ac:dyDescent="0.25">
      <c r="A3414" t="s">
        <v>5588</v>
      </c>
    </row>
    <row r="3415" spans="1:1" x14ac:dyDescent="0.25">
      <c r="A3415" t="s">
        <v>5589</v>
      </c>
    </row>
    <row r="3416" spans="1:1" x14ac:dyDescent="0.25">
      <c r="A3416" t="s">
        <v>5590</v>
      </c>
    </row>
    <row r="3417" spans="1:1" x14ac:dyDescent="0.25">
      <c r="A3417" t="s">
        <v>5591</v>
      </c>
    </row>
    <row r="3418" spans="1:1" x14ac:dyDescent="0.25">
      <c r="A3418" t="s">
        <v>5592</v>
      </c>
    </row>
    <row r="3419" spans="1:1" x14ac:dyDescent="0.25">
      <c r="A3419" t="s">
        <v>5593</v>
      </c>
    </row>
    <row r="3420" spans="1:1" x14ac:dyDescent="0.25">
      <c r="A3420" t="s">
        <v>5594</v>
      </c>
    </row>
    <row r="3421" spans="1:1" x14ac:dyDescent="0.25">
      <c r="A3421" t="s">
        <v>5595</v>
      </c>
    </row>
    <row r="3422" spans="1:1" x14ac:dyDescent="0.25">
      <c r="A3422" t="s">
        <v>5596</v>
      </c>
    </row>
    <row r="3423" spans="1:1" x14ac:dyDescent="0.25">
      <c r="A3423" t="s">
        <v>5597</v>
      </c>
    </row>
    <row r="3424" spans="1:1" x14ac:dyDescent="0.25">
      <c r="A3424" t="s">
        <v>5598</v>
      </c>
    </row>
    <row r="3425" spans="1:1" x14ac:dyDescent="0.25">
      <c r="A3425" t="s">
        <v>5599</v>
      </c>
    </row>
    <row r="3426" spans="1:1" x14ac:dyDescent="0.25">
      <c r="A3426" t="s">
        <v>5600</v>
      </c>
    </row>
    <row r="3427" spans="1:1" x14ac:dyDescent="0.25">
      <c r="A3427" t="s">
        <v>5601</v>
      </c>
    </row>
    <row r="3428" spans="1:1" x14ac:dyDescent="0.25">
      <c r="A3428" t="s">
        <v>5602</v>
      </c>
    </row>
    <row r="3429" spans="1:1" x14ac:dyDescent="0.25">
      <c r="A3429" t="s">
        <v>5603</v>
      </c>
    </row>
    <row r="3430" spans="1:1" x14ac:dyDescent="0.25">
      <c r="A3430" t="s">
        <v>5604</v>
      </c>
    </row>
    <row r="3431" spans="1:1" x14ac:dyDescent="0.25">
      <c r="A3431" t="s">
        <v>5605</v>
      </c>
    </row>
    <row r="3432" spans="1:1" x14ac:dyDescent="0.25">
      <c r="A3432" t="s">
        <v>5606</v>
      </c>
    </row>
    <row r="3433" spans="1:1" x14ac:dyDescent="0.25">
      <c r="A3433" t="s">
        <v>5607</v>
      </c>
    </row>
    <row r="3434" spans="1:1" x14ac:dyDescent="0.25">
      <c r="A3434" t="s">
        <v>5608</v>
      </c>
    </row>
    <row r="3435" spans="1:1" x14ac:dyDescent="0.25">
      <c r="A3435" t="s">
        <v>5609</v>
      </c>
    </row>
    <row r="3436" spans="1:1" x14ac:dyDescent="0.25">
      <c r="A3436" t="s">
        <v>5610</v>
      </c>
    </row>
    <row r="3437" spans="1:1" x14ac:dyDescent="0.25">
      <c r="A3437" t="s">
        <v>5611</v>
      </c>
    </row>
    <row r="3438" spans="1:1" x14ac:dyDescent="0.25">
      <c r="A3438" t="s">
        <v>5612</v>
      </c>
    </row>
    <row r="3439" spans="1:1" x14ac:dyDescent="0.25">
      <c r="A3439" t="s">
        <v>5613</v>
      </c>
    </row>
    <row r="3440" spans="1:1" x14ac:dyDescent="0.25">
      <c r="A3440" t="s">
        <v>5614</v>
      </c>
    </row>
    <row r="3441" spans="1:1" x14ac:dyDescent="0.25">
      <c r="A3441" t="s">
        <v>5615</v>
      </c>
    </row>
    <row r="3442" spans="1:1" x14ac:dyDescent="0.25">
      <c r="A3442" t="s">
        <v>5616</v>
      </c>
    </row>
    <row r="3443" spans="1:1" x14ac:dyDescent="0.25">
      <c r="A3443" t="s">
        <v>5617</v>
      </c>
    </row>
    <row r="3444" spans="1:1" x14ac:dyDescent="0.25">
      <c r="A3444" t="s">
        <v>5618</v>
      </c>
    </row>
    <row r="3445" spans="1:1" x14ac:dyDescent="0.25">
      <c r="A3445" t="s">
        <v>5619</v>
      </c>
    </row>
    <row r="3446" spans="1:1" x14ac:dyDescent="0.25">
      <c r="A3446" t="s">
        <v>5620</v>
      </c>
    </row>
    <row r="3447" spans="1:1" x14ac:dyDescent="0.25">
      <c r="A3447" t="s">
        <v>5621</v>
      </c>
    </row>
    <row r="3448" spans="1:1" x14ac:dyDescent="0.25">
      <c r="A3448" t="s">
        <v>5622</v>
      </c>
    </row>
    <row r="3449" spans="1:1" x14ac:dyDescent="0.25">
      <c r="A3449" t="s">
        <v>5623</v>
      </c>
    </row>
    <row r="3450" spans="1:1" x14ac:dyDescent="0.25">
      <c r="A3450" t="s">
        <v>5624</v>
      </c>
    </row>
    <row r="3451" spans="1:1" x14ac:dyDescent="0.25">
      <c r="A3451" t="s">
        <v>5625</v>
      </c>
    </row>
    <row r="3452" spans="1:1" x14ac:dyDescent="0.25">
      <c r="A3452" t="s">
        <v>5626</v>
      </c>
    </row>
    <row r="3453" spans="1:1" x14ac:dyDescent="0.25">
      <c r="A3453" t="s">
        <v>5627</v>
      </c>
    </row>
    <row r="3454" spans="1:1" x14ac:dyDescent="0.25">
      <c r="A3454" t="s">
        <v>5628</v>
      </c>
    </row>
    <row r="3455" spans="1:1" x14ac:dyDescent="0.25">
      <c r="A3455" t="s">
        <v>5629</v>
      </c>
    </row>
    <row r="3456" spans="1:1" x14ac:dyDescent="0.25">
      <c r="A3456" t="s">
        <v>5630</v>
      </c>
    </row>
    <row r="3457" spans="1:1" x14ac:dyDescent="0.25">
      <c r="A3457" t="s">
        <v>5631</v>
      </c>
    </row>
    <row r="3458" spans="1:1" x14ac:dyDescent="0.25">
      <c r="A3458" t="s">
        <v>5632</v>
      </c>
    </row>
    <row r="3459" spans="1:1" x14ac:dyDescent="0.25">
      <c r="A3459" t="s">
        <v>5633</v>
      </c>
    </row>
    <row r="3460" spans="1:1" x14ac:dyDescent="0.25">
      <c r="A3460" t="s">
        <v>5634</v>
      </c>
    </row>
    <row r="3461" spans="1:1" x14ac:dyDescent="0.25">
      <c r="A3461" t="s">
        <v>5635</v>
      </c>
    </row>
    <row r="3462" spans="1:1" x14ac:dyDescent="0.25">
      <c r="A3462" t="s">
        <v>5636</v>
      </c>
    </row>
    <row r="3463" spans="1:1" x14ac:dyDescent="0.25">
      <c r="A3463" t="s">
        <v>5637</v>
      </c>
    </row>
    <row r="3464" spans="1:1" x14ac:dyDescent="0.25">
      <c r="A3464" t="s">
        <v>5638</v>
      </c>
    </row>
    <row r="3465" spans="1:1" x14ac:dyDescent="0.25">
      <c r="A3465" t="s">
        <v>5639</v>
      </c>
    </row>
    <row r="3466" spans="1:1" x14ac:dyDescent="0.25">
      <c r="A3466" t="s">
        <v>5640</v>
      </c>
    </row>
    <row r="3467" spans="1:1" x14ac:dyDescent="0.25">
      <c r="A3467" t="s">
        <v>5641</v>
      </c>
    </row>
    <row r="3468" spans="1:1" x14ac:dyDescent="0.25">
      <c r="A3468" t="s">
        <v>5642</v>
      </c>
    </row>
    <row r="3469" spans="1:1" x14ac:dyDescent="0.25">
      <c r="A3469" t="s">
        <v>5643</v>
      </c>
    </row>
    <row r="3470" spans="1:1" x14ac:dyDescent="0.25">
      <c r="A3470" t="s">
        <v>5644</v>
      </c>
    </row>
    <row r="3471" spans="1:1" x14ac:dyDescent="0.25">
      <c r="A3471" t="s">
        <v>5645</v>
      </c>
    </row>
    <row r="3472" spans="1:1" x14ac:dyDescent="0.25">
      <c r="A3472" t="s">
        <v>5646</v>
      </c>
    </row>
    <row r="3473" spans="1:1" x14ac:dyDescent="0.25">
      <c r="A3473" t="s">
        <v>5647</v>
      </c>
    </row>
    <row r="3474" spans="1:1" x14ac:dyDescent="0.25">
      <c r="A3474" t="s">
        <v>5648</v>
      </c>
    </row>
    <row r="3475" spans="1:1" x14ac:dyDescent="0.25">
      <c r="A3475" t="s">
        <v>5649</v>
      </c>
    </row>
    <row r="3476" spans="1:1" x14ac:dyDescent="0.25">
      <c r="A3476" t="s">
        <v>5650</v>
      </c>
    </row>
    <row r="3477" spans="1:1" x14ac:dyDescent="0.25">
      <c r="A3477" t="s">
        <v>5651</v>
      </c>
    </row>
    <row r="3478" spans="1:1" x14ac:dyDescent="0.25">
      <c r="A3478" t="s">
        <v>5652</v>
      </c>
    </row>
    <row r="3479" spans="1:1" x14ac:dyDescent="0.25">
      <c r="A3479" t="s">
        <v>5653</v>
      </c>
    </row>
    <row r="3480" spans="1:1" x14ac:dyDescent="0.25">
      <c r="A3480" t="s">
        <v>5654</v>
      </c>
    </row>
    <row r="3481" spans="1:1" x14ac:dyDescent="0.25">
      <c r="A3481" t="s">
        <v>5655</v>
      </c>
    </row>
    <row r="3482" spans="1:1" x14ac:dyDescent="0.25">
      <c r="A3482" t="s">
        <v>5656</v>
      </c>
    </row>
    <row r="3483" spans="1:1" x14ac:dyDescent="0.25">
      <c r="A3483" t="s">
        <v>5657</v>
      </c>
    </row>
    <row r="3484" spans="1:1" x14ac:dyDescent="0.25">
      <c r="A3484" t="s">
        <v>5658</v>
      </c>
    </row>
    <row r="3485" spans="1:1" x14ac:dyDescent="0.25">
      <c r="A3485" t="s">
        <v>5659</v>
      </c>
    </row>
    <row r="3486" spans="1:1" x14ac:dyDescent="0.25">
      <c r="A3486" t="s">
        <v>5660</v>
      </c>
    </row>
    <row r="3487" spans="1:1" x14ac:dyDescent="0.25">
      <c r="A3487" t="s">
        <v>5661</v>
      </c>
    </row>
    <row r="3488" spans="1:1" x14ac:dyDescent="0.25">
      <c r="A3488" t="s">
        <v>5662</v>
      </c>
    </row>
    <row r="3489" spans="1:1" x14ac:dyDescent="0.25">
      <c r="A3489" t="s">
        <v>5663</v>
      </c>
    </row>
    <row r="3490" spans="1:1" x14ac:dyDescent="0.25">
      <c r="A3490" t="s">
        <v>5664</v>
      </c>
    </row>
    <row r="3491" spans="1:1" x14ac:dyDescent="0.25">
      <c r="A3491" t="s">
        <v>5665</v>
      </c>
    </row>
    <row r="3492" spans="1:1" x14ac:dyDescent="0.25">
      <c r="A3492" t="s">
        <v>5666</v>
      </c>
    </row>
    <row r="3493" spans="1:1" x14ac:dyDescent="0.25">
      <c r="A3493" t="s">
        <v>5667</v>
      </c>
    </row>
    <row r="3494" spans="1:1" x14ac:dyDescent="0.25">
      <c r="A3494" t="s">
        <v>5668</v>
      </c>
    </row>
    <row r="3495" spans="1:1" x14ac:dyDescent="0.25">
      <c r="A3495" t="s">
        <v>5669</v>
      </c>
    </row>
    <row r="3496" spans="1:1" x14ac:dyDescent="0.25">
      <c r="A3496" t="s">
        <v>5670</v>
      </c>
    </row>
    <row r="3497" spans="1:1" x14ac:dyDescent="0.25">
      <c r="A3497" t="s">
        <v>5671</v>
      </c>
    </row>
    <row r="3498" spans="1:1" x14ac:dyDescent="0.25">
      <c r="A3498" t="s">
        <v>5672</v>
      </c>
    </row>
    <row r="3499" spans="1:1" x14ac:dyDescent="0.25">
      <c r="A3499" t="s">
        <v>5673</v>
      </c>
    </row>
    <row r="3500" spans="1:1" x14ac:dyDescent="0.25">
      <c r="A3500" t="s">
        <v>5674</v>
      </c>
    </row>
    <row r="3501" spans="1:1" x14ac:dyDescent="0.25">
      <c r="A3501" t="s">
        <v>5675</v>
      </c>
    </row>
    <row r="3502" spans="1:1" x14ac:dyDescent="0.25">
      <c r="A3502" t="s">
        <v>5676</v>
      </c>
    </row>
    <row r="3503" spans="1:1" x14ac:dyDescent="0.25">
      <c r="A3503" t="s">
        <v>5677</v>
      </c>
    </row>
    <row r="3504" spans="1:1" x14ac:dyDescent="0.25">
      <c r="A3504" t="s">
        <v>5678</v>
      </c>
    </row>
    <row r="3505" spans="1:1" x14ac:dyDescent="0.25">
      <c r="A3505" t="s">
        <v>5679</v>
      </c>
    </row>
    <row r="3506" spans="1:1" x14ac:dyDescent="0.25">
      <c r="A3506" t="s">
        <v>5680</v>
      </c>
    </row>
    <row r="3507" spans="1:1" x14ac:dyDescent="0.25">
      <c r="A3507" t="s">
        <v>5681</v>
      </c>
    </row>
    <row r="3508" spans="1:1" x14ac:dyDescent="0.25">
      <c r="A3508" t="s">
        <v>5682</v>
      </c>
    </row>
    <row r="3509" spans="1:1" x14ac:dyDescent="0.25">
      <c r="A3509" t="s">
        <v>5683</v>
      </c>
    </row>
    <row r="3510" spans="1:1" x14ac:dyDescent="0.25">
      <c r="A3510" t="s">
        <v>5684</v>
      </c>
    </row>
    <row r="3511" spans="1:1" x14ac:dyDescent="0.25">
      <c r="A3511" t="s">
        <v>5685</v>
      </c>
    </row>
    <row r="3512" spans="1:1" x14ac:dyDescent="0.25">
      <c r="A3512" t="s">
        <v>5686</v>
      </c>
    </row>
    <row r="3513" spans="1:1" x14ac:dyDescent="0.25">
      <c r="A3513" t="s">
        <v>5687</v>
      </c>
    </row>
    <row r="3514" spans="1:1" x14ac:dyDescent="0.25">
      <c r="A3514" t="s">
        <v>5688</v>
      </c>
    </row>
    <row r="3515" spans="1:1" x14ac:dyDescent="0.25">
      <c r="A3515" t="s">
        <v>5689</v>
      </c>
    </row>
    <row r="3516" spans="1:1" x14ac:dyDescent="0.25">
      <c r="A3516" t="s">
        <v>5690</v>
      </c>
    </row>
    <row r="3517" spans="1:1" x14ac:dyDescent="0.25">
      <c r="A3517" t="s">
        <v>5691</v>
      </c>
    </row>
    <row r="3518" spans="1:1" x14ac:dyDescent="0.25">
      <c r="A3518" t="s">
        <v>5692</v>
      </c>
    </row>
    <row r="3519" spans="1:1" x14ac:dyDescent="0.25">
      <c r="A3519" t="s">
        <v>5693</v>
      </c>
    </row>
    <row r="3520" spans="1:1" x14ac:dyDescent="0.25">
      <c r="A3520" t="s">
        <v>5694</v>
      </c>
    </row>
    <row r="3521" spans="1:1" x14ac:dyDescent="0.25">
      <c r="A3521" t="s">
        <v>5695</v>
      </c>
    </row>
    <row r="3522" spans="1:1" x14ac:dyDescent="0.25">
      <c r="A3522" t="s">
        <v>5696</v>
      </c>
    </row>
    <row r="3523" spans="1:1" x14ac:dyDescent="0.25">
      <c r="A3523" t="s">
        <v>5697</v>
      </c>
    </row>
    <row r="3524" spans="1:1" x14ac:dyDescent="0.25">
      <c r="A3524" t="s">
        <v>5698</v>
      </c>
    </row>
    <row r="3525" spans="1:1" x14ac:dyDescent="0.25">
      <c r="A3525" t="s">
        <v>5699</v>
      </c>
    </row>
    <row r="3526" spans="1:1" x14ac:dyDescent="0.25">
      <c r="A3526" t="s">
        <v>5700</v>
      </c>
    </row>
    <row r="3527" spans="1:1" x14ac:dyDescent="0.25">
      <c r="A3527" t="s">
        <v>5701</v>
      </c>
    </row>
    <row r="3528" spans="1:1" x14ac:dyDescent="0.25">
      <c r="A3528" t="s">
        <v>5702</v>
      </c>
    </row>
    <row r="3529" spans="1:1" x14ac:dyDescent="0.25">
      <c r="A3529" t="s">
        <v>5703</v>
      </c>
    </row>
    <row r="3530" spans="1:1" x14ac:dyDescent="0.25">
      <c r="A3530" t="s">
        <v>5704</v>
      </c>
    </row>
    <row r="3531" spans="1:1" x14ac:dyDescent="0.25">
      <c r="A3531" t="s">
        <v>5705</v>
      </c>
    </row>
    <row r="3532" spans="1:1" x14ac:dyDescent="0.25">
      <c r="A3532" t="s">
        <v>5706</v>
      </c>
    </row>
    <row r="3533" spans="1:1" x14ac:dyDescent="0.25">
      <c r="A3533" t="s">
        <v>5707</v>
      </c>
    </row>
    <row r="3534" spans="1:1" x14ac:dyDescent="0.25">
      <c r="A3534" t="s">
        <v>5708</v>
      </c>
    </row>
    <row r="3535" spans="1:1" x14ac:dyDescent="0.25">
      <c r="A3535" t="s">
        <v>5709</v>
      </c>
    </row>
    <row r="3536" spans="1:1" x14ac:dyDescent="0.25">
      <c r="A3536" t="s">
        <v>5710</v>
      </c>
    </row>
    <row r="3537" spans="1:1" x14ac:dyDescent="0.25">
      <c r="A3537" t="s">
        <v>5711</v>
      </c>
    </row>
    <row r="3538" spans="1:1" x14ac:dyDescent="0.25">
      <c r="A3538" t="s">
        <v>5712</v>
      </c>
    </row>
    <row r="3539" spans="1:1" x14ac:dyDescent="0.25">
      <c r="A3539" t="s">
        <v>5713</v>
      </c>
    </row>
    <row r="3540" spans="1:1" x14ac:dyDescent="0.25">
      <c r="A3540" t="s">
        <v>5714</v>
      </c>
    </row>
    <row r="3541" spans="1:1" x14ac:dyDescent="0.25">
      <c r="A3541" t="s">
        <v>5715</v>
      </c>
    </row>
    <row r="3542" spans="1:1" x14ac:dyDescent="0.25">
      <c r="A3542" t="s">
        <v>5716</v>
      </c>
    </row>
    <row r="3543" spans="1:1" x14ac:dyDescent="0.25">
      <c r="A3543" t="s">
        <v>5717</v>
      </c>
    </row>
    <row r="3544" spans="1:1" x14ac:dyDescent="0.25">
      <c r="A3544" t="s">
        <v>5718</v>
      </c>
    </row>
    <row r="3545" spans="1:1" x14ac:dyDescent="0.25">
      <c r="A3545" t="s">
        <v>5719</v>
      </c>
    </row>
    <row r="3546" spans="1:1" x14ac:dyDescent="0.25">
      <c r="A3546" t="s">
        <v>5720</v>
      </c>
    </row>
    <row r="3547" spans="1:1" x14ac:dyDescent="0.25">
      <c r="A3547" t="s">
        <v>5721</v>
      </c>
    </row>
    <row r="3548" spans="1:1" x14ac:dyDescent="0.25">
      <c r="A3548" t="s">
        <v>5722</v>
      </c>
    </row>
    <row r="3549" spans="1:1" x14ac:dyDescent="0.25">
      <c r="A3549" t="s">
        <v>5723</v>
      </c>
    </row>
    <row r="3550" spans="1:1" x14ac:dyDescent="0.25">
      <c r="A3550" t="s">
        <v>5724</v>
      </c>
    </row>
    <row r="3551" spans="1:1" x14ac:dyDescent="0.25">
      <c r="A3551" t="s">
        <v>5725</v>
      </c>
    </row>
    <row r="3552" spans="1:1" x14ac:dyDescent="0.25">
      <c r="A3552" t="s">
        <v>5726</v>
      </c>
    </row>
    <row r="3553" spans="1:1" x14ac:dyDescent="0.25">
      <c r="A3553" t="s">
        <v>5727</v>
      </c>
    </row>
    <row r="3554" spans="1:1" x14ac:dyDescent="0.25">
      <c r="A3554" t="s">
        <v>5728</v>
      </c>
    </row>
    <row r="3555" spans="1:1" x14ac:dyDescent="0.25">
      <c r="A3555" t="s">
        <v>5729</v>
      </c>
    </row>
    <row r="3556" spans="1:1" x14ac:dyDescent="0.25">
      <c r="A3556" t="s">
        <v>5730</v>
      </c>
    </row>
    <row r="3557" spans="1:1" x14ac:dyDescent="0.25">
      <c r="A3557" t="s">
        <v>5731</v>
      </c>
    </row>
    <row r="3558" spans="1:1" x14ac:dyDescent="0.25">
      <c r="A3558" t="s">
        <v>5732</v>
      </c>
    </row>
    <row r="3559" spans="1:1" x14ac:dyDescent="0.25">
      <c r="A3559" t="s">
        <v>5733</v>
      </c>
    </row>
    <row r="3560" spans="1:1" x14ac:dyDescent="0.25">
      <c r="A3560" t="s">
        <v>5734</v>
      </c>
    </row>
    <row r="3561" spans="1:1" x14ac:dyDescent="0.25">
      <c r="A3561" t="s">
        <v>5735</v>
      </c>
    </row>
    <row r="3562" spans="1:1" x14ac:dyDescent="0.25">
      <c r="A3562" t="s">
        <v>5736</v>
      </c>
    </row>
    <row r="3563" spans="1:1" x14ac:dyDescent="0.25">
      <c r="A3563" t="s">
        <v>5737</v>
      </c>
    </row>
    <row r="3564" spans="1:1" x14ac:dyDescent="0.25">
      <c r="A3564" t="s">
        <v>5738</v>
      </c>
    </row>
    <row r="3565" spans="1:1" x14ac:dyDescent="0.25">
      <c r="A3565" t="s">
        <v>5739</v>
      </c>
    </row>
    <row r="3566" spans="1:1" x14ac:dyDescent="0.25">
      <c r="A3566" t="s">
        <v>5740</v>
      </c>
    </row>
    <row r="3567" spans="1:1" x14ac:dyDescent="0.25">
      <c r="A3567" t="s">
        <v>5741</v>
      </c>
    </row>
    <row r="3568" spans="1:1" x14ac:dyDescent="0.25">
      <c r="A3568" t="s">
        <v>5742</v>
      </c>
    </row>
    <row r="3569" spans="1:1" x14ac:dyDescent="0.25">
      <c r="A3569" t="s">
        <v>5743</v>
      </c>
    </row>
    <row r="3570" spans="1:1" x14ac:dyDescent="0.25">
      <c r="A3570" t="s">
        <v>5744</v>
      </c>
    </row>
    <row r="3571" spans="1:1" x14ac:dyDescent="0.25">
      <c r="A3571" t="s">
        <v>5745</v>
      </c>
    </row>
    <row r="3572" spans="1:1" x14ac:dyDescent="0.25">
      <c r="A3572" t="s">
        <v>5746</v>
      </c>
    </row>
    <row r="3573" spans="1:1" x14ac:dyDescent="0.25">
      <c r="A3573" t="s">
        <v>5747</v>
      </c>
    </row>
    <row r="3574" spans="1:1" x14ac:dyDescent="0.25">
      <c r="A3574" t="s">
        <v>5748</v>
      </c>
    </row>
    <row r="3575" spans="1:1" x14ac:dyDescent="0.25">
      <c r="A3575" t="s">
        <v>5749</v>
      </c>
    </row>
    <row r="3576" spans="1:1" x14ac:dyDescent="0.25">
      <c r="A3576" t="s">
        <v>5750</v>
      </c>
    </row>
    <row r="3577" spans="1:1" x14ac:dyDescent="0.25">
      <c r="A3577" t="s">
        <v>5751</v>
      </c>
    </row>
    <row r="3578" spans="1:1" x14ac:dyDescent="0.25">
      <c r="A3578" t="s">
        <v>5752</v>
      </c>
    </row>
    <row r="3579" spans="1:1" x14ac:dyDescent="0.25">
      <c r="A3579" t="s">
        <v>5753</v>
      </c>
    </row>
    <row r="3580" spans="1:1" x14ac:dyDescent="0.25">
      <c r="A3580" t="s">
        <v>5754</v>
      </c>
    </row>
    <row r="3581" spans="1:1" x14ac:dyDescent="0.25">
      <c r="A3581" t="s">
        <v>5755</v>
      </c>
    </row>
    <row r="3582" spans="1:1" x14ac:dyDescent="0.25">
      <c r="A3582" t="s">
        <v>5756</v>
      </c>
    </row>
    <row r="3583" spans="1:1" x14ac:dyDescent="0.25">
      <c r="A3583" t="s">
        <v>5757</v>
      </c>
    </row>
    <row r="3584" spans="1:1" x14ac:dyDescent="0.25">
      <c r="A3584" t="s">
        <v>5758</v>
      </c>
    </row>
    <row r="3585" spans="1:1" x14ac:dyDescent="0.25">
      <c r="A3585" t="s">
        <v>5759</v>
      </c>
    </row>
    <row r="3586" spans="1:1" x14ac:dyDescent="0.25">
      <c r="A3586" t="s">
        <v>5760</v>
      </c>
    </row>
    <row r="3587" spans="1:1" x14ac:dyDescent="0.25">
      <c r="A3587" t="s">
        <v>5761</v>
      </c>
    </row>
    <row r="3588" spans="1:1" x14ac:dyDescent="0.25">
      <c r="A3588" t="s">
        <v>5762</v>
      </c>
    </row>
    <row r="3589" spans="1:1" x14ac:dyDescent="0.25">
      <c r="A3589" t="s">
        <v>5763</v>
      </c>
    </row>
    <row r="3590" spans="1:1" x14ac:dyDescent="0.25">
      <c r="A3590" t="s">
        <v>5764</v>
      </c>
    </row>
    <row r="3591" spans="1:1" x14ac:dyDescent="0.25">
      <c r="A3591" t="s">
        <v>5765</v>
      </c>
    </row>
    <row r="3592" spans="1:1" x14ac:dyDescent="0.25">
      <c r="A3592" t="s">
        <v>5766</v>
      </c>
    </row>
    <row r="3593" spans="1:1" x14ac:dyDescent="0.25">
      <c r="A3593" t="s">
        <v>5767</v>
      </c>
    </row>
    <row r="3594" spans="1:1" x14ac:dyDescent="0.25">
      <c r="A3594" t="s">
        <v>5768</v>
      </c>
    </row>
    <row r="3595" spans="1:1" x14ac:dyDescent="0.25">
      <c r="A3595" t="s">
        <v>5769</v>
      </c>
    </row>
    <row r="3596" spans="1:1" x14ac:dyDescent="0.25">
      <c r="A3596" t="s">
        <v>5770</v>
      </c>
    </row>
    <row r="3597" spans="1:1" x14ac:dyDescent="0.25">
      <c r="A3597" t="s">
        <v>5771</v>
      </c>
    </row>
    <row r="3598" spans="1:1" x14ac:dyDescent="0.25">
      <c r="A3598" t="s">
        <v>5772</v>
      </c>
    </row>
    <row r="3599" spans="1:1" x14ac:dyDescent="0.25">
      <c r="A3599" t="s">
        <v>5773</v>
      </c>
    </row>
    <row r="3600" spans="1:1" x14ac:dyDescent="0.25">
      <c r="A3600" t="s">
        <v>5774</v>
      </c>
    </row>
    <row r="3601" spans="1:1" x14ac:dyDescent="0.25">
      <c r="A3601" t="s">
        <v>5775</v>
      </c>
    </row>
    <row r="3602" spans="1:1" x14ac:dyDescent="0.25">
      <c r="A3602" t="s">
        <v>5776</v>
      </c>
    </row>
    <row r="3603" spans="1:1" x14ac:dyDescent="0.25">
      <c r="A3603" t="s">
        <v>5777</v>
      </c>
    </row>
    <row r="3604" spans="1:1" x14ac:dyDescent="0.25">
      <c r="A3604" t="s">
        <v>5778</v>
      </c>
    </row>
    <row r="3605" spans="1:1" x14ac:dyDescent="0.25">
      <c r="A3605" t="s">
        <v>5779</v>
      </c>
    </row>
    <row r="3606" spans="1:1" x14ac:dyDescent="0.25">
      <c r="A3606" t="s">
        <v>5780</v>
      </c>
    </row>
    <row r="3607" spans="1:1" x14ac:dyDescent="0.25">
      <c r="A3607" t="s">
        <v>5781</v>
      </c>
    </row>
    <row r="3608" spans="1:1" x14ac:dyDescent="0.25">
      <c r="A3608" t="s">
        <v>5782</v>
      </c>
    </row>
    <row r="3609" spans="1:1" x14ac:dyDescent="0.25">
      <c r="A3609" t="s">
        <v>5783</v>
      </c>
    </row>
    <row r="3610" spans="1:1" x14ac:dyDescent="0.25">
      <c r="A3610" t="s">
        <v>5784</v>
      </c>
    </row>
    <row r="3611" spans="1:1" x14ac:dyDescent="0.25">
      <c r="A3611" t="s">
        <v>5785</v>
      </c>
    </row>
    <row r="3612" spans="1:1" x14ac:dyDescent="0.25">
      <c r="A3612" t="s">
        <v>5786</v>
      </c>
    </row>
    <row r="3613" spans="1:1" x14ac:dyDescent="0.25">
      <c r="A3613" t="s">
        <v>5787</v>
      </c>
    </row>
    <row r="3614" spans="1:1" x14ac:dyDescent="0.25">
      <c r="A3614" t="s">
        <v>5788</v>
      </c>
    </row>
    <row r="3615" spans="1:1" x14ac:dyDescent="0.25">
      <c r="A3615" t="s">
        <v>5789</v>
      </c>
    </row>
    <row r="3616" spans="1:1" x14ac:dyDescent="0.25">
      <c r="A3616" t="s">
        <v>5790</v>
      </c>
    </row>
    <row r="3617" spans="1:1" x14ac:dyDescent="0.25">
      <c r="A3617" t="s">
        <v>5791</v>
      </c>
    </row>
    <row r="3618" spans="1:1" x14ac:dyDescent="0.25">
      <c r="A3618" t="s">
        <v>5792</v>
      </c>
    </row>
    <row r="3619" spans="1:1" x14ac:dyDescent="0.25">
      <c r="A3619" t="s">
        <v>5793</v>
      </c>
    </row>
    <row r="3620" spans="1:1" x14ac:dyDescent="0.25">
      <c r="A3620" t="s">
        <v>5794</v>
      </c>
    </row>
    <row r="3621" spans="1:1" x14ac:dyDescent="0.25">
      <c r="A3621" t="s">
        <v>5795</v>
      </c>
    </row>
    <row r="3622" spans="1:1" x14ac:dyDescent="0.25">
      <c r="A3622" t="s">
        <v>5796</v>
      </c>
    </row>
    <row r="3623" spans="1:1" x14ac:dyDescent="0.25">
      <c r="A3623" t="s">
        <v>5797</v>
      </c>
    </row>
    <row r="3624" spans="1:1" x14ac:dyDescent="0.25">
      <c r="A3624" t="s">
        <v>5798</v>
      </c>
    </row>
    <row r="3625" spans="1:1" x14ac:dyDescent="0.25">
      <c r="A3625" t="s">
        <v>5799</v>
      </c>
    </row>
    <row r="3626" spans="1:1" x14ac:dyDescent="0.25">
      <c r="A3626" t="s">
        <v>5800</v>
      </c>
    </row>
    <row r="3627" spans="1:1" x14ac:dyDescent="0.25">
      <c r="A3627" t="s">
        <v>5801</v>
      </c>
    </row>
    <row r="3628" spans="1:1" x14ac:dyDescent="0.25">
      <c r="A3628" t="s">
        <v>5802</v>
      </c>
    </row>
    <row r="3629" spans="1:1" x14ac:dyDescent="0.25">
      <c r="A3629" t="s">
        <v>5803</v>
      </c>
    </row>
    <row r="3630" spans="1:1" x14ac:dyDescent="0.25">
      <c r="A3630" t="s">
        <v>5804</v>
      </c>
    </row>
    <row r="3631" spans="1:1" x14ac:dyDescent="0.25">
      <c r="A3631" t="s">
        <v>5805</v>
      </c>
    </row>
    <row r="3632" spans="1:1" x14ac:dyDescent="0.25">
      <c r="A3632" t="s">
        <v>5806</v>
      </c>
    </row>
    <row r="3633" spans="1:1" x14ac:dyDescent="0.25">
      <c r="A3633" t="s">
        <v>5807</v>
      </c>
    </row>
    <row r="3634" spans="1:1" x14ac:dyDescent="0.25">
      <c r="A3634" t="s">
        <v>5808</v>
      </c>
    </row>
    <row r="3635" spans="1:1" x14ac:dyDescent="0.25">
      <c r="A3635" t="s">
        <v>5809</v>
      </c>
    </row>
    <row r="3636" spans="1:1" x14ac:dyDescent="0.25">
      <c r="A3636" t="s">
        <v>5810</v>
      </c>
    </row>
    <row r="3637" spans="1:1" x14ac:dyDescent="0.25">
      <c r="A3637" t="s">
        <v>5811</v>
      </c>
    </row>
    <row r="3638" spans="1:1" x14ac:dyDescent="0.25">
      <c r="A3638" t="s">
        <v>5812</v>
      </c>
    </row>
    <row r="3639" spans="1:1" x14ac:dyDescent="0.25">
      <c r="A3639" t="s">
        <v>5813</v>
      </c>
    </row>
    <row r="3640" spans="1:1" x14ac:dyDescent="0.25">
      <c r="A3640" t="s">
        <v>5814</v>
      </c>
    </row>
    <row r="3641" spans="1:1" x14ac:dyDescent="0.25">
      <c r="A3641" t="s">
        <v>5815</v>
      </c>
    </row>
    <row r="3642" spans="1:1" x14ac:dyDescent="0.25">
      <c r="A3642" t="s">
        <v>5816</v>
      </c>
    </row>
    <row r="3643" spans="1:1" x14ac:dyDescent="0.25">
      <c r="A3643" t="s">
        <v>5817</v>
      </c>
    </row>
    <row r="3644" spans="1:1" x14ac:dyDescent="0.25">
      <c r="A3644" t="s">
        <v>5818</v>
      </c>
    </row>
    <row r="3645" spans="1:1" x14ac:dyDescent="0.25">
      <c r="A3645" t="s">
        <v>5819</v>
      </c>
    </row>
    <row r="3646" spans="1:1" x14ac:dyDescent="0.25">
      <c r="A3646" t="s">
        <v>5820</v>
      </c>
    </row>
    <row r="3647" spans="1:1" x14ac:dyDescent="0.25">
      <c r="A3647" t="s">
        <v>5821</v>
      </c>
    </row>
    <row r="3648" spans="1:1" x14ac:dyDescent="0.25">
      <c r="A3648" t="s">
        <v>5822</v>
      </c>
    </row>
    <row r="3649" spans="1:1" x14ac:dyDescent="0.25">
      <c r="A3649" t="s">
        <v>5823</v>
      </c>
    </row>
    <row r="3650" spans="1:1" x14ac:dyDescent="0.25">
      <c r="A3650" t="s">
        <v>5824</v>
      </c>
    </row>
    <row r="3651" spans="1:1" x14ac:dyDescent="0.25">
      <c r="A3651" t="s">
        <v>5825</v>
      </c>
    </row>
    <row r="3652" spans="1:1" x14ac:dyDescent="0.25">
      <c r="A3652" t="s">
        <v>5826</v>
      </c>
    </row>
    <row r="3653" spans="1:1" x14ac:dyDescent="0.25">
      <c r="A3653" t="s">
        <v>5827</v>
      </c>
    </row>
    <row r="3654" spans="1:1" x14ac:dyDescent="0.25">
      <c r="A3654" t="s">
        <v>5828</v>
      </c>
    </row>
    <row r="3655" spans="1:1" x14ac:dyDescent="0.25">
      <c r="A3655" t="s">
        <v>5829</v>
      </c>
    </row>
    <row r="3656" spans="1:1" x14ac:dyDescent="0.25">
      <c r="A3656" t="s">
        <v>5830</v>
      </c>
    </row>
    <row r="3657" spans="1:1" x14ac:dyDescent="0.25">
      <c r="A3657" t="s">
        <v>5831</v>
      </c>
    </row>
    <row r="3658" spans="1:1" x14ac:dyDescent="0.25">
      <c r="A3658" t="s">
        <v>5832</v>
      </c>
    </row>
    <row r="3659" spans="1:1" x14ac:dyDescent="0.25">
      <c r="A3659" t="s">
        <v>5833</v>
      </c>
    </row>
    <row r="3660" spans="1:1" x14ac:dyDescent="0.25">
      <c r="A3660" t="s">
        <v>5834</v>
      </c>
    </row>
    <row r="3661" spans="1:1" x14ac:dyDescent="0.25">
      <c r="A3661" t="s">
        <v>5835</v>
      </c>
    </row>
    <row r="3662" spans="1:1" x14ac:dyDescent="0.25">
      <c r="A3662" t="s">
        <v>5836</v>
      </c>
    </row>
    <row r="3663" spans="1:1" x14ac:dyDescent="0.25">
      <c r="A3663" t="s">
        <v>5837</v>
      </c>
    </row>
    <row r="3664" spans="1:1" x14ac:dyDescent="0.25">
      <c r="A3664" t="s">
        <v>5838</v>
      </c>
    </row>
    <row r="3665" spans="1:1" x14ac:dyDescent="0.25">
      <c r="A3665" t="s">
        <v>5839</v>
      </c>
    </row>
    <row r="3666" spans="1:1" x14ac:dyDescent="0.25">
      <c r="A3666" t="s">
        <v>5840</v>
      </c>
    </row>
    <row r="3667" spans="1:1" x14ac:dyDescent="0.25">
      <c r="A3667" t="s">
        <v>5841</v>
      </c>
    </row>
    <row r="3668" spans="1:1" x14ac:dyDescent="0.25">
      <c r="A3668" t="s">
        <v>5842</v>
      </c>
    </row>
    <row r="3669" spans="1:1" x14ac:dyDescent="0.25">
      <c r="A3669" t="s">
        <v>5843</v>
      </c>
    </row>
    <row r="3670" spans="1:1" x14ac:dyDescent="0.25">
      <c r="A3670" t="s">
        <v>5844</v>
      </c>
    </row>
    <row r="3671" spans="1:1" x14ac:dyDescent="0.25">
      <c r="A3671" t="s">
        <v>5845</v>
      </c>
    </row>
    <row r="3672" spans="1:1" x14ac:dyDescent="0.25">
      <c r="A3672" t="s">
        <v>5846</v>
      </c>
    </row>
    <row r="3673" spans="1:1" x14ac:dyDescent="0.25">
      <c r="A3673" t="s">
        <v>5847</v>
      </c>
    </row>
    <row r="3674" spans="1:1" x14ac:dyDescent="0.25">
      <c r="A3674" t="s">
        <v>5848</v>
      </c>
    </row>
    <row r="3675" spans="1:1" x14ac:dyDescent="0.25">
      <c r="A3675" t="s">
        <v>5849</v>
      </c>
    </row>
    <row r="3676" spans="1:1" x14ac:dyDescent="0.25">
      <c r="A3676" t="s">
        <v>5850</v>
      </c>
    </row>
    <row r="3677" spans="1:1" x14ac:dyDescent="0.25">
      <c r="A3677" t="s">
        <v>5851</v>
      </c>
    </row>
    <row r="3678" spans="1:1" x14ac:dyDescent="0.25">
      <c r="A3678" t="s">
        <v>5852</v>
      </c>
    </row>
    <row r="3679" spans="1:1" x14ac:dyDescent="0.25">
      <c r="A3679" t="s">
        <v>5853</v>
      </c>
    </row>
    <row r="3680" spans="1:1" x14ac:dyDescent="0.25">
      <c r="A3680" t="s">
        <v>5854</v>
      </c>
    </row>
    <row r="3681" spans="1:1" x14ac:dyDescent="0.25">
      <c r="A3681" t="s">
        <v>5855</v>
      </c>
    </row>
    <row r="3682" spans="1:1" x14ac:dyDescent="0.25">
      <c r="A3682" t="s">
        <v>5856</v>
      </c>
    </row>
    <row r="3683" spans="1:1" x14ac:dyDescent="0.25">
      <c r="A3683" t="s">
        <v>5857</v>
      </c>
    </row>
    <row r="3684" spans="1:1" x14ac:dyDescent="0.25">
      <c r="A3684" t="s">
        <v>5858</v>
      </c>
    </row>
    <row r="3685" spans="1:1" x14ac:dyDescent="0.25">
      <c r="A3685" t="s">
        <v>5859</v>
      </c>
    </row>
    <row r="3686" spans="1:1" x14ac:dyDescent="0.25">
      <c r="A3686" t="s">
        <v>5860</v>
      </c>
    </row>
    <row r="3687" spans="1:1" x14ac:dyDescent="0.25">
      <c r="A3687" t="s">
        <v>5861</v>
      </c>
    </row>
    <row r="3688" spans="1:1" x14ac:dyDescent="0.25">
      <c r="A3688" t="s">
        <v>5862</v>
      </c>
    </row>
    <row r="3689" spans="1:1" x14ac:dyDescent="0.25">
      <c r="A3689" t="s">
        <v>5863</v>
      </c>
    </row>
    <row r="3690" spans="1:1" x14ac:dyDescent="0.25">
      <c r="A3690" t="s">
        <v>5864</v>
      </c>
    </row>
    <row r="3691" spans="1:1" x14ac:dyDescent="0.25">
      <c r="A3691" t="s">
        <v>5865</v>
      </c>
    </row>
    <row r="3692" spans="1:1" x14ac:dyDescent="0.25">
      <c r="A3692" t="s">
        <v>5866</v>
      </c>
    </row>
    <row r="3693" spans="1:1" x14ac:dyDescent="0.25">
      <c r="A3693" t="s">
        <v>5867</v>
      </c>
    </row>
    <row r="3694" spans="1:1" x14ac:dyDescent="0.25">
      <c r="A3694" t="s">
        <v>5868</v>
      </c>
    </row>
    <row r="3695" spans="1:1" x14ac:dyDescent="0.25">
      <c r="A3695" t="s">
        <v>5869</v>
      </c>
    </row>
    <row r="3696" spans="1:1" x14ac:dyDescent="0.25">
      <c r="A3696" t="s">
        <v>5870</v>
      </c>
    </row>
    <row r="3697" spans="1:1" x14ac:dyDescent="0.25">
      <c r="A3697" t="s">
        <v>5871</v>
      </c>
    </row>
    <row r="3698" spans="1:1" x14ac:dyDescent="0.25">
      <c r="A3698" t="s">
        <v>5872</v>
      </c>
    </row>
    <row r="3699" spans="1:1" x14ac:dyDescent="0.25">
      <c r="A3699" t="s">
        <v>5873</v>
      </c>
    </row>
    <row r="3700" spans="1:1" x14ac:dyDescent="0.25">
      <c r="A3700" t="s">
        <v>5874</v>
      </c>
    </row>
    <row r="3701" spans="1:1" x14ac:dyDescent="0.25">
      <c r="A3701" t="s">
        <v>5875</v>
      </c>
    </row>
    <row r="3702" spans="1:1" x14ac:dyDescent="0.25">
      <c r="A3702" t="s">
        <v>5876</v>
      </c>
    </row>
    <row r="3703" spans="1:1" x14ac:dyDescent="0.25">
      <c r="A3703" t="s">
        <v>5877</v>
      </c>
    </row>
    <row r="3704" spans="1:1" x14ac:dyDescent="0.25">
      <c r="A3704" t="s">
        <v>5878</v>
      </c>
    </row>
    <row r="3705" spans="1:1" x14ac:dyDescent="0.25">
      <c r="A3705" t="s">
        <v>5879</v>
      </c>
    </row>
    <row r="3706" spans="1:1" x14ac:dyDescent="0.25">
      <c r="A3706" t="s">
        <v>5880</v>
      </c>
    </row>
    <row r="3707" spans="1:1" x14ac:dyDescent="0.25">
      <c r="A3707" t="s">
        <v>5881</v>
      </c>
    </row>
    <row r="3708" spans="1:1" x14ac:dyDescent="0.25">
      <c r="A3708" t="s">
        <v>5882</v>
      </c>
    </row>
    <row r="3709" spans="1:1" x14ac:dyDescent="0.25">
      <c r="A3709" t="s">
        <v>5883</v>
      </c>
    </row>
    <row r="3710" spans="1:1" x14ac:dyDescent="0.25">
      <c r="A3710" t="s">
        <v>5884</v>
      </c>
    </row>
    <row r="3711" spans="1:1" x14ac:dyDescent="0.25">
      <c r="A3711" t="s">
        <v>5885</v>
      </c>
    </row>
    <row r="3712" spans="1:1" x14ac:dyDescent="0.25">
      <c r="A3712" t="s">
        <v>5886</v>
      </c>
    </row>
    <row r="3713" spans="1:1" x14ac:dyDescent="0.25">
      <c r="A3713" t="s">
        <v>5887</v>
      </c>
    </row>
    <row r="3714" spans="1:1" x14ac:dyDescent="0.25">
      <c r="A3714" t="s">
        <v>5888</v>
      </c>
    </row>
    <row r="3715" spans="1:1" x14ac:dyDescent="0.25">
      <c r="A3715" t="s">
        <v>5889</v>
      </c>
    </row>
    <row r="3716" spans="1:1" x14ac:dyDescent="0.25">
      <c r="A3716" t="s">
        <v>5890</v>
      </c>
    </row>
    <row r="3717" spans="1:1" x14ac:dyDescent="0.25">
      <c r="A3717" t="s">
        <v>5891</v>
      </c>
    </row>
    <row r="3718" spans="1:1" x14ac:dyDescent="0.25">
      <c r="A3718" t="s">
        <v>5892</v>
      </c>
    </row>
    <row r="3719" spans="1:1" x14ac:dyDescent="0.25">
      <c r="A3719" t="s">
        <v>5893</v>
      </c>
    </row>
    <row r="3720" spans="1:1" x14ac:dyDescent="0.25">
      <c r="A3720" t="s">
        <v>5894</v>
      </c>
    </row>
    <row r="3721" spans="1:1" x14ac:dyDescent="0.25">
      <c r="A3721" t="s">
        <v>5895</v>
      </c>
    </row>
    <row r="3722" spans="1:1" x14ac:dyDescent="0.25">
      <c r="A3722" t="s">
        <v>5896</v>
      </c>
    </row>
    <row r="3723" spans="1:1" x14ac:dyDescent="0.25">
      <c r="A3723" t="s">
        <v>5897</v>
      </c>
    </row>
    <row r="3724" spans="1:1" x14ac:dyDescent="0.25">
      <c r="A3724" t="s">
        <v>5898</v>
      </c>
    </row>
    <row r="3725" spans="1:1" x14ac:dyDescent="0.25">
      <c r="A3725" t="s">
        <v>5899</v>
      </c>
    </row>
    <row r="3726" spans="1:1" x14ac:dyDescent="0.25">
      <c r="A3726" t="s">
        <v>5900</v>
      </c>
    </row>
    <row r="3727" spans="1:1" x14ac:dyDescent="0.25">
      <c r="A3727" t="s">
        <v>5901</v>
      </c>
    </row>
    <row r="3728" spans="1:1" x14ac:dyDescent="0.25">
      <c r="A3728" t="s">
        <v>5902</v>
      </c>
    </row>
    <row r="3729" spans="1:1" x14ac:dyDescent="0.25">
      <c r="A3729" t="s">
        <v>5903</v>
      </c>
    </row>
    <row r="3730" spans="1:1" x14ac:dyDescent="0.25">
      <c r="A3730" t="s">
        <v>5904</v>
      </c>
    </row>
    <row r="3731" spans="1:1" x14ac:dyDescent="0.25">
      <c r="A3731" t="s">
        <v>5905</v>
      </c>
    </row>
    <row r="3732" spans="1:1" x14ac:dyDescent="0.25">
      <c r="A3732" t="s">
        <v>5906</v>
      </c>
    </row>
    <row r="3733" spans="1:1" x14ac:dyDescent="0.25">
      <c r="A3733" t="s">
        <v>5907</v>
      </c>
    </row>
    <row r="3734" spans="1:1" x14ac:dyDescent="0.25">
      <c r="A3734" t="s">
        <v>5908</v>
      </c>
    </row>
    <row r="3735" spans="1:1" x14ac:dyDescent="0.25">
      <c r="A3735" t="s">
        <v>5909</v>
      </c>
    </row>
    <row r="3736" spans="1:1" x14ac:dyDescent="0.25">
      <c r="A3736" t="s">
        <v>5910</v>
      </c>
    </row>
    <row r="3737" spans="1:1" x14ac:dyDescent="0.25">
      <c r="A3737" t="s">
        <v>5911</v>
      </c>
    </row>
    <row r="3738" spans="1:1" x14ac:dyDescent="0.25">
      <c r="A3738" t="s">
        <v>5912</v>
      </c>
    </row>
    <row r="3739" spans="1:1" x14ac:dyDescent="0.25">
      <c r="A3739" t="s">
        <v>5913</v>
      </c>
    </row>
    <row r="3740" spans="1:1" x14ac:dyDescent="0.25">
      <c r="A3740" t="s">
        <v>5914</v>
      </c>
    </row>
    <row r="3741" spans="1:1" x14ac:dyDescent="0.25">
      <c r="A3741" t="s">
        <v>5915</v>
      </c>
    </row>
    <row r="3742" spans="1:1" x14ac:dyDescent="0.25">
      <c r="A3742" t="s">
        <v>5916</v>
      </c>
    </row>
    <row r="3743" spans="1:1" x14ac:dyDescent="0.25">
      <c r="A3743" t="s">
        <v>5917</v>
      </c>
    </row>
    <row r="3744" spans="1:1" x14ac:dyDescent="0.25">
      <c r="A3744" t="s">
        <v>5918</v>
      </c>
    </row>
    <row r="3745" spans="1:1" x14ac:dyDescent="0.25">
      <c r="A3745" t="s">
        <v>5919</v>
      </c>
    </row>
    <row r="3746" spans="1:1" x14ac:dyDescent="0.25">
      <c r="A3746" t="s">
        <v>5920</v>
      </c>
    </row>
    <row r="3747" spans="1:1" x14ac:dyDescent="0.25">
      <c r="A3747" t="s">
        <v>5921</v>
      </c>
    </row>
    <row r="3748" spans="1:1" x14ac:dyDescent="0.25">
      <c r="A3748" t="s">
        <v>5922</v>
      </c>
    </row>
    <row r="3749" spans="1:1" x14ac:dyDescent="0.25">
      <c r="A3749" t="s">
        <v>5923</v>
      </c>
    </row>
    <row r="3750" spans="1:1" x14ac:dyDescent="0.25">
      <c r="A3750" t="s">
        <v>5924</v>
      </c>
    </row>
    <row r="3751" spans="1:1" x14ac:dyDescent="0.25">
      <c r="A3751" t="s">
        <v>5925</v>
      </c>
    </row>
    <row r="3752" spans="1:1" x14ac:dyDescent="0.25">
      <c r="A3752" t="s">
        <v>5926</v>
      </c>
    </row>
    <row r="3753" spans="1:1" x14ac:dyDescent="0.25">
      <c r="A3753" t="s">
        <v>5927</v>
      </c>
    </row>
    <row r="3754" spans="1:1" x14ac:dyDescent="0.25">
      <c r="A3754" t="s">
        <v>5928</v>
      </c>
    </row>
    <row r="3755" spans="1:1" x14ac:dyDescent="0.25">
      <c r="A3755" t="s">
        <v>5929</v>
      </c>
    </row>
    <row r="3756" spans="1:1" x14ac:dyDescent="0.25">
      <c r="A3756" t="s">
        <v>5930</v>
      </c>
    </row>
    <row r="3757" spans="1:1" x14ac:dyDescent="0.25">
      <c r="A3757" t="s">
        <v>5931</v>
      </c>
    </row>
    <row r="3758" spans="1:1" x14ac:dyDescent="0.25">
      <c r="A3758" t="s">
        <v>5932</v>
      </c>
    </row>
    <row r="3759" spans="1:1" x14ac:dyDescent="0.25">
      <c r="A3759" t="s">
        <v>5933</v>
      </c>
    </row>
    <row r="3760" spans="1:1" x14ac:dyDescent="0.25">
      <c r="A3760" t="s">
        <v>5934</v>
      </c>
    </row>
    <row r="3761" spans="1:1" x14ac:dyDescent="0.25">
      <c r="A3761" t="s">
        <v>5935</v>
      </c>
    </row>
    <row r="3762" spans="1:1" x14ac:dyDescent="0.25">
      <c r="A3762" t="s">
        <v>5936</v>
      </c>
    </row>
    <row r="3763" spans="1:1" x14ac:dyDescent="0.25">
      <c r="A3763" t="s">
        <v>5937</v>
      </c>
    </row>
    <row r="3764" spans="1:1" x14ac:dyDescent="0.25">
      <c r="A3764" t="s">
        <v>5938</v>
      </c>
    </row>
    <row r="3765" spans="1:1" x14ac:dyDescent="0.25">
      <c r="A3765" t="s">
        <v>5939</v>
      </c>
    </row>
    <row r="3766" spans="1:1" x14ac:dyDescent="0.25">
      <c r="A3766" t="s">
        <v>5940</v>
      </c>
    </row>
    <row r="3767" spans="1:1" x14ac:dyDescent="0.25">
      <c r="A3767" t="s">
        <v>5941</v>
      </c>
    </row>
    <row r="3768" spans="1:1" x14ac:dyDescent="0.25">
      <c r="A3768" t="s">
        <v>5942</v>
      </c>
    </row>
    <row r="3769" spans="1:1" x14ac:dyDescent="0.25">
      <c r="A3769" t="s">
        <v>5943</v>
      </c>
    </row>
    <row r="3770" spans="1:1" x14ac:dyDescent="0.25">
      <c r="A3770" t="s">
        <v>5944</v>
      </c>
    </row>
    <row r="3771" spans="1:1" x14ac:dyDescent="0.25">
      <c r="A3771" t="s">
        <v>5945</v>
      </c>
    </row>
    <row r="3772" spans="1:1" x14ac:dyDescent="0.25">
      <c r="A3772" t="s">
        <v>5946</v>
      </c>
    </row>
    <row r="3773" spans="1:1" x14ac:dyDescent="0.25">
      <c r="A3773" t="s">
        <v>5947</v>
      </c>
    </row>
    <row r="3774" spans="1:1" x14ac:dyDescent="0.25">
      <c r="A3774" t="s">
        <v>5948</v>
      </c>
    </row>
    <row r="3775" spans="1:1" x14ac:dyDescent="0.25">
      <c r="A3775" t="s">
        <v>5949</v>
      </c>
    </row>
    <row r="3776" spans="1:1" x14ac:dyDescent="0.25">
      <c r="A3776" t="s">
        <v>5950</v>
      </c>
    </row>
    <row r="3777" spans="1:1" x14ac:dyDescent="0.25">
      <c r="A3777" t="s">
        <v>5951</v>
      </c>
    </row>
    <row r="3778" spans="1:1" x14ac:dyDescent="0.25">
      <c r="A3778" t="s">
        <v>5952</v>
      </c>
    </row>
    <row r="3779" spans="1:1" x14ac:dyDescent="0.25">
      <c r="A3779" t="s">
        <v>5953</v>
      </c>
    </row>
    <row r="3780" spans="1:1" x14ac:dyDescent="0.25">
      <c r="A3780" t="s">
        <v>5954</v>
      </c>
    </row>
    <row r="3781" spans="1:1" x14ac:dyDescent="0.25">
      <c r="A3781" t="s">
        <v>5955</v>
      </c>
    </row>
    <row r="3782" spans="1:1" x14ac:dyDescent="0.25">
      <c r="A3782" t="s">
        <v>5956</v>
      </c>
    </row>
    <row r="3783" spans="1:1" x14ac:dyDescent="0.25">
      <c r="A3783" t="s">
        <v>5957</v>
      </c>
    </row>
    <row r="3784" spans="1:1" x14ac:dyDescent="0.25">
      <c r="A3784" t="s">
        <v>5958</v>
      </c>
    </row>
    <row r="3785" spans="1:1" x14ac:dyDescent="0.25">
      <c r="A3785" t="s">
        <v>5959</v>
      </c>
    </row>
    <row r="3786" spans="1:1" x14ac:dyDescent="0.25">
      <c r="A3786" t="s">
        <v>5960</v>
      </c>
    </row>
    <row r="3787" spans="1:1" x14ac:dyDescent="0.25">
      <c r="A3787" t="s">
        <v>5961</v>
      </c>
    </row>
    <row r="3788" spans="1:1" x14ac:dyDescent="0.25">
      <c r="A3788" t="s">
        <v>5962</v>
      </c>
    </row>
    <row r="3789" spans="1:1" x14ac:dyDescent="0.25">
      <c r="A3789" t="s">
        <v>5963</v>
      </c>
    </row>
    <row r="3790" spans="1:1" x14ac:dyDescent="0.25">
      <c r="A3790" t="s">
        <v>5964</v>
      </c>
    </row>
    <row r="3791" spans="1:1" x14ac:dyDescent="0.25">
      <c r="A3791" t="s">
        <v>5965</v>
      </c>
    </row>
    <row r="3792" spans="1:1" x14ac:dyDescent="0.25">
      <c r="A3792" t="s">
        <v>5966</v>
      </c>
    </row>
    <row r="3793" spans="1:1" x14ac:dyDescent="0.25">
      <c r="A3793" t="s">
        <v>5967</v>
      </c>
    </row>
    <row r="3794" spans="1:1" x14ac:dyDescent="0.25">
      <c r="A3794" t="s">
        <v>5968</v>
      </c>
    </row>
    <row r="3795" spans="1:1" x14ac:dyDescent="0.25">
      <c r="A3795" t="s">
        <v>5969</v>
      </c>
    </row>
    <row r="3796" spans="1:1" x14ac:dyDescent="0.25">
      <c r="A3796" t="s">
        <v>5970</v>
      </c>
    </row>
    <row r="3797" spans="1:1" x14ac:dyDescent="0.25">
      <c r="A3797" t="s">
        <v>5971</v>
      </c>
    </row>
    <row r="3798" spans="1:1" x14ac:dyDescent="0.25">
      <c r="A3798" t="s">
        <v>5972</v>
      </c>
    </row>
    <row r="3799" spans="1:1" x14ac:dyDescent="0.25">
      <c r="A3799" t="s">
        <v>5973</v>
      </c>
    </row>
    <row r="3800" spans="1:1" x14ac:dyDescent="0.25">
      <c r="A3800" t="s">
        <v>5974</v>
      </c>
    </row>
    <row r="3801" spans="1:1" x14ac:dyDescent="0.25">
      <c r="A3801" t="s">
        <v>5975</v>
      </c>
    </row>
    <row r="3802" spans="1:1" x14ac:dyDescent="0.25">
      <c r="A3802" t="s">
        <v>5976</v>
      </c>
    </row>
    <row r="3803" spans="1:1" x14ac:dyDescent="0.25">
      <c r="A3803" t="s">
        <v>5977</v>
      </c>
    </row>
    <row r="3804" spans="1:1" x14ac:dyDescent="0.25">
      <c r="A3804" t="s">
        <v>5978</v>
      </c>
    </row>
    <row r="3805" spans="1:1" x14ac:dyDescent="0.25">
      <c r="A3805" t="s">
        <v>5979</v>
      </c>
    </row>
    <row r="3806" spans="1:1" x14ac:dyDescent="0.25">
      <c r="A3806" t="s">
        <v>5980</v>
      </c>
    </row>
    <row r="3807" spans="1:1" x14ac:dyDescent="0.25">
      <c r="A3807" t="s">
        <v>5981</v>
      </c>
    </row>
    <row r="3808" spans="1:1" x14ac:dyDescent="0.25">
      <c r="A3808" t="s">
        <v>5982</v>
      </c>
    </row>
    <row r="3809" spans="1:1" x14ac:dyDescent="0.25">
      <c r="A3809" t="s">
        <v>5983</v>
      </c>
    </row>
    <row r="3810" spans="1:1" x14ac:dyDescent="0.25">
      <c r="A3810" t="s">
        <v>5984</v>
      </c>
    </row>
    <row r="3811" spans="1:1" x14ac:dyDescent="0.25">
      <c r="A3811" t="s">
        <v>5985</v>
      </c>
    </row>
    <row r="3812" spans="1:1" x14ac:dyDescent="0.25">
      <c r="A3812" t="s">
        <v>5986</v>
      </c>
    </row>
    <row r="3813" spans="1:1" x14ac:dyDescent="0.25">
      <c r="A3813" t="s">
        <v>5987</v>
      </c>
    </row>
    <row r="3814" spans="1:1" x14ac:dyDescent="0.25">
      <c r="A3814" t="s">
        <v>5988</v>
      </c>
    </row>
    <row r="3815" spans="1:1" x14ac:dyDescent="0.25">
      <c r="A3815" t="s">
        <v>5989</v>
      </c>
    </row>
    <row r="3816" spans="1:1" x14ac:dyDescent="0.25">
      <c r="A3816" t="s">
        <v>5990</v>
      </c>
    </row>
    <row r="3817" spans="1:1" x14ac:dyDescent="0.25">
      <c r="A3817" t="s">
        <v>5991</v>
      </c>
    </row>
    <row r="3818" spans="1:1" x14ac:dyDescent="0.25">
      <c r="A3818" t="s">
        <v>5992</v>
      </c>
    </row>
    <row r="3819" spans="1:1" x14ac:dyDescent="0.25">
      <c r="A3819" t="s">
        <v>5993</v>
      </c>
    </row>
    <row r="3820" spans="1:1" x14ac:dyDescent="0.25">
      <c r="A3820" t="s">
        <v>5994</v>
      </c>
    </row>
    <row r="3821" spans="1:1" x14ac:dyDescent="0.25">
      <c r="A3821" t="s">
        <v>5995</v>
      </c>
    </row>
    <row r="3822" spans="1:1" x14ac:dyDescent="0.25">
      <c r="A3822" t="s">
        <v>5996</v>
      </c>
    </row>
    <row r="3823" spans="1:1" x14ac:dyDescent="0.25">
      <c r="A3823" t="s">
        <v>5997</v>
      </c>
    </row>
    <row r="3824" spans="1:1" x14ac:dyDescent="0.25">
      <c r="A3824" t="s">
        <v>5998</v>
      </c>
    </row>
    <row r="3825" spans="1:1" x14ac:dyDescent="0.25">
      <c r="A3825" t="s">
        <v>5999</v>
      </c>
    </row>
    <row r="3826" spans="1:1" x14ac:dyDescent="0.25">
      <c r="A3826" t="s">
        <v>6000</v>
      </c>
    </row>
    <row r="3827" spans="1:1" x14ac:dyDescent="0.25">
      <c r="A3827" t="s">
        <v>6001</v>
      </c>
    </row>
    <row r="3828" spans="1:1" x14ac:dyDescent="0.25">
      <c r="A3828" t="s">
        <v>6002</v>
      </c>
    </row>
    <row r="3829" spans="1:1" x14ac:dyDescent="0.25">
      <c r="A3829" t="s">
        <v>6003</v>
      </c>
    </row>
    <row r="3830" spans="1:1" x14ac:dyDescent="0.25">
      <c r="A3830" t="s">
        <v>6004</v>
      </c>
    </row>
    <row r="3831" spans="1:1" x14ac:dyDescent="0.25">
      <c r="A3831" t="s">
        <v>6005</v>
      </c>
    </row>
    <row r="3832" spans="1:1" x14ac:dyDescent="0.25">
      <c r="A3832" t="s">
        <v>6006</v>
      </c>
    </row>
    <row r="3833" spans="1:1" x14ac:dyDescent="0.25">
      <c r="A3833" t="s">
        <v>6007</v>
      </c>
    </row>
    <row r="3834" spans="1:1" x14ac:dyDescent="0.25">
      <c r="A3834" t="s">
        <v>6008</v>
      </c>
    </row>
    <row r="3835" spans="1:1" x14ac:dyDescent="0.25">
      <c r="A3835" t="s">
        <v>6009</v>
      </c>
    </row>
    <row r="3836" spans="1:1" x14ac:dyDescent="0.25">
      <c r="A3836" t="s">
        <v>6010</v>
      </c>
    </row>
    <row r="3837" spans="1:1" x14ac:dyDescent="0.25">
      <c r="A3837" t="s">
        <v>6011</v>
      </c>
    </row>
    <row r="3838" spans="1:1" x14ac:dyDescent="0.25">
      <c r="A3838" t="s">
        <v>6012</v>
      </c>
    </row>
    <row r="3839" spans="1:1" x14ac:dyDescent="0.25">
      <c r="A3839" t="s">
        <v>6013</v>
      </c>
    </row>
    <row r="3840" spans="1:1" x14ac:dyDescent="0.25">
      <c r="A3840" t="s">
        <v>6014</v>
      </c>
    </row>
    <row r="3841" spans="1:1" x14ac:dyDescent="0.25">
      <c r="A3841" t="s">
        <v>6015</v>
      </c>
    </row>
    <row r="3842" spans="1:1" x14ac:dyDescent="0.25">
      <c r="A3842" t="s">
        <v>6016</v>
      </c>
    </row>
    <row r="3843" spans="1:1" x14ac:dyDescent="0.25">
      <c r="A3843" t="s">
        <v>6017</v>
      </c>
    </row>
    <row r="3844" spans="1:1" x14ac:dyDescent="0.25">
      <c r="A3844" t="s">
        <v>6018</v>
      </c>
    </row>
    <row r="3845" spans="1:1" x14ac:dyDescent="0.25">
      <c r="A3845" t="s">
        <v>6019</v>
      </c>
    </row>
    <row r="3846" spans="1:1" x14ac:dyDescent="0.25">
      <c r="A3846" t="s">
        <v>6020</v>
      </c>
    </row>
    <row r="3847" spans="1:1" x14ac:dyDescent="0.25">
      <c r="A3847" t="s">
        <v>6021</v>
      </c>
    </row>
    <row r="3848" spans="1:1" x14ac:dyDescent="0.25">
      <c r="A3848" t="s">
        <v>6022</v>
      </c>
    </row>
    <row r="3849" spans="1:1" x14ac:dyDescent="0.25">
      <c r="A3849" t="s">
        <v>6023</v>
      </c>
    </row>
    <row r="3850" spans="1:1" x14ac:dyDescent="0.25">
      <c r="A3850" t="s">
        <v>6024</v>
      </c>
    </row>
    <row r="3851" spans="1:1" x14ac:dyDescent="0.25">
      <c r="A3851" t="s">
        <v>6025</v>
      </c>
    </row>
    <row r="3852" spans="1:1" x14ac:dyDescent="0.25">
      <c r="A3852" t="s">
        <v>6026</v>
      </c>
    </row>
    <row r="3853" spans="1:1" x14ac:dyDescent="0.25">
      <c r="A3853" t="s">
        <v>6027</v>
      </c>
    </row>
    <row r="3854" spans="1:1" x14ac:dyDescent="0.25">
      <c r="A3854" t="s">
        <v>6028</v>
      </c>
    </row>
    <row r="3855" spans="1:1" x14ac:dyDescent="0.25">
      <c r="A3855" t="s">
        <v>6029</v>
      </c>
    </row>
    <row r="3856" spans="1:1" x14ac:dyDescent="0.25">
      <c r="A3856" t="s">
        <v>6030</v>
      </c>
    </row>
    <row r="3857" spans="1:1" x14ac:dyDescent="0.25">
      <c r="A3857" t="s">
        <v>6031</v>
      </c>
    </row>
    <row r="3858" spans="1:1" x14ac:dyDescent="0.25">
      <c r="A3858" t="s">
        <v>6032</v>
      </c>
    </row>
    <row r="3859" spans="1:1" x14ac:dyDescent="0.25">
      <c r="A3859" t="s">
        <v>6033</v>
      </c>
    </row>
    <row r="3860" spans="1:1" x14ac:dyDescent="0.25">
      <c r="A3860" t="s">
        <v>6034</v>
      </c>
    </row>
    <row r="3861" spans="1:1" x14ac:dyDescent="0.25">
      <c r="A3861" t="s">
        <v>6035</v>
      </c>
    </row>
    <row r="3862" spans="1:1" x14ac:dyDescent="0.25">
      <c r="A3862" t="s">
        <v>6036</v>
      </c>
    </row>
    <row r="3863" spans="1:1" x14ac:dyDescent="0.25">
      <c r="A3863" t="s">
        <v>6037</v>
      </c>
    </row>
    <row r="3864" spans="1:1" x14ac:dyDescent="0.25">
      <c r="A3864" t="s">
        <v>6038</v>
      </c>
    </row>
    <row r="3865" spans="1:1" x14ac:dyDescent="0.25">
      <c r="A3865" t="s">
        <v>6039</v>
      </c>
    </row>
    <row r="3866" spans="1:1" x14ac:dyDescent="0.25">
      <c r="A3866" t="s">
        <v>6040</v>
      </c>
    </row>
    <row r="3867" spans="1:1" x14ac:dyDescent="0.25">
      <c r="A3867" t="s">
        <v>6041</v>
      </c>
    </row>
    <row r="3868" spans="1:1" x14ac:dyDescent="0.25">
      <c r="A3868" t="s">
        <v>6042</v>
      </c>
    </row>
    <row r="3869" spans="1:1" x14ac:dyDescent="0.25">
      <c r="A3869" t="s">
        <v>6043</v>
      </c>
    </row>
    <row r="3870" spans="1:1" x14ac:dyDescent="0.25">
      <c r="A3870" t="s">
        <v>6044</v>
      </c>
    </row>
    <row r="3871" spans="1:1" x14ac:dyDescent="0.25">
      <c r="A3871" t="s">
        <v>6045</v>
      </c>
    </row>
    <row r="3872" spans="1:1" x14ac:dyDescent="0.25">
      <c r="A3872" t="s">
        <v>6046</v>
      </c>
    </row>
    <row r="3873" spans="1:1" x14ac:dyDescent="0.25">
      <c r="A3873" t="s">
        <v>6047</v>
      </c>
    </row>
    <row r="3874" spans="1:1" x14ac:dyDescent="0.25">
      <c r="A3874" t="s">
        <v>6048</v>
      </c>
    </row>
    <row r="3875" spans="1:1" x14ac:dyDescent="0.25">
      <c r="A3875" t="s">
        <v>6049</v>
      </c>
    </row>
    <row r="3876" spans="1:1" x14ac:dyDescent="0.25">
      <c r="A3876" t="s">
        <v>6050</v>
      </c>
    </row>
    <row r="3877" spans="1:1" x14ac:dyDescent="0.25">
      <c r="A3877" t="s">
        <v>6051</v>
      </c>
    </row>
    <row r="3878" spans="1:1" x14ac:dyDescent="0.25">
      <c r="A3878" t="s">
        <v>6052</v>
      </c>
    </row>
    <row r="3879" spans="1:1" x14ac:dyDescent="0.25">
      <c r="A3879" t="s">
        <v>6053</v>
      </c>
    </row>
    <row r="3880" spans="1:1" x14ac:dyDescent="0.25">
      <c r="A3880" t="s">
        <v>6054</v>
      </c>
    </row>
    <row r="3881" spans="1:1" x14ac:dyDescent="0.25">
      <c r="A3881" t="s">
        <v>6055</v>
      </c>
    </row>
    <row r="3882" spans="1:1" x14ac:dyDescent="0.25">
      <c r="A3882" t="s">
        <v>6056</v>
      </c>
    </row>
    <row r="3883" spans="1:1" x14ac:dyDescent="0.25">
      <c r="A3883" t="s">
        <v>6057</v>
      </c>
    </row>
    <row r="3884" spans="1:1" x14ac:dyDescent="0.25">
      <c r="A3884" t="s">
        <v>6058</v>
      </c>
    </row>
    <row r="3885" spans="1:1" x14ac:dyDescent="0.25">
      <c r="A3885" t="s">
        <v>6059</v>
      </c>
    </row>
    <row r="3886" spans="1:1" x14ac:dyDescent="0.25">
      <c r="A3886" t="s">
        <v>6060</v>
      </c>
    </row>
    <row r="3887" spans="1:1" x14ac:dyDescent="0.25">
      <c r="A3887" t="s">
        <v>6061</v>
      </c>
    </row>
    <row r="3888" spans="1:1" x14ac:dyDescent="0.25">
      <c r="A3888" t="s">
        <v>6062</v>
      </c>
    </row>
    <row r="3889" spans="1:1" x14ac:dyDescent="0.25">
      <c r="A3889" t="s">
        <v>6063</v>
      </c>
    </row>
    <row r="3890" spans="1:1" x14ac:dyDescent="0.25">
      <c r="A3890" t="s">
        <v>6064</v>
      </c>
    </row>
    <row r="3891" spans="1:1" x14ac:dyDescent="0.25">
      <c r="A3891" t="s">
        <v>6065</v>
      </c>
    </row>
    <row r="3892" spans="1:1" x14ac:dyDescent="0.25">
      <c r="A3892" t="s">
        <v>6066</v>
      </c>
    </row>
    <row r="3893" spans="1:1" x14ac:dyDescent="0.25">
      <c r="A3893" t="s">
        <v>6067</v>
      </c>
    </row>
    <row r="3894" spans="1:1" x14ac:dyDescent="0.25">
      <c r="A3894" t="s">
        <v>6068</v>
      </c>
    </row>
    <row r="3895" spans="1:1" x14ac:dyDescent="0.25">
      <c r="A3895" t="s">
        <v>6069</v>
      </c>
    </row>
    <row r="3896" spans="1:1" x14ac:dyDescent="0.25">
      <c r="A3896" t="s">
        <v>6070</v>
      </c>
    </row>
    <row r="3897" spans="1:1" x14ac:dyDescent="0.25">
      <c r="A3897" t="s">
        <v>6071</v>
      </c>
    </row>
    <row r="3898" spans="1:1" x14ac:dyDescent="0.25">
      <c r="A3898" t="s">
        <v>6072</v>
      </c>
    </row>
    <row r="3899" spans="1:1" x14ac:dyDescent="0.25">
      <c r="A3899" t="s">
        <v>6073</v>
      </c>
    </row>
    <row r="3900" spans="1:1" x14ac:dyDescent="0.25">
      <c r="A3900" t="s">
        <v>6074</v>
      </c>
    </row>
    <row r="3901" spans="1:1" x14ac:dyDescent="0.25">
      <c r="A3901" t="s">
        <v>6075</v>
      </c>
    </row>
    <row r="3902" spans="1:1" x14ac:dyDescent="0.25">
      <c r="A3902" t="s">
        <v>6076</v>
      </c>
    </row>
    <row r="3903" spans="1:1" x14ac:dyDescent="0.25">
      <c r="A3903" t="s">
        <v>6077</v>
      </c>
    </row>
    <row r="3904" spans="1:1" x14ac:dyDescent="0.25">
      <c r="A3904" t="s">
        <v>6078</v>
      </c>
    </row>
    <row r="3905" spans="1:1" x14ac:dyDescent="0.25">
      <c r="A3905" t="s">
        <v>6079</v>
      </c>
    </row>
    <row r="3906" spans="1:1" x14ac:dyDescent="0.25">
      <c r="A3906" t="s">
        <v>6080</v>
      </c>
    </row>
    <row r="3907" spans="1:1" x14ac:dyDescent="0.25">
      <c r="A3907" t="s">
        <v>6081</v>
      </c>
    </row>
    <row r="3908" spans="1:1" x14ac:dyDescent="0.25">
      <c r="A3908" t="s">
        <v>6082</v>
      </c>
    </row>
    <row r="3909" spans="1:1" x14ac:dyDescent="0.25">
      <c r="A3909" t="s">
        <v>6083</v>
      </c>
    </row>
    <row r="3910" spans="1:1" x14ac:dyDescent="0.25">
      <c r="A3910" t="s">
        <v>6084</v>
      </c>
    </row>
    <row r="3911" spans="1:1" x14ac:dyDescent="0.25">
      <c r="A3911" t="s">
        <v>6085</v>
      </c>
    </row>
    <row r="3912" spans="1:1" x14ac:dyDescent="0.25">
      <c r="A3912" t="s">
        <v>6086</v>
      </c>
    </row>
    <row r="3913" spans="1:1" x14ac:dyDescent="0.25">
      <c r="A3913" t="s">
        <v>6087</v>
      </c>
    </row>
    <row r="3914" spans="1:1" x14ac:dyDescent="0.25">
      <c r="A3914" t="s">
        <v>6088</v>
      </c>
    </row>
    <row r="3915" spans="1:1" x14ac:dyDescent="0.25">
      <c r="A3915" t="s">
        <v>6089</v>
      </c>
    </row>
    <row r="3916" spans="1:1" x14ac:dyDescent="0.25">
      <c r="A3916" t="s">
        <v>6090</v>
      </c>
    </row>
    <row r="3917" spans="1:1" x14ac:dyDescent="0.25">
      <c r="A3917" t="s">
        <v>6091</v>
      </c>
    </row>
    <row r="3918" spans="1:1" x14ac:dyDescent="0.25">
      <c r="A3918" t="s">
        <v>6092</v>
      </c>
    </row>
    <row r="3919" spans="1:1" x14ac:dyDescent="0.25">
      <c r="A3919" t="s">
        <v>6093</v>
      </c>
    </row>
    <row r="3920" spans="1:1" x14ac:dyDescent="0.25">
      <c r="A3920" t="s">
        <v>6094</v>
      </c>
    </row>
    <row r="3921" spans="1:1" x14ac:dyDescent="0.25">
      <c r="A3921" t="s">
        <v>6095</v>
      </c>
    </row>
    <row r="3922" spans="1:1" x14ac:dyDescent="0.25">
      <c r="A3922" t="s">
        <v>6096</v>
      </c>
    </row>
    <row r="3923" spans="1:1" x14ac:dyDescent="0.25">
      <c r="A3923" t="s">
        <v>6097</v>
      </c>
    </row>
    <row r="3924" spans="1:1" x14ac:dyDescent="0.25">
      <c r="A3924" t="s">
        <v>6098</v>
      </c>
    </row>
    <row r="3925" spans="1:1" x14ac:dyDescent="0.25">
      <c r="A3925" t="s">
        <v>6099</v>
      </c>
    </row>
    <row r="3926" spans="1:1" x14ac:dyDescent="0.25">
      <c r="A3926" t="s">
        <v>6100</v>
      </c>
    </row>
    <row r="3927" spans="1:1" x14ac:dyDescent="0.25">
      <c r="A3927" t="s">
        <v>6101</v>
      </c>
    </row>
    <row r="3928" spans="1:1" x14ac:dyDescent="0.25">
      <c r="A3928" t="s">
        <v>6102</v>
      </c>
    </row>
    <row r="3929" spans="1:1" x14ac:dyDescent="0.25">
      <c r="A3929" t="s">
        <v>6103</v>
      </c>
    </row>
    <row r="3930" spans="1:1" x14ac:dyDescent="0.25">
      <c r="A3930" t="s">
        <v>6104</v>
      </c>
    </row>
    <row r="3931" spans="1:1" x14ac:dyDescent="0.25">
      <c r="A3931" t="s">
        <v>6105</v>
      </c>
    </row>
    <row r="3932" spans="1:1" x14ac:dyDescent="0.25">
      <c r="A3932" t="s">
        <v>6106</v>
      </c>
    </row>
    <row r="3933" spans="1:1" x14ac:dyDescent="0.25">
      <c r="A3933" t="s">
        <v>6107</v>
      </c>
    </row>
    <row r="3934" spans="1:1" x14ac:dyDescent="0.25">
      <c r="A3934" t="s">
        <v>6108</v>
      </c>
    </row>
    <row r="3935" spans="1:1" x14ac:dyDescent="0.25">
      <c r="A3935" t="s">
        <v>6109</v>
      </c>
    </row>
    <row r="3936" spans="1:1" x14ac:dyDescent="0.25">
      <c r="A3936" t="s">
        <v>6110</v>
      </c>
    </row>
    <row r="3937" spans="1:1" x14ac:dyDescent="0.25">
      <c r="A3937" t="s">
        <v>6111</v>
      </c>
    </row>
    <row r="3938" spans="1:1" x14ac:dyDescent="0.25">
      <c r="A3938" t="s">
        <v>6112</v>
      </c>
    </row>
    <row r="3939" spans="1:1" x14ac:dyDescent="0.25">
      <c r="A3939" t="s">
        <v>6113</v>
      </c>
    </row>
    <row r="3940" spans="1:1" x14ac:dyDescent="0.25">
      <c r="A3940" t="s">
        <v>6114</v>
      </c>
    </row>
    <row r="3941" spans="1:1" x14ac:dyDescent="0.25">
      <c r="A3941" t="s">
        <v>6115</v>
      </c>
    </row>
    <row r="3942" spans="1:1" x14ac:dyDescent="0.25">
      <c r="A3942" t="s">
        <v>6116</v>
      </c>
    </row>
    <row r="3943" spans="1:1" x14ac:dyDescent="0.25">
      <c r="A3943" t="s">
        <v>6117</v>
      </c>
    </row>
    <row r="3944" spans="1:1" x14ac:dyDescent="0.25">
      <c r="A3944" t="s">
        <v>6118</v>
      </c>
    </row>
    <row r="3945" spans="1:1" x14ac:dyDescent="0.25">
      <c r="A3945" t="s">
        <v>6119</v>
      </c>
    </row>
    <row r="3946" spans="1:1" x14ac:dyDescent="0.25">
      <c r="A3946" t="s">
        <v>6120</v>
      </c>
    </row>
    <row r="3947" spans="1:1" x14ac:dyDescent="0.25">
      <c r="A3947" t="s">
        <v>6121</v>
      </c>
    </row>
    <row r="3948" spans="1:1" x14ac:dyDescent="0.25">
      <c r="A3948" t="s">
        <v>6122</v>
      </c>
    </row>
    <row r="3949" spans="1:1" x14ac:dyDescent="0.25">
      <c r="A3949" t="s">
        <v>6123</v>
      </c>
    </row>
    <row r="3950" spans="1:1" x14ac:dyDescent="0.25">
      <c r="A3950" t="s">
        <v>6124</v>
      </c>
    </row>
    <row r="3951" spans="1:1" x14ac:dyDescent="0.25">
      <c r="A3951" t="s">
        <v>6125</v>
      </c>
    </row>
    <row r="3952" spans="1:1" x14ac:dyDescent="0.25">
      <c r="A3952" t="s">
        <v>6126</v>
      </c>
    </row>
    <row r="3953" spans="1:1" x14ac:dyDescent="0.25">
      <c r="A3953" t="s">
        <v>6127</v>
      </c>
    </row>
    <row r="3954" spans="1:1" x14ac:dyDescent="0.25">
      <c r="A3954" t="s">
        <v>6128</v>
      </c>
    </row>
    <row r="3955" spans="1:1" x14ac:dyDescent="0.25">
      <c r="A3955" t="s">
        <v>6129</v>
      </c>
    </row>
    <row r="3956" spans="1:1" x14ac:dyDescent="0.25">
      <c r="A3956" t="s">
        <v>6130</v>
      </c>
    </row>
    <row r="3957" spans="1:1" x14ac:dyDescent="0.25">
      <c r="A3957" t="s">
        <v>6131</v>
      </c>
    </row>
    <row r="3958" spans="1:1" x14ac:dyDescent="0.25">
      <c r="A3958" t="s">
        <v>6132</v>
      </c>
    </row>
    <row r="3959" spans="1:1" x14ac:dyDescent="0.25">
      <c r="A3959" t="s">
        <v>6133</v>
      </c>
    </row>
    <row r="3960" spans="1:1" x14ac:dyDescent="0.25">
      <c r="A3960" t="s">
        <v>6134</v>
      </c>
    </row>
    <row r="3961" spans="1:1" x14ac:dyDescent="0.25">
      <c r="A3961" t="s">
        <v>6135</v>
      </c>
    </row>
    <row r="3962" spans="1:1" x14ac:dyDescent="0.25">
      <c r="A3962" t="s">
        <v>6136</v>
      </c>
    </row>
    <row r="3963" spans="1:1" x14ac:dyDescent="0.25">
      <c r="A3963" t="s">
        <v>6137</v>
      </c>
    </row>
    <row r="3964" spans="1:1" x14ac:dyDescent="0.25">
      <c r="A3964" t="s">
        <v>6138</v>
      </c>
    </row>
    <row r="3965" spans="1:1" x14ac:dyDescent="0.25">
      <c r="A3965" t="s">
        <v>6139</v>
      </c>
    </row>
    <row r="3966" spans="1:1" x14ac:dyDescent="0.25">
      <c r="A3966" t="s">
        <v>6140</v>
      </c>
    </row>
    <row r="3967" spans="1:1" x14ac:dyDescent="0.25">
      <c r="A3967" t="s">
        <v>6141</v>
      </c>
    </row>
    <row r="3968" spans="1:1" x14ac:dyDescent="0.25">
      <c r="A3968" t="s">
        <v>6142</v>
      </c>
    </row>
    <row r="3969" spans="1:1" x14ac:dyDescent="0.25">
      <c r="A3969" t="s">
        <v>6143</v>
      </c>
    </row>
    <row r="3970" spans="1:1" x14ac:dyDescent="0.25">
      <c r="A3970" t="s">
        <v>6144</v>
      </c>
    </row>
    <row r="3971" spans="1:1" x14ac:dyDescent="0.25">
      <c r="A3971" t="s">
        <v>6145</v>
      </c>
    </row>
    <row r="3972" spans="1:1" x14ac:dyDescent="0.25">
      <c r="A3972" t="s">
        <v>6146</v>
      </c>
    </row>
    <row r="3973" spans="1:1" x14ac:dyDescent="0.25">
      <c r="A3973" t="s">
        <v>6147</v>
      </c>
    </row>
    <row r="3974" spans="1:1" x14ac:dyDescent="0.25">
      <c r="A3974" t="s">
        <v>6148</v>
      </c>
    </row>
    <row r="3975" spans="1:1" x14ac:dyDescent="0.25">
      <c r="A3975" t="s">
        <v>6149</v>
      </c>
    </row>
    <row r="3976" spans="1:1" x14ac:dyDescent="0.25">
      <c r="A3976" t="s">
        <v>6150</v>
      </c>
    </row>
    <row r="3977" spans="1:1" x14ac:dyDescent="0.25">
      <c r="A3977" t="s">
        <v>6151</v>
      </c>
    </row>
    <row r="3978" spans="1:1" x14ac:dyDescent="0.25">
      <c r="A3978" t="s">
        <v>6152</v>
      </c>
    </row>
    <row r="3979" spans="1:1" x14ac:dyDescent="0.25">
      <c r="A3979" t="s">
        <v>6153</v>
      </c>
    </row>
    <row r="3980" spans="1:1" x14ac:dyDescent="0.25">
      <c r="A3980" t="s">
        <v>6154</v>
      </c>
    </row>
    <row r="3981" spans="1:1" x14ac:dyDescent="0.25">
      <c r="A3981" t="s">
        <v>6155</v>
      </c>
    </row>
    <row r="3982" spans="1:1" x14ac:dyDescent="0.25">
      <c r="A3982" t="s">
        <v>6156</v>
      </c>
    </row>
    <row r="3983" spans="1:1" x14ac:dyDescent="0.25">
      <c r="A3983" t="s">
        <v>6157</v>
      </c>
    </row>
    <row r="3984" spans="1:1" x14ac:dyDescent="0.25">
      <c r="A3984" t="s">
        <v>6158</v>
      </c>
    </row>
    <row r="3985" spans="1:1" x14ac:dyDescent="0.25">
      <c r="A3985" t="s">
        <v>6159</v>
      </c>
    </row>
    <row r="3986" spans="1:1" x14ac:dyDescent="0.25">
      <c r="A3986" t="s">
        <v>6160</v>
      </c>
    </row>
    <row r="3987" spans="1:1" x14ac:dyDescent="0.25">
      <c r="A3987" t="s">
        <v>6161</v>
      </c>
    </row>
    <row r="3988" spans="1:1" x14ac:dyDescent="0.25">
      <c r="A3988" t="s">
        <v>6162</v>
      </c>
    </row>
    <row r="3989" spans="1:1" x14ac:dyDescent="0.25">
      <c r="A3989" t="s">
        <v>6163</v>
      </c>
    </row>
    <row r="3990" spans="1:1" x14ac:dyDescent="0.25">
      <c r="A3990" t="s">
        <v>6164</v>
      </c>
    </row>
    <row r="3991" spans="1:1" x14ac:dyDescent="0.25">
      <c r="A3991" t="s">
        <v>6165</v>
      </c>
    </row>
    <row r="3992" spans="1:1" x14ac:dyDescent="0.25">
      <c r="A3992" t="s">
        <v>6166</v>
      </c>
    </row>
    <row r="3993" spans="1:1" x14ac:dyDescent="0.25">
      <c r="A3993" t="s">
        <v>6167</v>
      </c>
    </row>
    <row r="3994" spans="1:1" x14ac:dyDescent="0.25">
      <c r="A3994" t="s">
        <v>6168</v>
      </c>
    </row>
    <row r="3995" spans="1:1" x14ac:dyDescent="0.25">
      <c r="A3995" t="s">
        <v>6169</v>
      </c>
    </row>
    <row r="3996" spans="1:1" x14ac:dyDescent="0.25">
      <c r="A3996" t="s">
        <v>6170</v>
      </c>
    </row>
    <row r="3997" spans="1:1" x14ac:dyDescent="0.25">
      <c r="A3997" t="s">
        <v>6171</v>
      </c>
    </row>
    <row r="3998" spans="1:1" x14ac:dyDescent="0.25">
      <c r="A3998" t="s">
        <v>6172</v>
      </c>
    </row>
    <row r="3999" spans="1:1" x14ac:dyDescent="0.25">
      <c r="A3999" t="s">
        <v>6173</v>
      </c>
    </row>
    <row r="4000" spans="1:1" x14ac:dyDescent="0.25">
      <c r="A4000" t="s">
        <v>6174</v>
      </c>
    </row>
    <row r="4001" spans="1:1" x14ac:dyDescent="0.25">
      <c r="A4001" t="s">
        <v>6175</v>
      </c>
    </row>
    <row r="4002" spans="1:1" x14ac:dyDescent="0.25">
      <c r="A4002" t="s">
        <v>6176</v>
      </c>
    </row>
    <row r="4003" spans="1:1" x14ac:dyDescent="0.25">
      <c r="A4003" t="s">
        <v>6177</v>
      </c>
    </row>
    <row r="4004" spans="1:1" x14ac:dyDescent="0.25">
      <c r="A4004" t="s">
        <v>6178</v>
      </c>
    </row>
    <row r="4005" spans="1:1" x14ac:dyDescent="0.25">
      <c r="A4005" t="s">
        <v>6179</v>
      </c>
    </row>
    <row r="4006" spans="1:1" x14ac:dyDescent="0.25">
      <c r="A4006" t="s">
        <v>6180</v>
      </c>
    </row>
    <row r="4007" spans="1:1" x14ac:dyDescent="0.25">
      <c r="A4007" t="s">
        <v>6181</v>
      </c>
    </row>
    <row r="4008" spans="1:1" x14ac:dyDescent="0.25">
      <c r="A4008" t="s">
        <v>6182</v>
      </c>
    </row>
    <row r="4009" spans="1:1" x14ac:dyDescent="0.25">
      <c r="A4009" t="s">
        <v>6183</v>
      </c>
    </row>
    <row r="4010" spans="1:1" x14ac:dyDescent="0.25">
      <c r="A4010" t="s">
        <v>6184</v>
      </c>
    </row>
    <row r="4011" spans="1:1" x14ac:dyDescent="0.25">
      <c r="A4011" t="s">
        <v>6185</v>
      </c>
    </row>
    <row r="4012" spans="1:1" x14ac:dyDescent="0.25">
      <c r="A4012" t="s">
        <v>6186</v>
      </c>
    </row>
    <row r="4013" spans="1:1" x14ac:dyDescent="0.25">
      <c r="A4013" t="s">
        <v>6187</v>
      </c>
    </row>
    <row r="4014" spans="1:1" x14ac:dyDescent="0.25">
      <c r="A4014" t="s">
        <v>6188</v>
      </c>
    </row>
    <row r="4015" spans="1:1" x14ac:dyDescent="0.25">
      <c r="A4015" t="s">
        <v>6189</v>
      </c>
    </row>
    <row r="4016" spans="1:1" x14ac:dyDescent="0.25">
      <c r="A4016" t="s">
        <v>6190</v>
      </c>
    </row>
    <row r="4017" spans="1:1" x14ac:dyDescent="0.25">
      <c r="A4017" t="s">
        <v>6191</v>
      </c>
    </row>
    <row r="4018" spans="1:1" x14ac:dyDescent="0.25">
      <c r="A4018" t="s">
        <v>6192</v>
      </c>
    </row>
    <row r="4019" spans="1:1" x14ac:dyDescent="0.25">
      <c r="A4019" t="s">
        <v>6193</v>
      </c>
    </row>
    <row r="4020" spans="1:1" x14ac:dyDescent="0.25">
      <c r="A4020" t="s">
        <v>6194</v>
      </c>
    </row>
    <row r="4021" spans="1:1" x14ac:dyDescent="0.25">
      <c r="A4021" t="s">
        <v>6195</v>
      </c>
    </row>
    <row r="4022" spans="1:1" x14ac:dyDescent="0.25">
      <c r="A4022" t="s">
        <v>6196</v>
      </c>
    </row>
    <row r="4023" spans="1:1" x14ac:dyDescent="0.25">
      <c r="A4023" t="s">
        <v>6197</v>
      </c>
    </row>
    <row r="4024" spans="1:1" x14ac:dyDescent="0.25">
      <c r="A4024" t="s">
        <v>6198</v>
      </c>
    </row>
    <row r="4025" spans="1:1" x14ac:dyDescent="0.25">
      <c r="A4025" t="s">
        <v>6199</v>
      </c>
    </row>
    <row r="4026" spans="1:1" x14ac:dyDescent="0.25">
      <c r="A4026" t="s">
        <v>6200</v>
      </c>
    </row>
    <row r="4027" spans="1:1" x14ac:dyDescent="0.25">
      <c r="A4027" t="s">
        <v>6201</v>
      </c>
    </row>
    <row r="4028" spans="1:1" x14ac:dyDescent="0.25">
      <c r="A4028" t="s">
        <v>6202</v>
      </c>
    </row>
    <row r="4029" spans="1:1" x14ac:dyDescent="0.25">
      <c r="A4029" t="s">
        <v>6203</v>
      </c>
    </row>
    <row r="4030" spans="1:1" x14ac:dyDescent="0.25">
      <c r="A4030" t="s">
        <v>6204</v>
      </c>
    </row>
    <row r="4031" spans="1:1" x14ac:dyDescent="0.25">
      <c r="A4031" t="s">
        <v>6205</v>
      </c>
    </row>
    <row r="4032" spans="1:1" x14ac:dyDescent="0.25">
      <c r="A4032" t="s">
        <v>6206</v>
      </c>
    </row>
    <row r="4033" spans="1:1" x14ac:dyDescent="0.25">
      <c r="A4033" t="s">
        <v>6207</v>
      </c>
    </row>
    <row r="4034" spans="1:1" x14ac:dyDescent="0.25">
      <c r="A4034" t="s">
        <v>6208</v>
      </c>
    </row>
    <row r="4035" spans="1:1" x14ac:dyDescent="0.25">
      <c r="A4035" t="s">
        <v>6209</v>
      </c>
    </row>
    <row r="4036" spans="1:1" x14ac:dyDescent="0.25">
      <c r="A4036" t="s">
        <v>6210</v>
      </c>
    </row>
    <row r="4037" spans="1:1" x14ac:dyDescent="0.25">
      <c r="A4037" t="s">
        <v>6211</v>
      </c>
    </row>
    <row r="4038" spans="1:1" x14ac:dyDescent="0.25">
      <c r="A4038" t="s">
        <v>6212</v>
      </c>
    </row>
    <row r="4039" spans="1:1" x14ac:dyDescent="0.25">
      <c r="A4039" t="s">
        <v>6213</v>
      </c>
    </row>
    <row r="4040" spans="1:1" x14ac:dyDescent="0.25">
      <c r="A4040" t="s">
        <v>6214</v>
      </c>
    </row>
    <row r="4041" spans="1:1" x14ac:dyDescent="0.25">
      <c r="A4041" t="s">
        <v>6215</v>
      </c>
    </row>
    <row r="4042" spans="1:1" x14ac:dyDescent="0.25">
      <c r="A4042" t="s">
        <v>6216</v>
      </c>
    </row>
    <row r="4043" spans="1:1" x14ac:dyDescent="0.25">
      <c r="A4043" t="s">
        <v>6217</v>
      </c>
    </row>
    <row r="4044" spans="1:1" x14ac:dyDescent="0.25">
      <c r="A4044" t="s">
        <v>6218</v>
      </c>
    </row>
    <row r="4045" spans="1:1" x14ac:dyDescent="0.25">
      <c r="A4045" t="s">
        <v>6219</v>
      </c>
    </row>
    <row r="4046" spans="1:1" x14ac:dyDescent="0.25">
      <c r="A4046" t="s">
        <v>6220</v>
      </c>
    </row>
    <row r="4047" spans="1:1" x14ac:dyDescent="0.25">
      <c r="A4047" t="s">
        <v>6221</v>
      </c>
    </row>
    <row r="4048" spans="1:1" x14ac:dyDescent="0.25">
      <c r="A4048" t="s">
        <v>6222</v>
      </c>
    </row>
    <row r="4049" spans="1:1" x14ac:dyDescent="0.25">
      <c r="A4049" t="s">
        <v>6223</v>
      </c>
    </row>
    <row r="4050" spans="1:1" x14ac:dyDescent="0.25">
      <c r="A4050" t="s">
        <v>6224</v>
      </c>
    </row>
    <row r="4051" spans="1:1" x14ac:dyDescent="0.25">
      <c r="A4051" t="s">
        <v>6225</v>
      </c>
    </row>
    <row r="4052" spans="1:1" x14ac:dyDescent="0.25">
      <c r="A4052" t="s">
        <v>6226</v>
      </c>
    </row>
    <row r="4053" spans="1:1" x14ac:dyDescent="0.25">
      <c r="A4053" t="s">
        <v>6227</v>
      </c>
    </row>
    <row r="4054" spans="1:1" x14ac:dyDescent="0.25">
      <c r="A4054" t="s">
        <v>6228</v>
      </c>
    </row>
    <row r="4055" spans="1:1" x14ac:dyDescent="0.25">
      <c r="A4055" t="s">
        <v>6229</v>
      </c>
    </row>
    <row r="4056" spans="1:1" x14ac:dyDescent="0.25">
      <c r="A4056" t="s">
        <v>6230</v>
      </c>
    </row>
    <row r="4057" spans="1:1" x14ac:dyDescent="0.25">
      <c r="A4057" t="s">
        <v>6231</v>
      </c>
    </row>
    <row r="4058" spans="1:1" x14ac:dyDescent="0.25">
      <c r="A4058" t="s">
        <v>6232</v>
      </c>
    </row>
    <row r="4059" spans="1:1" x14ac:dyDescent="0.25">
      <c r="A4059" t="s">
        <v>6233</v>
      </c>
    </row>
    <row r="4060" spans="1:1" x14ac:dyDescent="0.25">
      <c r="A4060" t="s">
        <v>6234</v>
      </c>
    </row>
    <row r="4061" spans="1:1" x14ac:dyDescent="0.25">
      <c r="A4061" t="s">
        <v>6235</v>
      </c>
    </row>
    <row r="4062" spans="1:1" x14ac:dyDescent="0.25">
      <c r="A4062" t="s">
        <v>6236</v>
      </c>
    </row>
    <row r="4063" spans="1:1" x14ac:dyDescent="0.25">
      <c r="A4063" t="s">
        <v>6237</v>
      </c>
    </row>
    <row r="4064" spans="1:1" x14ac:dyDescent="0.25">
      <c r="A4064" t="s">
        <v>6238</v>
      </c>
    </row>
    <row r="4065" spans="1:1" x14ac:dyDescent="0.25">
      <c r="A4065" t="s">
        <v>6239</v>
      </c>
    </row>
    <row r="4066" spans="1:1" x14ac:dyDescent="0.25">
      <c r="A4066" t="s">
        <v>6240</v>
      </c>
    </row>
    <row r="4067" spans="1:1" x14ac:dyDescent="0.25">
      <c r="A4067" t="s">
        <v>6241</v>
      </c>
    </row>
    <row r="4068" spans="1:1" x14ac:dyDescent="0.25">
      <c r="A4068" t="s">
        <v>6242</v>
      </c>
    </row>
    <row r="4069" spans="1:1" x14ac:dyDescent="0.25">
      <c r="A4069" t="s">
        <v>6243</v>
      </c>
    </row>
    <row r="4070" spans="1:1" x14ac:dyDescent="0.25">
      <c r="A4070" t="s">
        <v>6244</v>
      </c>
    </row>
    <row r="4071" spans="1:1" x14ac:dyDescent="0.25">
      <c r="A4071" t="s">
        <v>6245</v>
      </c>
    </row>
    <row r="4072" spans="1:1" x14ac:dyDescent="0.25">
      <c r="A4072" t="s">
        <v>6246</v>
      </c>
    </row>
    <row r="4073" spans="1:1" x14ac:dyDescent="0.25">
      <c r="A4073" t="s">
        <v>6247</v>
      </c>
    </row>
    <row r="4074" spans="1:1" x14ac:dyDescent="0.25">
      <c r="A4074" t="s">
        <v>6248</v>
      </c>
    </row>
    <row r="4075" spans="1:1" x14ac:dyDescent="0.25">
      <c r="A4075" t="s">
        <v>6249</v>
      </c>
    </row>
    <row r="4076" spans="1:1" x14ac:dyDescent="0.25">
      <c r="A4076" t="s">
        <v>6250</v>
      </c>
    </row>
    <row r="4077" spans="1:1" x14ac:dyDescent="0.25">
      <c r="A4077" t="s">
        <v>6251</v>
      </c>
    </row>
    <row r="4078" spans="1:1" x14ac:dyDescent="0.25">
      <c r="A4078" t="s">
        <v>6252</v>
      </c>
    </row>
    <row r="4079" spans="1:1" x14ac:dyDescent="0.25">
      <c r="A4079" t="s">
        <v>6253</v>
      </c>
    </row>
    <row r="4080" spans="1:1" x14ac:dyDescent="0.25">
      <c r="A4080" t="s">
        <v>6254</v>
      </c>
    </row>
    <row r="4081" spans="1:1" x14ac:dyDescent="0.25">
      <c r="A4081" t="s">
        <v>6255</v>
      </c>
    </row>
    <row r="4082" spans="1:1" x14ac:dyDescent="0.25">
      <c r="A4082" t="s">
        <v>6256</v>
      </c>
    </row>
    <row r="4083" spans="1:1" x14ac:dyDescent="0.25">
      <c r="A4083" t="s">
        <v>6257</v>
      </c>
    </row>
    <row r="4084" spans="1:1" x14ac:dyDescent="0.25">
      <c r="A4084" t="s">
        <v>6258</v>
      </c>
    </row>
    <row r="4085" spans="1:1" x14ac:dyDescent="0.25">
      <c r="A4085" t="s">
        <v>6259</v>
      </c>
    </row>
    <row r="4086" spans="1:1" x14ac:dyDescent="0.25">
      <c r="A4086" t="s">
        <v>6260</v>
      </c>
    </row>
    <row r="4087" spans="1:1" x14ac:dyDescent="0.25">
      <c r="A4087" t="s">
        <v>6261</v>
      </c>
    </row>
    <row r="4088" spans="1:1" x14ac:dyDescent="0.25">
      <c r="A4088" t="s">
        <v>6262</v>
      </c>
    </row>
    <row r="4089" spans="1:1" x14ac:dyDescent="0.25">
      <c r="A4089" t="s">
        <v>6263</v>
      </c>
    </row>
    <row r="4090" spans="1:1" x14ac:dyDescent="0.25">
      <c r="A4090" t="s">
        <v>6264</v>
      </c>
    </row>
    <row r="4091" spans="1:1" x14ac:dyDescent="0.25">
      <c r="A4091" t="s">
        <v>6265</v>
      </c>
    </row>
    <row r="4092" spans="1:1" x14ac:dyDescent="0.25">
      <c r="A4092" t="s">
        <v>6266</v>
      </c>
    </row>
    <row r="4093" spans="1:1" x14ac:dyDescent="0.25">
      <c r="A4093" t="s">
        <v>6267</v>
      </c>
    </row>
    <row r="4094" spans="1:1" x14ac:dyDescent="0.25">
      <c r="A4094" t="s">
        <v>6268</v>
      </c>
    </row>
    <row r="4095" spans="1:1" x14ac:dyDescent="0.25">
      <c r="A4095" t="s">
        <v>6269</v>
      </c>
    </row>
    <row r="4096" spans="1:1" x14ac:dyDescent="0.25">
      <c r="A4096" t="s">
        <v>6270</v>
      </c>
    </row>
    <row r="4097" spans="1:1" x14ac:dyDescent="0.25">
      <c r="A4097" t="s">
        <v>6271</v>
      </c>
    </row>
    <row r="4098" spans="1:1" x14ac:dyDescent="0.25">
      <c r="A4098" t="s">
        <v>6272</v>
      </c>
    </row>
    <row r="4099" spans="1:1" x14ac:dyDescent="0.25">
      <c r="A4099" t="s">
        <v>6273</v>
      </c>
    </row>
    <row r="4100" spans="1:1" x14ac:dyDescent="0.25">
      <c r="A4100" t="s">
        <v>6274</v>
      </c>
    </row>
    <row r="4101" spans="1:1" x14ac:dyDescent="0.25">
      <c r="A4101" t="s">
        <v>6275</v>
      </c>
    </row>
    <row r="4102" spans="1:1" x14ac:dyDescent="0.25">
      <c r="A4102" t="s">
        <v>6276</v>
      </c>
    </row>
    <row r="4103" spans="1:1" x14ac:dyDescent="0.25">
      <c r="A4103" t="s">
        <v>6277</v>
      </c>
    </row>
    <row r="4104" spans="1:1" x14ac:dyDescent="0.25">
      <c r="A4104" t="s">
        <v>6278</v>
      </c>
    </row>
    <row r="4105" spans="1:1" x14ac:dyDescent="0.25">
      <c r="A4105" t="s">
        <v>6279</v>
      </c>
    </row>
    <row r="4106" spans="1:1" x14ac:dyDescent="0.25">
      <c r="A4106" t="s">
        <v>6280</v>
      </c>
    </row>
    <row r="4107" spans="1:1" x14ac:dyDescent="0.25">
      <c r="A4107" t="s">
        <v>6281</v>
      </c>
    </row>
    <row r="4108" spans="1:1" x14ac:dyDescent="0.25">
      <c r="A4108" t="s">
        <v>6282</v>
      </c>
    </row>
    <row r="4109" spans="1:1" x14ac:dyDescent="0.25">
      <c r="A4109" t="s">
        <v>6283</v>
      </c>
    </row>
    <row r="4110" spans="1:1" x14ac:dyDescent="0.25">
      <c r="A4110" t="s">
        <v>6284</v>
      </c>
    </row>
    <row r="4111" spans="1:1" x14ac:dyDescent="0.25">
      <c r="A4111" t="s">
        <v>6285</v>
      </c>
    </row>
    <row r="4112" spans="1:1" x14ac:dyDescent="0.25">
      <c r="A4112" t="s">
        <v>6286</v>
      </c>
    </row>
    <row r="4113" spans="1:1" x14ac:dyDescent="0.25">
      <c r="A4113" t="s">
        <v>6287</v>
      </c>
    </row>
    <row r="4114" spans="1:1" x14ac:dyDescent="0.25">
      <c r="A4114" t="s">
        <v>6288</v>
      </c>
    </row>
    <row r="4115" spans="1:1" x14ac:dyDescent="0.25">
      <c r="A4115" t="s">
        <v>6289</v>
      </c>
    </row>
    <row r="4116" spans="1:1" x14ac:dyDescent="0.25">
      <c r="A4116" t="s">
        <v>6290</v>
      </c>
    </row>
    <row r="4117" spans="1:1" x14ac:dyDescent="0.25">
      <c r="A4117" t="s">
        <v>6291</v>
      </c>
    </row>
    <row r="4118" spans="1:1" x14ac:dyDescent="0.25">
      <c r="A4118" t="s">
        <v>6292</v>
      </c>
    </row>
    <row r="4119" spans="1:1" x14ac:dyDescent="0.25">
      <c r="A4119" t="s">
        <v>6293</v>
      </c>
    </row>
    <row r="4120" spans="1:1" x14ac:dyDescent="0.25">
      <c r="A4120" t="s">
        <v>6294</v>
      </c>
    </row>
    <row r="4121" spans="1:1" x14ac:dyDescent="0.25">
      <c r="A4121" t="s">
        <v>6295</v>
      </c>
    </row>
    <row r="4122" spans="1:1" x14ac:dyDescent="0.25">
      <c r="A4122" t="s">
        <v>6296</v>
      </c>
    </row>
    <row r="4123" spans="1:1" x14ac:dyDescent="0.25">
      <c r="A4123" t="s">
        <v>6297</v>
      </c>
    </row>
    <row r="4124" spans="1:1" x14ac:dyDescent="0.25">
      <c r="A4124" t="s">
        <v>6298</v>
      </c>
    </row>
    <row r="4125" spans="1:1" x14ac:dyDescent="0.25">
      <c r="A4125" t="s">
        <v>6299</v>
      </c>
    </row>
    <row r="4126" spans="1:1" x14ac:dyDescent="0.25">
      <c r="A4126" t="s">
        <v>6300</v>
      </c>
    </row>
    <row r="4127" spans="1:1" x14ac:dyDescent="0.25">
      <c r="A4127" t="s">
        <v>6301</v>
      </c>
    </row>
    <row r="4128" spans="1:1" x14ac:dyDescent="0.25">
      <c r="A4128" t="s">
        <v>6302</v>
      </c>
    </row>
    <row r="4129" spans="1:1" x14ac:dyDescent="0.25">
      <c r="A4129" t="s">
        <v>6303</v>
      </c>
    </row>
    <row r="4130" spans="1:1" x14ac:dyDescent="0.25">
      <c r="A4130" t="s">
        <v>6304</v>
      </c>
    </row>
    <row r="4131" spans="1:1" x14ac:dyDescent="0.25">
      <c r="A4131" t="s">
        <v>6305</v>
      </c>
    </row>
    <row r="4132" spans="1:1" x14ac:dyDescent="0.25">
      <c r="A4132" t="s">
        <v>6306</v>
      </c>
    </row>
    <row r="4133" spans="1:1" x14ac:dyDescent="0.25">
      <c r="A4133" t="s">
        <v>6307</v>
      </c>
    </row>
    <row r="4134" spans="1:1" x14ac:dyDescent="0.25">
      <c r="A4134" t="s">
        <v>6308</v>
      </c>
    </row>
    <row r="4135" spans="1:1" x14ac:dyDescent="0.25">
      <c r="A4135" t="s">
        <v>6309</v>
      </c>
    </row>
    <row r="4136" spans="1:1" x14ac:dyDescent="0.25">
      <c r="A4136" t="s">
        <v>6310</v>
      </c>
    </row>
    <row r="4137" spans="1:1" x14ac:dyDescent="0.25">
      <c r="A4137" t="s">
        <v>6311</v>
      </c>
    </row>
    <row r="4138" spans="1:1" x14ac:dyDescent="0.25">
      <c r="A4138" t="s">
        <v>6312</v>
      </c>
    </row>
    <row r="4139" spans="1:1" x14ac:dyDescent="0.25">
      <c r="A4139" t="s">
        <v>6313</v>
      </c>
    </row>
    <row r="4140" spans="1:1" x14ac:dyDescent="0.25">
      <c r="A4140" t="s">
        <v>6314</v>
      </c>
    </row>
    <row r="4141" spans="1:1" x14ac:dyDescent="0.25">
      <c r="A4141" t="s">
        <v>6315</v>
      </c>
    </row>
    <row r="4142" spans="1:1" x14ac:dyDescent="0.25">
      <c r="A4142" t="s">
        <v>6316</v>
      </c>
    </row>
    <row r="4143" spans="1:1" x14ac:dyDescent="0.25">
      <c r="A4143" t="s">
        <v>6317</v>
      </c>
    </row>
    <row r="4144" spans="1:1" x14ac:dyDescent="0.25">
      <c r="A4144" t="s">
        <v>6318</v>
      </c>
    </row>
    <row r="4145" spans="1:1" x14ac:dyDescent="0.25">
      <c r="A4145" t="s">
        <v>6319</v>
      </c>
    </row>
    <row r="4146" spans="1:1" x14ac:dyDescent="0.25">
      <c r="A4146" t="s">
        <v>6320</v>
      </c>
    </row>
    <row r="4147" spans="1:1" x14ac:dyDescent="0.25">
      <c r="A4147" t="s">
        <v>6321</v>
      </c>
    </row>
    <row r="4148" spans="1:1" x14ac:dyDescent="0.25">
      <c r="A4148" t="s">
        <v>6322</v>
      </c>
    </row>
    <row r="4149" spans="1:1" x14ac:dyDescent="0.25">
      <c r="A4149" t="s">
        <v>6323</v>
      </c>
    </row>
    <row r="4150" spans="1:1" x14ac:dyDescent="0.25">
      <c r="A4150" t="s">
        <v>6324</v>
      </c>
    </row>
    <row r="4151" spans="1:1" x14ac:dyDescent="0.25">
      <c r="A4151" t="s">
        <v>6325</v>
      </c>
    </row>
    <row r="4152" spans="1:1" x14ac:dyDescent="0.25">
      <c r="A4152" t="s">
        <v>6326</v>
      </c>
    </row>
    <row r="4153" spans="1:1" x14ac:dyDescent="0.25">
      <c r="A4153" t="s">
        <v>6327</v>
      </c>
    </row>
    <row r="4154" spans="1:1" x14ac:dyDescent="0.25">
      <c r="A4154" t="s">
        <v>6328</v>
      </c>
    </row>
    <row r="4155" spans="1:1" x14ac:dyDescent="0.25">
      <c r="A4155" t="s">
        <v>6329</v>
      </c>
    </row>
    <row r="4156" spans="1:1" x14ac:dyDescent="0.25">
      <c r="A4156" t="s">
        <v>6330</v>
      </c>
    </row>
    <row r="4157" spans="1:1" x14ac:dyDescent="0.25">
      <c r="A4157" t="s">
        <v>6331</v>
      </c>
    </row>
    <row r="4158" spans="1:1" x14ac:dyDescent="0.25">
      <c r="A4158" t="s">
        <v>6332</v>
      </c>
    </row>
    <row r="4159" spans="1:1" x14ac:dyDescent="0.25">
      <c r="A4159" t="s">
        <v>6333</v>
      </c>
    </row>
    <row r="4160" spans="1:1" x14ac:dyDescent="0.25">
      <c r="A4160" t="s">
        <v>6334</v>
      </c>
    </row>
    <row r="4161" spans="1:1" x14ac:dyDescent="0.25">
      <c r="A4161" t="s">
        <v>6335</v>
      </c>
    </row>
    <row r="4162" spans="1:1" x14ac:dyDescent="0.25">
      <c r="A4162" t="s">
        <v>6336</v>
      </c>
    </row>
    <row r="4163" spans="1:1" x14ac:dyDescent="0.25">
      <c r="A4163" t="s">
        <v>6337</v>
      </c>
    </row>
    <row r="4164" spans="1:1" x14ac:dyDescent="0.25">
      <c r="A4164" t="s">
        <v>6338</v>
      </c>
    </row>
    <row r="4165" spans="1:1" x14ac:dyDescent="0.25">
      <c r="A4165" t="s">
        <v>6339</v>
      </c>
    </row>
    <row r="4166" spans="1:1" x14ac:dyDescent="0.25">
      <c r="A4166" t="s">
        <v>6340</v>
      </c>
    </row>
    <row r="4167" spans="1:1" x14ac:dyDescent="0.25">
      <c r="A4167" t="s">
        <v>6341</v>
      </c>
    </row>
    <row r="4168" spans="1:1" x14ac:dyDescent="0.25">
      <c r="A4168" t="s">
        <v>6342</v>
      </c>
    </row>
    <row r="4169" spans="1:1" x14ac:dyDescent="0.25">
      <c r="A4169" t="s">
        <v>6343</v>
      </c>
    </row>
    <row r="4170" spans="1:1" x14ac:dyDescent="0.25">
      <c r="A4170" t="s">
        <v>6344</v>
      </c>
    </row>
    <row r="4171" spans="1:1" x14ac:dyDescent="0.25">
      <c r="A4171" t="s">
        <v>6345</v>
      </c>
    </row>
    <row r="4172" spans="1:1" x14ac:dyDescent="0.25">
      <c r="A4172" t="s">
        <v>6346</v>
      </c>
    </row>
    <row r="4173" spans="1:1" x14ac:dyDescent="0.25">
      <c r="A4173" t="s">
        <v>6347</v>
      </c>
    </row>
    <row r="4174" spans="1:1" x14ac:dyDescent="0.25">
      <c r="A4174" t="s">
        <v>6348</v>
      </c>
    </row>
    <row r="4175" spans="1:1" x14ac:dyDescent="0.25">
      <c r="A4175" t="s">
        <v>6349</v>
      </c>
    </row>
    <row r="4176" spans="1:1" x14ac:dyDescent="0.25">
      <c r="A4176" t="s">
        <v>6350</v>
      </c>
    </row>
    <row r="4177" spans="1:1" x14ac:dyDescent="0.25">
      <c r="A4177" t="s">
        <v>6351</v>
      </c>
    </row>
    <row r="4178" spans="1:1" x14ac:dyDescent="0.25">
      <c r="A4178" t="s">
        <v>6352</v>
      </c>
    </row>
    <row r="4179" spans="1:1" x14ac:dyDescent="0.25">
      <c r="A4179" t="s">
        <v>6353</v>
      </c>
    </row>
    <row r="4180" spans="1:1" x14ac:dyDescent="0.25">
      <c r="A4180" t="s">
        <v>6354</v>
      </c>
    </row>
    <row r="4181" spans="1:1" x14ac:dyDescent="0.25">
      <c r="A4181" t="s">
        <v>6355</v>
      </c>
    </row>
    <row r="4182" spans="1:1" x14ac:dyDescent="0.25">
      <c r="A4182" t="s">
        <v>6356</v>
      </c>
    </row>
    <row r="4183" spans="1:1" x14ac:dyDescent="0.25">
      <c r="A4183" t="s">
        <v>6357</v>
      </c>
    </row>
    <row r="4184" spans="1:1" x14ac:dyDescent="0.25">
      <c r="A4184" t="s">
        <v>6358</v>
      </c>
    </row>
    <row r="4185" spans="1:1" x14ac:dyDescent="0.25">
      <c r="A4185" t="s">
        <v>6359</v>
      </c>
    </row>
    <row r="4186" spans="1:1" x14ac:dyDescent="0.25">
      <c r="A4186" t="s">
        <v>6360</v>
      </c>
    </row>
    <row r="4187" spans="1:1" x14ac:dyDescent="0.25">
      <c r="A4187" t="s">
        <v>6361</v>
      </c>
    </row>
    <row r="4188" spans="1:1" x14ac:dyDescent="0.25">
      <c r="A4188" t="s">
        <v>6362</v>
      </c>
    </row>
    <row r="4189" spans="1:1" x14ac:dyDescent="0.25">
      <c r="A4189" t="s">
        <v>6363</v>
      </c>
    </row>
    <row r="4190" spans="1:1" x14ac:dyDescent="0.25">
      <c r="A4190" t="s">
        <v>6364</v>
      </c>
    </row>
    <row r="4191" spans="1:1" x14ac:dyDescent="0.25">
      <c r="A4191" t="s">
        <v>6365</v>
      </c>
    </row>
    <row r="4192" spans="1:1" x14ac:dyDescent="0.25">
      <c r="A4192" t="s">
        <v>6366</v>
      </c>
    </row>
    <row r="4193" spans="1:1" x14ac:dyDescent="0.25">
      <c r="A4193" t="s">
        <v>6367</v>
      </c>
    </row>
    <row r="4194" spans="1:1" x14ac:dyDescent="0.25">
      <c r="A4194" t="s">
        <v>6368</v>
      </c>
    </row>
    <row r="4195" spans="1:1" x14ac:dyDescent="0.25">
      <c r="A4195" t="s">
        <v>6369</v>
      </c>
    </row>
    <row r="4196" spans="1:1" x14ac:dyDescent="0.25">
      <c r="A4196" t="s">
        <v>6370</v>
      </c>
    </row>
    <row r="4197" spans="1:1" x14ac:dyDescent="0.25">
      <c r="A4197" t="s">
        <v>6371</v>
      </c>
    </row>
    <row r="4198" spans="1:1" x14ac:dyDescent="0.25">
      <c r="A4198" t="s">
        <v>6372</v>
      </c>
    </row>
    <row r="4199" spans="1:1" x14ac:dyDescent="0.25">
      <c r="A4199" t="s">
        <v>6373</v>
      </c>
    </row>
    <row r="4200" spans="1:1" x14ac:dyDescent="0.25">
      <c r="A4200" t="s">
        <v>6374</v>
      </c>
    </row>
    <row r="4201" spans="1:1" x14ac:dyDescent="0.25">
      <c r="A4201" t="s">
        <v>6375</v>
      </c>
    </row>
    <row r="4202" spans="1:1" x14ac:dyDescent="0.25">
      <c r="A4202" t="s">
        <v>6376</v>
      </c>
    </row>
    <row r="4203" spans="1:1" x14ac:dyDescent="0.25">
      <c r="A4203" t="s">
        <v>6377</v>
      </c>
    </row>
    <row r="4204" spans="1:1" x14ac:dyDescent="0.25">
      <c r="A4204" t="s">
        <v>6378</v>
      </c>
    </row>
    <row r="4205" spans="1:1" x14ac:dyDescent="0.25">
      <c r="A4205" t="s">
        <v>6379</v>
      </c>
    </row>
    <row r="4206" spans="1:1" x14ac:dyDescent="0.25">
      <c r="A4206" t="s">
        <v>6380</v>
      </c>
    </row>
    <row r="4207" spans="1:1" x14ac:dyDescent="0.25">
      <c r="A4207" t="s">
        <v>6381</v>
      </c>
    </row>
    <row r="4208" spans="1:1" x14ac:dyDescent="0.25">
      <c r="A4208" t="s">
        <v>6382</v>
      </c>
    </row>
    <row r="4209" spans="1:1" x14ac:dyDescent="0.25">
      <c r="A4209" t="s">
        <v>6383</v>
      </c>
    </row>
    <row r="4210" spans="1:1" x14ac:dyDescent="0.25">
      <c r="A4210" t="s">
        <v>6384</v>
      </c>
    </row>
    <row r="4211" spans="1:1" x14ac:dyDescent="0.25">
      <c r="A4211" t="s">
        <v>6385</v>
      </c>
    </row>
    <row r="4212" spans="1:1" x14ac:dyDescent="0.25">
      <c r="A4212" t="s">
        <v>6386</v>
      </c>
    </row>
    <row r="4213" spans="1:1" x14ac:dyDescent="0.25">
      <c r="A4213" t="s">
        <v>6387</v>
      </c>
    </row>
    <row r="4214" spans="1:1" x14ac:dyDescent="0.25">
      <c r="A4214" t="s">
        <v>6388</v>
      </c>
    </row>
    <row r="4215" spans="1:1" x14ac:dyDescent="0.25">
      <c r="A4215" t="s">
        <v>6389</v>
      </c>
    </row>
    <row r="4216" spans="1:1" x14ac:dyDescent="0.25">
      <c r="A4216" t="s">
        <v>6390</v>
      </c>
    </row>
    <row r="4217" spans="1:1" x14ac:dyDescent="0.25">
      <c r="A4217" t="s">
        <v>6391</v>
      </c>
    </row>
    <row r="4218" spans="1:1" x14ac:dyDescent="0.25">
      <c r="A4218" t="s">
        <v>6392</v>
      </c>
    </row>
    <row r="4219" spans="1:1" x14ac:dyDescent="0.25">
      <c r="A4219" t="s">
        <v>6393</v>
      </c>
    </row>
    <row r="4220" spans="1:1" x14ac:dyDescent="0.25">
      <c r="A4220" t="s">
        <v>6394</v>
      </c>
    </row>
    <row r="4221" spans="1:1" x14ac:dyDescent="0.25">
      <c r="A4221" t="s">
        <v>6395</v>
      </c>
    </row>
    <row r="4222" spans="1:1" x14ac:dyDescent="0.25">
      <c r="A4222" t="s">
        <v>6396</v>
      </c>
    </row>
    <row r="4223" spans="1:1" x14ac:dyDescent="0.25">
      <c r="A4223" t="s">
        <v>6397</v>
      </c>
    </row>
    <row r="4224" spans="1:1" x14ac:dyDescent="0.25">
      <c r="A4224" t="s">
        <v>6398</v>
      </c>
    </row>
    <row r="4225" spans="1:1" x14ac:dyDescent="0.25">
      <c r="A4225" t="s">
        <v>6399</v>
      </c>
    </row>
    <row r="4226" spans="1:1" x14ac:dyDescent="0.25">
      <c r="A4226" t="s">
        <v>6400</v>
      </c>
    </row>
    <row r="4227" spans="1:1" x14ac:dyDescent="0.25">
      <c r="A4227" t="s">
        <v>6401</v>
      </c>
    </row>
    <row r="4228" spans="1:1" x14ac:dyDescent="0.25">
      <c r="A4228" t="s">
        <v>6402</v>
      </c>
    </row>
    <row r="4229" spans="1:1" x14ac:dyDescent="0.25">
      <c r="A4229" t="s">
        <v>6403</v>
      </c>
    </row>
    <row r="4230" spans="1:1" x14ac:dyDescent="0.25">
      <c r="A4230" t="s">
        <v>6404</v>
      </c>
    </row>
    <row r="4231" spans="1:1" x14ac:dyDescent="0.25">
      <c r="A4231" t="s">
        <v>6405</v>
      </c>
    </row>
    <row r="4232" spans="1:1" x14ac:dyDescent="0.25">
      <c r="A4232" t="s">
        <v>6406</v>
      </c>
    </row>
    <row r="4233" spans="1:1" x14ac:dyDescent="0.25">
      <c r="A4233" t="s">
        <v>6407</v>
      </c>
    </row>
    <row r="4234" spans="1:1" x14ac:dyDescent="0.25">
      <c r="A4234" t="s">
        <v>6408</v>
      </c>
    </row>
    <row r="4235" spans="1:1" x14ac:dyDescent="0.25">
      <c r="A4235" t="s">
        <v>6409</v>
      </c>
    </row>
    <row r="4236" spans="1:1" x14ac:dyDescent="0.25">
      <c r="A4236" t="s">
        <v>6410</v>
      </c>
    </row>
    <row r="4237" spans="1:1" x14ac:dyDescent="0.25">
      <c r="A4237" t="s">
        <v>6411</v>
      </c>
    </row>
    <row r="4238" spans="1:1" x14ac:dyDescent="0.25">
      <c r="A4238" t="s">
        <v>6412</v>
      </c>
    </row>
    <row r="4239" spans="1:1" x14ac:dyDescent="0.25">
      <c r="A4239" t="s">
        <v>6413</v>
      </c>
    </row>
    <row r="4240" spans="1:1" x14ac:dyDescent="0.25">
      <c r="A4240" t="s">
        <v>6414</v>
      </c>
    </row>
    <row r="4241" spans="1:1" x14ac:dyDescent="0.25">
      <c r="A4241" t="s">
        <v>6415</v>
      </c>
    </row>
    <row r="4242" spans="1:1" x14ac:dyDescent="0.25">
      <c r="A4242" t="s">
        <v>6416</v>
      </c>
    </row>
    <row r="4243" spans="1:1" x14ac:dyDescent="0.25">
      <c r="A4243" t="s">
        <v>6417</v>
      </c>
    </row>
    <row r="4244" spans="1:1" x14ac:dyDescent="0.25">
      <c r="A4244" t="s">
        <v>6418</v>
      </c>
    </row>
    <row r="4245" spans="1:1" x14ac:dyDescent="0.25">
      <c r="A4245" t="s">
        <v>6419</v>
      </c>
    </row>
    <row r="4246" spans="1:1" x14ac:dyDescent="0.25">
      <c r="A4246" t="s">
        <v>6420</v>
      </c>
    </row>
    <row r="4247" spans="1:1" x14ac:dyDescent="0.25">
      <c r="A4247" t="s">
        <v>6421</v>
      </c>
    </row>
    <row r="4248" spans="1:1" x14ac:dyDescent="0.25">
      <c r="A4248" t="s">
        <v>6422</v>
      </c>
    </row>
    <row r="4249" spans="1:1" x14ac:dyDescent="0.25">
      <c r="A4249" t="s">
        <v>6423</v>
      </c>
    </row>
    <row r="4250" spans="1:1" x14ac:dyDescent="0.25">
      <c r="A4250" t="s">
        <v>6424</v>
      </c>
    </row>
    <row r="4251" spans="1:1" x14ac:dyDescent="0.25">
      <c r="A4251" t="s">
        <v>6425</v>
      </c>
    </row>
    <row r="4252" spans="1:1" x14ac:dyDescent="0.25">
      <c r="A4252" t="s">
        <v>6426</v>
      </c>
    </row>
    <row r="4253" spans="1:1" x14ac:dyDescent="0.25">
      <c r="A4253" t="s">
        <v>6427</v>
      </c>
    </row>
    <row r="4254" spans="1:1" x14ac:dyDescent="0.25">
      <c r="A4254" t="s">
        <v>6428</v>
      </c>
    </row>
    <row r="4255" spans="1:1" x14ac:dyDescent="0.25">
      <c r="A4255" t="s">
        <v>6429</v>
      </c>
    </row>
    <row r="4256" spans="1:1" x14ac:dyDescent="0.25">
      <c r="A4256" t="s">
        <v>6430</v>
      </c>
    </row>
    <row r="4257" spans="1:1" x14ac:dyDescent="0.25">
      <c r="A4257" t="s">
        <v>6431</v>
      </c>
    </row>
    <row r="4258" spans="1:1" x14ac:dyDescent="0.25">
      <c r="A4258" t="s">
        <v>6432</v>
      </c>
    </row>
    <row r="4259" spans="1:1" x14ac:dyDescent="0.25">
      <c r="A4259" t="s">
        <v>6433</v>
      </c>
    </row>
    <row r="4260" spans="1:1" x14ac:dyDescent="0.25">
      <c r="A4260" t="s">
        <v>6434</v>
      </c>
    </row>
    <row r="4261" spans="1:1" x14ac:dyDescent="0.25">
      <c r="A4261" t="s">
        <v>6435</v>
      </c>
    </row>
    <row r="4262" spans="1:1" x14ac:dyDescent="0.25">
      <c r="A4262" t="s">
        <v>6436</v>
      </c>
    </row>
    <row r="4263" spans="1:1" x14ac:dyDescent="0.25">
      <c r="A4263" t="s">
        <v>6437</v>
      </c>
    </row>
    <row r="4264" spans="1:1" x14ac:dyDescent="0.25">
      <c r="A4264" t="s">
        <v>6438</v>
      </c>
    </row>
    <row r="4265" spans="1:1" x14ac:dyDescent="0.25">
      <c r="A4265" t="s">
        <v>6439</v>
      </c>
    </row>
    <row r="4266" spans="1:1" x14ac:dyDescent="0.25">
      <c r="A4266" t="s">
        <v>6440</v>
      </c>
    </row>
    <row r="4267" spans="1:1" x14ac:dyDescent="0.25">
      <c r="A4267" t="s">
        <v>6441</v>
      </c>
    </row>
    <row r="4268" spans="1:1" x14ac:dyDescent="0.25">
      <c r="A4268" t="s">
        <v>6442</v>
      </c>
    </row>
    <row r="4269" spans="1:1" x14ac:dyDescent="0.25">
      <c r="A4269" t="s">
        <v>6443</v>
      </c>
    </row>
    <row r="4270" spans="1:1" x14ac:dyDescent="0.25">
      <c r="A4270" t="s">
        <v>6444</v>
      </c>
    </row>
    <row r="4271" spans="1:1" x14ac:dyDescent="0.25">
      <c r="A4271" t="s">
        <v>6445</v>
      </c>
    </row>
    <row r="4272" spans="1:1" x14ac:dyDescent="0.25">
      <c r="A4272" t="s">
        <v>6446</v>
      </c>
    </row>
    <row r="4273" spans="1:1" x14ac:dyDescent="0.25">
      <c r="A4273" t="s">
        <v>6447</v>
      </c>
    </row>
    <row r="4274" spans="1:1" x14ac:dyDescent="0.25">
      <c r="A4274" t="s">
        <v>6448</v>
      </c>
    </row>
    <row r="4275" spans="1:1" x14ac:dyDescent="0.25">
      <c r="A4275" t="s">
        <v>6449</v>
      </c>
    </row>
    <row r="4276" spans="1:1" x14ac:dyDescent="0.25">
      <c r="A4276" t="s">
        <v>6450</v>
      </c>
    </row>
    <row r="4277" spans="1:1" x14ac:dyDescent="0.25">
      <c r="A4277" t="s">
        <v>6451</v>
      </c>
    </row>
    <row r="4278" spans="1:1" x14ac:dyDescent="0.25">
      <c r="A4278" t="s">
        <v>6452</v>
      </c>
    </row>
    <row r="4279" spans="1:1" x14ac:dyDescent="0.25">
      <c r="A4279" t="s">
        <v>6453</v>
      </c>
    </row>
    <row r="4280" spans="1:1" x14ac:dyDescent="0.25">
      <c r="A4280" t="s">
        <v>6454</v>
      </c>
    </row>
    <row r="4281" spans="1:1" x14ac:dyDescent="0.25">
      <c r="A4281" t="s">
        <v>6455</v>
      </c>
    </row>
    <row r="4282" spans="1:1" x14ac:dyDescent="0.25">
      <c r="A4282" t="s">
        <v>6456</v>
      </c>
    </row>
    <row r="4283" spans="1:1" x14ac:dyDescent="0.25">
      <c r="A4283" t="s">
        <v>6457</v>
      </c>
    </row>
    <row r="4284" spans="1:1" x14ac:dyDescent="0.25">
      <c r="A4284" t="s">
        <v>6458</v>
      </c>
    </row>
    <row r="4285" spans="1:1" x14ac:dyDescent="0.25">
      <c r="A4285" t="s">
        <v>6459</v>
      </c>
    </row>
    <row r="4286" spans="1:1" x14ac:dyDescent="0.25">
      <c r="A4286" t="s">
        <v>6460</v>
      </c>
    </row>
    <row r="4287" spans="1:1" x14ac:dyDescent="0.25">
      <c r="A4287" t="s">
        <v>6461</v>
      </c>
    </row>
    <row r="4288" spans="1:1" x14ac:dyDescent="0.25">
      <c r="A4288" t="s">
        <v>6462</v>
      </c>
    </row>
    <row r="4289" spans="1:1" x14ac:dyDescent="0.25">
      <c r="A4289" t="s">
        <v>6463</v>
      </c>
    </row>
    <row r="4290" spans="1:1" x14ac:dyDescent="0.25">
      <c r="A4290" t="s">
        <v>6464</v>
      </c>
    </row>
    <row r="4291" spans="1:1" x14ac:dyDescent="0.25">
      <c r="A4291" t="s">
        <v>6465</v>
      </c>
    </row>
    <row r="4292" spans="1:1" x14ac:dyDescent="0.25">
      <c r="A4292" t="s">
        <v>6466</v>
      </c>
    </row>
    <row r="4293" spans="1:1" x14ac:dyDescent="0.25">
      <c r="A4293" t="s">
        <v>6467</v>
      </c>
    </row>
    <row r="4294" spans="1:1" x14ac:dyDescent="0.25">
      <c r="A4294" t="s">
        <v>6468</v>
      </c>
    </row>
    <row r="4295" spans="1:1" x14ac:dyDescent="0.25">
      <c r="A4295" t="s">
        <v>6469</v>
      </c>
    </row>
    <row r="4296" spans="1:1" x14ac:dyDescent="0.25">
      <c r="A4296" t="s">
        <v>6470</v>
      </c>
    </row>
    <row r="4297" spans="1:1" x14ac:dyDescent="0.25">
      <c r="A4297" t="s">
        <v>6471</v>
      </c>
    </row>
    <row r="4298" spans="1:1" x14ac:dyDescent="0.25">
      <c r="A4298" t="s">
        <v>6472</v>
      </c>
    </row>
    <row r="4299" spans="1:1" x14ac:dyDescent="0.25">
      <c r="A4299" t="s">
        <v>6473</v>
      </c>
    </row>
    <row r="4300" spans="1:1" x14ac:dyDescent="0.25">
      <c r="A4300" t="s">
        <v>6474</v>
      </c>
    </row>
    <row r="4301" spans="1:1" x14ac:dyDescent="0.25">
      <c r="A4301" t="s">
        <v>6475</v>
      </c>
    </row>
    <row r="4302" spans="1:1" x14ac:dyDescent="0.25">
      <c r="A4302" t="s">
        <v>6476</v>
      </c>
    </row>
    <row r="4303" spans="1:1" x14ac:dyDescent="0.25">
      <c r="A4303" t="s">
        <v>6477</v>
      </c>
    </row>
    <row r="4304" spans="1:1" x14ac:dyDescent="0.25">
      <c r="A4304" t="s">
        <v>6478</v>
      </c>
    </row>
    <row r="4305" spans="1:1" x14ac:dyDescent="0.25">
      <c r="A4305" t="s">
        <v>6479</v>
      </c>
    </row>
    <row r="4306" spans="1:1" x14ac:dyDescent="0.25">
      <c r="A4306" t="s">
        <v>6480</v>
      </c>
    </row>
    <row r="4307" spans="1:1" x14ac:dyDescent="0.25">
      <c r="A4307" t="s">
        <v>6481</v>
      </c>
    </row>
    <row r="4308" spans="1:1" x14ac:dyDescent="0.25">
      <c r="A4308" t="s">
        <v>6482</v>
      </c>
    </row>
    <row r="4309" spans="1:1" x14ac:dyDescent="0.25">
      <c r="A4309" t="s">
        <v>6483</v>
      </c>
    </row>
    <row r="4310" spans="1:1" x14ac:dyDescent="0.25">
      <c r="A4310" t="s">
        <v>6484</v>
      </c>
    </row>
    <row r="4311" spans="1:1" x14ac:dyDescent="0.25">
      <c r="A4311" t="s">
        <v>6485</v>
      </c>
    </row>
    <row r="4312" spans="1:1" x14ac:dyDescent="0.25">
      <c r="A4312" t="s">
        <v>6486</v>
      </c>
    </row>
    <row r="4313" spans="1:1" x14ac:dyDescent="0.25">
      <c r="A4313" t="s">
        <v>6487</v>
      </c>
    </row>
    <row r="4314" spans="1:1" x14ac:dyDescent="0.25">
      <c r="A4314" t="s">
        <v>6488</v>
      </c>
    </row>
    <row r="4315" spans="1:1" x14ac:dyDescent="0.25">
      <c r="A4315" t="s">
        <v>6489</v>
      </c>
    </row>
    <row r="4316" spans="1:1" x14ac:dyDescent="0.25">
      <c r="A4316" t="s">
        <v>6490</v>
      </c>
    </row>
    <row r="4317" spans="1:1" x14ac:dyDescent="0.25">
      <c r="A4317" t="s">
        <v>6491</v>
      </c>
    </row>
    <row r="4318" spans="1:1" x14ac:dyDescent="0.25">
      <c r="A4318" t="s">
        <v>6492</v>
      </c>
    </row>
    <row r="4319" spans="1:1" x14ac:dyDescent="0.25">
      <c r="A4319" t="s">
        <v>6493</v>
      </c>
    </row>
    <row r="4320" spans="1:1" x14ac:dyDescent="0.25">
      <c r="A4320" t="s">
        <v>6494</v>
      </c>
    </row>
    <row r="4321" spans="1:1" x14ac:dyDescent="0.25">
      <c r="A4321" t="s">
        <v>6495</v>
      </c>
    </row>
    <row r="4322" spans="1:1" x14ac:dyDescent="0.25">
      <c r="A4322" t="s">
        <v>6496</v>
      </c>
    </row>
    <row r="4323" spans="1:1" x14ac:dyDescent="0.25">
      <c r="A4323" t="s">
        <v>6497</v>
      </c>
    </row>
    <row r="4324" spans="1:1" x14ac:dyDescent="0.25">
      <c r="A4324" t="s">
        <v>6498</v>
      </c>
    </row>
    <row r="4325" spans="1:1" x14ac:dyDescent="0.25">
      <c r="A4325" t="s">
        <v>6499</v>
      </c>
    </row>
    <row r="4326" spans="1:1" x14ac:dyDescent="0.25">
      <c r="A4326" t="s">
        <v>6500</v>
      </c>
    </row>
    <row r="4327" spans="1:1" x14ac:dyDescent="0.25">
      <c r="A4327" t="s">
        <v>6501</v>
      </c>
    </row>
    <row r="4328" spans="1:1" x14ac:dyDescent="0.25">
      <c r="A4328" t="s">
        <v>6502</v>
      </c>
    </row>
    <row r="4329" spans="1:1" x14ac:dyDescent="0.25">
      <c r="A4329" t="s">
        <v>6503</v>
      </c>
    </row>
    <row r="4330" spans="1:1" x14ac:dyDescent="0.25">
      <c r="A4330" t="s">
        <v>6504</v>
      </c>
    </row>
    <row r="4331" spans="1:1" x14ac:dyDescent="0.25">
      <c r="A4331" t="s">
        <v>6505</v>
      </c>
    </row>
    <row r="4332" spans="1:1" x14ac:dyDescent="0.25">
      <c r="A4332" t="s">
        <v>6506</v>
      </c>
    </row>
    <row r="4333" spans="1:1" x14ac:dyDescent="0.25">
      <c r="A4333" t="s">
        <v>6507</v>
      </c>
    </row>
    <row r="4334" spans="1:1" x14ac:dyDescent="0.25">
      <c r="A4334" t="s">
        <v>6508</v>
      </c>
    </row>
    <row r="4335" spans="1:1" x14ac:dyDescent="0.25">
      <c r="A4335" t="s">
        <v>6509</v>
      </c>
    </row>
    <row r="4336" spans="1:1" x14ac:dyDescent="0.25">
      <c r="A4336" t="s">
        <v>6510</v>
      </c>
    </row>
    <row r="4337" spans="1:1" x14ac:dyDescent="0.25">
      <c r="A4337" t="s">
        <v>6511</v>
      </c>
    </row>
    <row r="4338" spans="1:1" x14ac:dyDescent="0.25">
      <c r="A4338" t="s">
        <v>6512</v>
      </c>
    </row>
    <row r="4339" spans="1:1" x14ac:dyDescent="0.25">
      <c r="A4339" t="s">
        <v>6513</v>
      </c>
    </row>
    <row r="4340" spans="1:1" x14ac:dyDescent="0.25">
      <c r="A4340" t="s">
        <v>6514</v>
      </c>
    </row>
    <row r="4341" spans="1:1" x14ac:dyDescent="0.25">
      <c r="A4341" t="s">
        <v>6515</v>
      </c>
    </row>
    <row r="4342" spans="1:1" x14ac:dyDescent="0.25">
      <c r="A4342" t="s">
        <v>6516</v>
      </c>
    </row>
    <row r="4343" spans="1:1" x14ac:dyDescent="0.25">
      <c r="A4343" t="s">
        <v>6517</v>
      </c>
    </row>
    <row r="4344" spans="1:1" x14ac:dyDescent="0.25">
      <c r="A4344" t="s">
        <v>6518</v>
      </c>
    </row>
    <row r="4345" spans="1:1" x14ac:dyDescent="0.25">
      <c r="A4345" t="s">
        <v>6519</v>
      </c>
    </row>
    <row r="4346" spans="1:1" x14ac:dyDescent="0.25">
      <c r="A4346" t="s">
        <v>6520</v>
      </c>
    </row>
    <row r="4347" spans="1:1" x14ac:dyDescent="0.25">
      <c r="A4347" t="s">
        <v>6521</v>
      </c>
    </row>
    <row r="4348" spans="1:1" x14ac:dyDescent="0.25">
      <c r="A4348" t="s">
        <v>6522</v>
      </c>
    </row>
    <row r="4349" spans="1:1" x14ac:dyDescent="0.25">
      <c r="A4349" t="s">
        <v>6523</v>
      </c>
    </row>
    <row r="4350" spans="1:1" x14ac:dyDescent="0.25">
      <c r="A4350" t="s">
        <v>6524</v>
      </c>
    </row>
    <row r="4351" spans="1:1" x14ac:dyDescent="0.25">
      <c r="A4351" t="s">
        <v>6525</v>
      </c>
    </row>
    <row r="4352" spans="1:1" x14ac:dyDescent="0.25">
      <c r="A4352" t="s">
        <v>6526</v>
      </c>
    </row>
    <row r="4353" spans="1:1" x14ac:dyDescent="0.25">
      <c r="A4353" t="s">
        <v>6527</v>
      </c>
    </row>
    <row r="4354" spans="1:1" x14ac:dyDescent="0.25">
      <c r="A4354" t="s">
        <v>6528</v>
      </c>
    </row>
    <row r="4355" spans="1:1" x14ac:dyDescent="0.25">
      <c r="A4355" t="s">
        <v>6529</v>
      </c>
    </row>
    <row r="4356" spans="1:1" x14ac:dyDescent="0.25">
      <c r="A4356" t="s">
        <v>6530</v>
      </c>
    </row>
    <row r="4357" spans="1:1" x14ac:dyDescent="0.25">
      <c r="A4357" t="s">
        <v>6531</v>
      </c>
    </row>
    <row r="4358" spans="1:1" x14ac:dyDescent="0.25">
      <c r="A4358" t="s">
        <v>6532</v>
      </c>
    </row>
    <row r="4359" spans="1:1" x14ac:dyDescent="0.25">
      <c r="A4359" t="s">
        <v>6533</v>
      </c>
    </row>
    <row r="4360" spans="1:1" x14ac:dyDescent="0.25">
      <c r="A4360" t="s">
        <v>6534</v>
      </c>
    </row>
    <row r="4361" spans="1:1" x14ac:dyDescent="0.25">
      <c r="A4361" t="s">
        <v>6535</v>
      </c>
    </row>
    <row r="4362" spans="1:1" x14ac:dyDescent="0.25">
      <c r="A4362" t="s">
        <v>6536</v>
      </c>
    </row>
    <row r="4363" spans="1:1" x14ac:dyDescent="0.25">
      <c r="A4363" t="s">
        <v>6537</v>
      </c>
    </row>
    <row r="4364" spans="1:1" x14ac:dyDescent="0.25">
      <c r="A4364" t="s">
        <v>6538</v>
      </c>
    </row>
    <row r="4365" spans="1:1" x14ac:dyDescent="0.25">
      <c r="A4365" t="s">
        <v>6539</v>
      </c>
    </row>
    <row r="4366" spans="1:1" x14ac:dyDescent="0.25">
      <c r="A4366" t="s">
        <v>6540</v>
      </c>
    </row>
    <row r="4367" spans="1:1" x14ac:dyDescent="0.25">
      <c r="A4367" t="s">
        <v>6541</v>
      </c>
    </row>
    <row r="4368" spans="1:1" x14ac:dyDescent="0.25">
      <c r="A4368" t="s">
        <v>6542</v>
      </c>
    </row>
    <row r="4369" spans="1:1" x14ac:dyDescent="0.25">
      <c r="A4369" t="s">
        <v>6543</v>
      </c>
    </row>
    <row r="4370" spans="1:1" x14ac:dyDescent="0.25">
      <c r="A4370" t="s">
        <v>6544</v>
      </c>
    </row>
    <row r="4371" spans="1:1" x14ac:dyDescent="0.25">
      <c r="A4371" t="s">
        <v>6545</v>
      </c>
    </row>
    <row r="4372" spans="1:1" x14ac:dyDescent="0.25">
      <c r="A4372" t="s">
        <v>6546</v>
      </c>
    </row>
    <row r="4373" spans="1:1" x14ac:dyDescent="0.25">
      <c r="A4373" t="s">
        <v>6547</v>
      </c>
    </row>
    <row r="4374" spans="1:1" x14ac:dyDescent="0.25">
      <c r="A4374" t="s">
        <v>6548</v>
      </c>
    </row>
    <row r="4375" spans="1:1" x14ac:dyDescent="0.25">
      <c r="A4375" t="s">
        <v>6549</v>
      </c>
    </row>
    <row r="4376" spans="1:1" x14ac:dyDescent="0.25">
      <c r="A4376" t="s">
        <v>6550</v>
      </c>
    </row>
    <row r="4377" spans="1:1" x14ac:dyDescent="0.25">
      <c r="A4377" t="s">
        <v>6551</v>
      </c>
    </row>
    <row r="4378" spans="1:1" x14ac:dyDescent="0.25">
      <c r="A4378" t="s">
        <v>6552</v>
      </c>
    </row>
    <row r="4379" spans="1:1" x14ac:dyDescent="0.25">
      <c r="A4379" t="s">
        <v>6553</v>
      </c>
    </row>
    <row r="4380" spans="1:1" x14ac:dyDescent="0.25">
      <c r="A4380" t="s">
        <v>6554</v>
      </c>
    </row>
    <row r="4381" spans="1:1" x14ac:dyDescent="0.25">
      <c r="A4381" t="s">
        <v>6555</v>
      </c>
    </row>
    <row r="4382" spans="1:1" x14ac:dyDescent="0.25">
      <c r="A4382" t="s">
        <v>6556</v>
      </c>
    </row>
    <row r="4383" spans="1:1" x14ac:dyDescent="0.25">
      <c r="A4383" t="s">
        <v>6557</v>
      </c>
    </row>
    <row r="4384" spans="1:1" x14ac:dyDescent="0.25">
      <c r="A4384" t="s">
        <v>6558</v>
      </c>
    </row>
    <row r="4385" spans="1:1" x14ac:dyDescent="0.25">
      <c r="A4385" t="s">
        <v>6559</v>
      </c>
    </row>
    <row r="4386" spans="1:1" x14ac:dyDescent="0.25">
      <c r="A4386" t="s">
        <v>6560</v>
      </c>
    </row>
    <row r="4387" spans="1:1" x14ac:dyDescent="0.25">
      <c r="A4387" t="s">
        <v>6561</v>
      </c>
    </row>
    <row r="4388" spans="1:1" x14ac:dyDescent="0.25">
      <c r="A4388" t="s">
        <v>6562</v>
      </c>
    </row>
    <row r="4389" spans="1:1" x14ac:dyDescent="0.25">
      <c r="A4389" t="s">
        <v>6563</v>
      </c>
    </row>
    <row r="4390" spans="1:1" x14ac:dyDescent="0.25">
      <c r="A4390" t="s">
        <v>6564</v>
      </c>
    </row>
    <row r="4391" spans="1:1" x14ac:dyDescent="0.25">
      <c r="A4391" t="s">
        <v>6565</v>
      </c>
    </row>
    <row r="4392" spans="1:1" x14ac:dyDescent="0.25">
      <c r="A4392" t="s">
        <v>6566</v>
      </c>
    </row>
    <row r="4393" spans="1:1" x14ac:dyDescent="0.25">
      <c r="A4393" t="s">
        <v>6567</v>
      </c>
    </row>
    <row r="4394" spans="1:1" x14ac:dyDescent="0.25">
      <c r="A4394" t="s">
        <v>6568</v>
      </c>
    </row>
    <row r="4395" spans="1:1" x14ac:dyDescent="0.25">
      <c r="A4395" t="s">
        <v>6569</v>
      </c>
    </row>
    <row r="4396" spans="1:1" x14ac:dyDescent="0.25">
      <c r="A4396" t="s">
        <v>6570</v>
      </c>
    </row>
    <row r="4397" spans="1:1" x14ac:dyDescent="0.25">
      <c r="A4397" t="s">
        <v>6571</v>
      </c>
    </row>
    <row r="4398" spans="1:1" x14ac:dyDescent="0.25">
      <c r="A4398" t="s">
        <v>6572</v>
      </c>
    </row>
    <row r="4399" spans="1:1" x14ac:dyDescent="0.25">
      <c r="A4399" t="s">
        <v>6573</v>
      </c>
    </row>
    <row r="4400" spans="1:1" x14ac:dyDescent="0.25">
      <c r="A4400" t="s">
        <v>6574</v>
      </c>
    </row>
    <row r="4401" spans="1:1" x14ac:dyDescent="0.25">
      <c r="A4401" t="s">
        <v>6575</v>
      </c>
    </row>
    <row r="4402" spans="1:1" x14ac:dyDescent="0.25">
      <c r="A4402" t="s">
        <v>6576</v>
      </c>
    </row>
    <row r="4403" spans="1:1" x14ac:dyDescent="0.25">
      <c r="A4403" t="s">
        <v>6577</v>
      </c>
    </row>
    <row r="4404" spans="1:1" x14ac:dyDescent="0.25">
      <c r="A4404" t="s">
        <v>6578</v>
      </c>
    </row>
    <row r="4405" spans="1:1" x14ac:dyDescent="0.25">
      <c r="A4405" t="s">
        <v>6579</v>
      </c>
    </row>
    <row r="4406" spans="1:1" x14ac:dyDescent="0.25">
      <c r="A4406" t="s">
        <v>6580</v>
      </c>
    </row>
    <row r="4407" spans="1:1" x14ac:dyDescent="0.25">
      <c r="A4407" t="s">
        <v>6581</v>
      </c>
    </row>
    <row r="4408" spans="1:1" x14ac:dyDescent="0.25">
      <c r="A4408" t="s">
        <v>6582</v>
      </c>
    </row>
    <row r="4409" spans="1:1" x14ac:dyDescent="0.25">
      <c r="A4409" t="s">
        <v>6583</v>
      </c>
    </row>
    <row r="4410" spans="1:1" x14ac:dyDescent="0.25">
      <c r="A4410" t="s">
        <v>6584</v>
      </c>
    </row>
    <row r="4411" spans="1:1" x14ac:dyDescent="0.25">
      <c r="A4411" t="s">
        <v>6585</v>
      </c>
    </row>
    <row r="4412" spans="1:1" x14ac:dyDescent="0.25">
      <c r="A4412" t="s">
        <v>6586</v>
      </c>
    </row>
    <row r="4413" spans="1:1" x14ac:dyDescent="0.25">
      <c r="A4413" t="s">
        <v>6587</v>
      </c>
    </row>
    <row r="4414" spans="1:1" x14ac:dyDescent="0.25">
      <c r="A4414" t="s">
        <v>6588</v>
      </c>
    </row>
    <row r="4415" spans="1:1" x14ac:dyDescent="0.25">
      <c r="A4415" t="s">
        <v>6589</v>
      </c>
    </row>
    <row r="4416" spans="1:1" x14ac:dyDescent="0.25">
      <c r="A4416" t="s">
        <v>6590</v>
      </c>
    </row>
    <row r="4417" spans="1:1" x14ac:dyDescent="0.25">
      <c r="A4417" t="s">
        <v>6591</v>
      </c>
    </row>
    <row r="4418" spans="1:1" x14ac:dyDescent="0.25">
      <c r="A4418" t="s">
        <v>6592</v>
      </c>
    </row>
    <row r="4419" spans="1:1" x14ac:dyDescent="0.25">
      <c r="A4419" t="s">
        <v>6593</v>
      </c>
    </row>
    <row r="4420" spans="1:1" x14ac:dyDescent="0.25">
      <c r="A4420" t="s">
        <v>6594</v>
      </c>
    </row>
    <row r="4421" spans="1:1" x14ac:dyDescent="0.25">
      <c r="A4421" t="s">
        <v>6595</v>
      </c>
    </row>
    <row r="4422" spans="1:1" x14ac:dyDescent="0.25">
      <c r="A4422" t="s">
        <v>6596</v>
      </c>
    </row>
    <row r="4423" spans="1:1" x14ac:dyDescent="0.25">
      <c r="A4423" t="s">
        <v>6597</v>
      </c>
    </row>
    <row r="4424" spans="1:1" x14ac:dyDescent="0.25">
      <c r="A4424" t="s">
        <v>6598</v>
      </c>
    </row>
    <row r="4425" spans="1:1" x14ac:dyDescent="0.25">
      <c r="A4425" t="s">
        <v>6599</v>
      </c>
    </row>
    <row r="4426" spans="1:1" x14ac:dyDescent="0.25">
      <c r="A4426" t="s">
        <v>6600</v>
      </c>
    </row>
    <row r="4427" spans="1:1" x14ac:dyDescent="0.25">
      <c r="A4427" t="s">
        <v>6601</v>
      </c>
    </row>
    <row r="4428" spans="1:1" x14ac:dyDescent="0.25">
      <c r="A4428" t="s">
        <v>6602</v>
      </c>
    </row>
    <row r="4429" spans="1:1" x14ac:dyDescent="0.25">
      <c r="A4429" t="s">
        <v>6603</v>
      </c>
    </row>
    <row r="4430" spans="1:1" x14ac:dyDescent="0.25">
      <c r="A4430" t="s">
        <v>6604</v>
      </c>
    </row>
    <row r="4431" spans="1:1" x14ac:dyDescent="0.25">
      <c r="A4431" t="s">
        <v>6605</v>
      </c>
    </row>
    <row r="4432" spans="1:1" x14ac:dyDescent="0.25">
      <c r="A4432" t="s">
        <v>6606</v>
      </c>
    </row>
    <row r="4433" spans="1:1" x14ac:dyDescent="0.25">
      <c r="A4433" t="s">
        <v>6607</v>
      </c>
    </row>
    <row r="4434" spans="1:1" x14ac:dyDescent="0.25">
      <c r="A4434" t="s">
        <v>6608</v>
      </c>
    </row>
    <row r="4435" spans="1:1" x14ac:dyDescent="0.25">
      <c r="A4435" t="s">
        <v>6609</v>
      </c>
    </row>
    <row r="4436" spans="1:1" x14ac:dyDescent="0.25">
      <c r="A4436" t="s">
        <v>6610</v>
      </c>
    </row>
    <row r="4437" spans="1:1" x14ac:dyDescent="0.25">
      <c r="A4437" t="s">
        <v>6611</v>
      </c>
    </row>
    <row r="4438" spans="1:1" x14ac:dyDescent="0.25">
      <c r="A4438" t="s">
        <v>6612</v>
      </c>
    </row>
    <row r="4439" spans="1:1" x14ac:dyDescent="0.25">
      <c r="A4439" t="s">
        <v>6613</v>
      </c>
    </row>
    <row r="4440" spans="1:1" x14ac:dyDescent="0.25">
      <c r="A4440" t="s">
        <v>6614</v>
      </c>
    </row>
    <row r="4441" spans="1:1" x14ac:dyDescent="0.25">
      <c r="A4441" t="s">
        <v>6615</v>
      </c>
    </row>
    <row r="4442" spans="1:1" x14ac:dyDescent="0.25">
      <c r="A4442" t="s">
        <v>6616</v>
      </c>
    </row>
    <row r="4443" spans="1:1" x14ac:dyDescent="0.25">
      <c r="A4443" t="s">
        <v>6617</v>
      </c>
    </row>
    <row r="4444" spans="1:1" x14ac:dyDescent="0.25">
      <c r="A4444" t="s">
        <v>6618</v>
      </c>
    </row>
    <row r="4445" spans="1:1" x14ac:dyDescent="0.25">
      <c r="A4445" t="s">
        <v>6619</v>
      </c>
    </row>
    <row r="4446" spans="1:1" x14ac:dyDescent="0.25">
      <c r="A4446" t="s">
        <v>6620</v>
      </c>
    </row>
    <row r="4447" spans="1:1" x14ac:dyDescent="0.25">
      <c r="A4447" t="s">
        <v>6621</v>
      </c>
    </row>
    <row r="4448" spans="1:1" x14ac:dyDescent="0.25">
      <c r="A4448" t="s">
        <v>6622</v>
      </c>
    </row>
    <row r="4449" spans="1:1" x14ac:dyDescent="0.25">
      <c r="A4449" t="s">
        <v>6623</v>
      </c>
    </row>
    <row r="4450" spans="1:1" x14ac:dyDescent="0.25">
      <c r="A4450" t="s">
        <v>6624</v>
      </c>
    </row>
    <row r="4451" spans="1:1" x14ac:dyDescent="0.25">
      <c r="A4451" t="s">
        <v>6625</v>
      </c>
    </row>
    <row r="4452" spans="1:1" x14ac:dyDescent="0.25">
      <c r="A4452" t="s">
        <v>6626</v>
      </c>
    </row>
    <row r="4453" spans="1:1" x14ac:dyDescent="0.25">
      <c r="A4453" t="s">
        <v>6627</v>
      </c>
    </row>
    <row r="4454" spans="1:1" x14ac:dyDescent="0.25">
      <c r="A4454" t="s">
        <v>6628</v>
      </c>
    </row>
    <row r="4455" spans="1:1" x14ac:dyDescent="0.25">
      <c r="A4455" t="s">
        <v>6629</v>
      </c>
    </row>
    <row r="4456" spans="1:1" x14ac:dyDescent="0.25">
      <c r="A4456" t="s">
        <v>6630</v>
      </c>
    </row>
    <row r="4457" spans="1:1" x14ac:dyDescent="0.25">
      <c r="A4457" t="s">
        <v>6631</v>
      </c>
    </row>
    <row r="4458" spans="1:1" x14ac:dyDescent="0.25">
      <c r="A4458" t="s">
        <v>6632</v>
      </c>
    </row>
    <row r="4459" spans="1:1" x14ac:dyDescent="0.25">
      <c r="A4459" t="s">
        <v>6633</v>
      </c>
    </row>
    <row r="4460" spans="1:1" x14ac:dyDescent="0.25">
      <c r="A4460" t="s">
        <v>6634</v>
      </c>
    </row>
    <row r="4461" spans="1:1" x14ac:dyDescent="0.25">
      <c r="A4461" t="s">
        <v>6635</v>
      </c>
    </row>
    <row r="4462" spans="1:1" x14ac:dyDescent="0.25">
      <c r="A4462" t="s">
        <v>6636</v>
      </c>
    </row>
    <row r="4463" spans="1:1" x14ac:dyDescent="0.25">
      <c r="A4463" t="s">
        <v>6637</v>
      </c>
    </row>
    <row r="4464" spans="1:1" x14ac:dyDescent="0.25">
      <c r="A4464" t="s">
        <v>6638</v>
      </c>
    </row>
    <row r="4465" spans="1:1" x14ac:dyDescent="0.25">
      <c r="A4465" t="s">
        <v>6639</v>
      </c>
    </row>
    <row r="4466" spans="1:1" x14ac:dyDescent="0.25">
      <c r="A4466" t="s">
        <v>6640</v>
      </c>
    </row>
    <row r="4467" spans="1:1" x14ac:dyDescent="0.25">
      <c r="A4467" t="s">
        <v>6641</v>
      </c>
    </row>
    <row r="4468" spans="1:1" x14ac:dyDescent="0.25">
      <c r="A4468" t="s">
        <v>6642</v>
      </c>
    </row>
    <row r="4469" spans="1:1" x14ac:dyDescent="0.25">
      <c r="A4469" t="s">
        <v>6643</v>
      </c>
    </row>
    <row r="4470" spans="1:1" x14ac:dyDescent="0.25">
      <c r="A4470" t="s">
        <v>6644</v>
      </c>
    </row>
    <row r="4471" spans="1:1" x14ac:dyDescent="0.25">
      <c r="A4471" t="s">
        <v>6645</v>
      </c>
    </row>
    <row r="4472" spans="1:1" x14ac:dyDescent="0.25">
      <c r="A4472" t="s">
        <v>6646</v>
      </c>
    </row>
    <row r="4473" spans="1:1" x14ac:dyDescent="0.25">
      <c r="A4473" t="s">
        <v>6647</v>
      </c>
    </row>
    <row r="4474" spans="1:1" x14ac:dyDescent="0.25">
      <c r="A4474" t="s">
        <v>6648</v>
      </c>
    </row>
    <row r="4475" spans="1:1" x14ac:dyDescent="0.25">
      <c r="A4475" t="s">
        <v>6649</v>
      </c>
    </row>
    <row r="4476" spans="1:1" x14ac:dyDescent="0.25">
      <c r="A4476" t="s">
        <v>6650</v>
      </c>
    </row>
    <row r="4477" spans="1:1" x14ac:dyDescent="0.25">
      <c r="A4477" t="s">
        <v>6651</v>
      </c>
    </row>
    <row r="4478" spans="1:1" x14ac:dyDescent="0.25">
      <c r="A4478" t="s">
        <v>6652</v>
      </c>
    </row>
    <row r="4479" spans="1:1" x14ac:dyDescent="0.25">
      <c r="A4479" t="s">
        <v>6653</v>
      </c>
    </row>
    <row r="4480" spans="1:1" x14ac:dyDescent="0.25">
      <c r="A4480" t="s">
        <v>6654</v>
      </c>
    </row>
    <row r="4481" spans="1:1" x14ac:dyDescent="0.25">
      <c r="A4481" t="s">
        <v>6655</v>
      </c>
    </row>
    <row r="4482" spans="1:1" x14ac:dyDescent="0.25">
      <c r="A4482" t="s">
        <v>6656</v>
      </c>
    </row>
    <row r="4483" spans="1:1" x14ac:dyDescent="0.25">
      <c r="A4483" t="s">
        <v>6657</v>
      </c>
    </row>
    <row r="4484" spans="1:1" x14ac:dyDescent="0.25">
      <c r="A4484" t="s">
        <v>6658</v>
      </c>
    </row>
    <row r="4485" spans="1:1" x14ac:dyDescent="0.25">
      <c r="A4485" t="s">
        <v>6659</v>
      </c>
    </row>
    <row r="4486" spans="1:1" x14ac:dyDescent="0.25">
      <c r="A4486" t="s">
        <v>6660</v>
      </c>
    </row>
    <row r="4487" spans="1:1" x14ac:dyDescent="0.25">
      <c r="A4487" t="s">
        <v>6661</v>
      </c>
    </row>
    <row r="4488" spans="1:1" x14ac:dyDescent="0.25">
      <c r="A4488" t="s">
        <v>6662</v>
      </c>
    </row>
    <row r="4489" spans="1:1" x14ac:dyDescent="0.25">
      <c r="A4489" t="s">
        <v>6663</v>
      </c>
    </row>
    <row r="4490" spans="1:1" x14ac:dyDescent="0.25">
      <c r="A4490" t="s">
        <v>6664</v>
      </c>
    </row>
    <row r="4491" spans="1:1" x14ac:dyDescent="0.25">
      <c r="A4491" t="s">
        <v>6665</v>
      </c>
    </row>
    <row r="4492" spans="1:1" x14ac:dyDescent="0.25">
      <c r="A4492" t="s">
        <v>6666</v>
      </c>
    </row>
    <row r="4493" spans="1:1" x14ac:dyDescent="0.25">
      <c r="A4493" t="s">
        <v>6667</v>
      </c>
    </row>
    <row r="4494" spans="1:1" x14ac:dyDescent="0.25">
      <c r="A4494" t="s">
        <v>6668</v>
      </c>
    </row>
    <row r="4495" spans="1:1" x14ac:dyDescent="0.25">
      <c r="A4495" t="s">
        <v>6669</v>
      </c>
    </row>
    <row r="4496" spans="1:1" x14ac:dyDescent="0.25">
      <c r="A4496" t="s">
        <v>6670</v>
      </c>
    </row>
    <row r="4497" spans="1:1" x14ac:dyDescent="0.25">
      <c r="A4497" t="s">
        <v>6671</v>
      </c>
    </row>
    <row r="4498" spans="1:1" x14ac:dyDescent="0.25">
      <c r="A4498" t="s">
        <v>6672</v>
      </c>
    </row>
    <row r="4499" spans="1:1" x14ac:dyDescent="0.25">
      <c r="A4499" t="s">
        <v>6673</v>
      </c>
    </row>
    <row r="4500" spans="1:1" x14ac:dyDescent="0.25">
      <c r="A4500" t="s">
        <v>6674</v>
      </c>
    </row>
    <row r="4501" spans="1:1" x14ac:dyDescent="0.25">
      <c r="A4501" t="s">
        <v>6675</v>
      </c>
    </row>
    <row r="4502" spans="1:1" x14ac:dyDescent="0.25">
      <c r="A4502" t="s">
        <v>6676</v>
      </c>
    </row>
    <row r="4503" spans="1:1" x14ac:dyDescent="0.25">
      <c r="A4503" t="s">
        <v>6677</v>
      </c>
    </row>
    <row r="4504" spans="1:1" x14ac:dyDescent="0.25">
      <c r="A4504" t="s">
        <v>6678</v>
      </c>
    </row>
    <row r="4505" spans="1:1" x14ac:dyDescent="0.25">
      <c r="A4505" t="s">
        <v>6679</v>
      </c>
    </row>
    <row r="4506" spans="1:1" x14ac:dyDescent="0.25">
      <c r="A4506" t="s">
        <v>6680</v>
      </c>
    </row>
    <row r="4507" spans="1:1" x14ac:dyDescent="0.25">
      <c r="A4507" t="s">
        <v>6681</v>
      </c>
    </row>
    <row r="4508" spans="1:1" x14ac:dyDescent="0.25">
      <c r="A4508" t="s">
        <v>6682</v>
      </c>
    </row>
    <row r="4509" spans="1:1" x14ac:dyDescent="0.25">
      <c r="A4509" t="s">
        <v>6683</v>
      </c>
    </row>
    <row r="4510" spans="1:1" x14ac:dyDescent="0.25">
      <c r="A4510" t="s">
        <v>6684</v>
      </c>
    </row>
    <row r="4511" spans="1:1" x14ac:dyDescent="0.25">
      <c r="A4511" t="s">
        <v>6685</v>
      </c>
    </row>
    <row r="4512" spans="1:1" x14ac:dyDescent="0.25">
      <c r="A4512" t="s">
        <v>6686</v>
      </c>
    </row>
    <row r="4513" spans="1:1" x14ac:dyDescent="0.25">
      <c r="A4513" t="s">
        <v>6687</v>
      </c>
    </row>
    <row r="4514" spans="1:1" x14ac:dyDescent="0.25">
      <c r="A4514" t="s">
        <v>6688</v>
      </c>
    </row>
    <row r="4515" spans="1:1" x14ac:dyDescent="0.25">
      <c r="A4515" t="s">
        <v>6689</v>
      </c>
    </row>
    <row r="4516" spans="1:1" x14ac:dyDescent="0.25">
      <c r="A4516" t="s">
        <v>6690</v>
      </c>
    </row>
    <row r="4517" spans="1:1" x14ac:dyDescent="0.25">
      <c r="A4517" t="s">
        <v>6691</v>
      </c>
    </row>
    <row r="4518" spans="1:1" x14ac:dyDescent="0.25">
      <c r="A4518" t="s">
        <v>6692</v>
      </c>
    </row>
    <row r="4519" spans="1:1" x14ac:dyDescent="0.25">
      <c r="A4519" t="s">
        <v>6693</v>
      </c>
    </row>
    <row r="4520" spans="1:1" x14ac:dyDescent="0.25">
      <c r="A4520" t="s">
        <v>6694</v>
      </c>
    </row>
    <row r="4521" spans="1:1" x14ac:dyDescent="0.25">
      <c r="A4521" t="s">
        <v>6695</v>
      </c>
    </row>
    <row r="4522" spans="1:1" x14ac:dyDescent="0.25">
      <c r="A4522" t="s">
        <v>6696</v>
      </c>
    </row>
    <row r="4523" spans="1:1" x14ac:dyDescent="0.25">
      <c r="A4523" t="s">
        <v>6697</v>
      </c>
    </row>
    <row r="4524" spans="1:1" x14ac:dyDescent="0.25">
      <c r="A4524" t="s">
        <v>6698</v>
      </c>
    </row>
    <row r="4525" spans="1:1" x14ac:dyDescent="0.25">
      <c r="A4525" t="s">
        <v>6699</v>
      </c>
    </row>
    <row r="4526" spans="1:1" x14ac:dyDescent="0.25">
      <c r="A4526" t="s">
        <v>6700</v>
      </c>
    </row>
    <row r="4527" spans="1:1" x14ac:dyDescent="0.25">
      <c r="A4527" t="s">
        <v>6701</v>
      </c>
    </row>
    <row r="4528" spans="1:1" x14ac:dyDescent="0.25">
      <c r="A4528" t="s">
        <v>6702</v>
      </c>
    </row>
    <row r="4529" spans="1:1" x14ac:dyDescent="0.25">
      <c r="A4529" t="s">
        <v>6703</v>
      </c>
    </row>
    <row r="4530" spans="1:1" x14ac:dyDescent="0.25">
      <c r="A4530" t="s">
        <v>6704</v>
      </c>
    </row>
    <row r="4531" spans="1:1" x14ac:dyDescent="0.25">
      <c r="A4531" t="s">
        <v>6705</v>
      </c>
    </row>
    <row r="4532" spans="1:1" x14ac:dyDescent="0.25">
      <c r="A4532" t="s">
        <v>6706</v>
      </c>
    </row>
    <row r="4533" spans="1:1" x14ac:dyDescent="0.25">
      <c r="A4533" t="s">
        <v>6707</v>
      </c>
    </row>
    <row r="4534" spans="1:1" x14ac:dyDescent="0.25">
      <c r="A4534" t="s">
        <v>6708</v>
      </c>
    </row>
    <row r="4535" spans="1:1" x14ac:dyDescent="0.25">
      <c r="A4535" t="s">
        <v>6709</v>
      </c>
    </row>
    <row r="4536" spans="1:1" x14ac:dyDescent="0.25">
      <c r="A4536" t="s">
        <v>6710</v>
      </c>
    </row>
    <row r="4537" spans="1:1" x14ac:dyDescent="0.25">
      <c r="A4537" t="s">
        <v>6711</v>
      </c>
    </row>
    <row r="4538" spans="1:1" x14ac:dyDescent="0.25">
      <c r="A4538" t="s">
        <v>6712</v>
      </c>
    </row>
    <row r="4539" spans="1:1" x14ac:dyDescent="0.25">
      <c r="A4539" t="s">
        <v>6713</v>
      </c>
    </row>
    <row r="4540" spans="1:1" x14ac:dyDescent="0.25">
      <c r="A4540" t="s">
        <v>6714</v>
      </c>
    </row>
    <row r="4541" spans="1:1" x14ac:dyDescent="0.25">
      <c r="A4541" t="s">
        <v>6715</v>
      </c>
    </row>
    <row r="4542" spans="1:1" x14ac:dyDescent="0.25">
      <c r="A4542" t="s">
        <v>6716</v>
      </c>
    </row>
    <row r="4543" spans="1:1" x14ac:dyDescent="0.25">
      <c r="A4543" t="s">
        <v>6717</v>
      </c>
    </row>
    <row r="4544" spans="1:1" x14ac:dyDescent="0.25">
      <c r="A4544" t="s">
        <v>6718</v>
      </c>
    </row>
    <row r="4545" spans="1:1" x14ac:dyDescent="0.25">
      <c r="A4545" t="s">
        <v>6719</v>
      </c>
    </row>
    <row r="4546" spans="1:1" x14ac:dyDescent="0.25">
      <c r="A4546" t="s">
        <v>6720</v>
      </c>
    </row>
    <row r="4547" spans="1:1" x14ac:dyDescent="0.25">
      <c r="A4547" t="s">
        <v>6721</v>
      </c>
    </row>
    <row r="4548" spans="1:1" x14ac:dyDescent="0.25">
      <c r="A4548" t="s">
        <v>6722</v>
      </c>
    </row>
    <row r="4549" spans="1:1" x14ac:dyDescent="0.25">
      <c r="A4549" t="s">
        <v>6723</v>
      </c>
    </row>
    <row r="4550" spans="1:1" x14ac:dyDescent="0.25">
      <c r="A4550" t="s">
        <v>6724</v>
      </c>
    </row>
    <row r="4551" spans="1:1" x14ac:dyDescent="0.25">
      <c r="A4551" t="s">
        <v>6725</v>
      </c>
    </row>
    <row r="4552" spans="1:1" x14ac:dyDescent="0.25">
      <c r="A4552" t="s">
        <v>6726</v>
      </c>
    </row>
    <row r="4553" spans="1:1" x14ac:dyDescent="0.25">
      <c r="A4553" t="s">
        <v>6727</v>
      </c>
    </row>
    <row r="4554" spans="1:1" x14ac:dyDescent="0.25">
      <c r="A4554" t="s">
        <v>6728</v>
      </c>
    </row>
    <row r="4555" spans="1:1" x14ac:dyDescent="0.25">
      <c r="A4555" t="s">
        <v>6729</v>
      </c>
    </row>
    <row r="4556" spans="1:1" x14ac:dyDescent="0.25">
      <c r="A4556" t="s">
        <v>6730</v>
      </c>
    </row>
    <row r="4557" spans="1:1" x14ac:dyDescent="0.25">
      <c r="A4557" t="s">
        <v>6731</v>
      </c>
    </row>
    <row r="4558" spans="1:1" x14ac:dyDescent="0.25">
      <c r="A4558" t="s">
        <v>6732</v>
      </c>
    </row>
    <row r="4559" spans="1:1" x14ac:dyDescent="0.25">
      <c r="A4559" t="s">
        <v>6733</v>
      </c>
    </row>
    <row r="4560" spans="1:1" x14ac:dyDescent="0.25">
      <c r="A4560" t="s">
        <v>6734</v>
      </c>
    </row>
    <row r="4561" spans="1:1" x14ac:dyDescent="0.25">
      <c r="A4561" t="s">
        <v>6735</v>
      </c>
    </row>
    <row r="4562" spans="1:1" x14ac:dyDescent="0.25">
      <c r="A4562" t="s">
        <v>6736</v>
      </c>
    </row>
    <row r="4563" spans="1:1" x14ac:dyDescent="0.25">
      <c r="A4563" t="s">
        <v>6737</v>
      </c>
    </row>
    <row r="4564" spans="1:1" x14ac:dyDescent="0.25">
      <c r="A4564" t="s">
        <v>6738</v>
      </c>
    </row>
    <row r="4565" spans="1:1" x14ac:dyDescent="0.25">
      <c r="A4565" t="s">
        <v>6739</v>
      </c>
    </row>
    <row r="4566" spans="1:1" x14ac:dyDescent="0.25">
      <c r="A4566" t="s">
        <v>6740</v>
      </c>
    </row>
    <row r="4567" spans="1:1" x14ac:dyDescent="0.25">
      <c r="A4567" t="s">
        <v>6741</v>
      </c>
    </row>
    <row r="4568" spans="1:1" x14ac:dyDescent="0.25">
      <c r="A4568" t="s">
        <v>6742</v>
      </c>
    </row>
    <row r="4569" spans="1:1" x14ac:dyDescent="0.25">
      <c r="A4569" t="s">
        <v>6743</v>
      </c>
    </row>
    <row r="4570" spans="1:1" x14ac:dyDescent="0.25">
      <c r="A4570" t="s">
        <v>6744</v>
      </c>
    </row>
    <row r="4571" spans="1:1" x14ac:dyDescent="0.25">
      <c r="A4571" t="s">
        <v>6745</v>
      </c>
    </row>
    <row r="4572" spans="1:1" x14ac:dyDescent="0.25">
      <c r="A4572" t="s">
        <v>6746</v>
      </c>
    </row>
    <row r="4573" spans="1:1" x14ac:dyDescent="0.25">
      <c r="A4573" t="s">
        <v>6747</v>
      </c>
    </row>
    <row r="4574" spans="1:1" x14ac:dyDescent="0.25">
      <c r="A4574" t="s">
        <v>6748</v>
      </c>
    </row>
    <row r="4575" spans="1:1" x14ac:dyDescent="0.25">
      <c r="A4575" t="s">
        <v>6749</v>
      </c>
    </row>
    <row r="4576" spans="1:1" x14ac:dyDescent="0.25">
      <c r="A4576" t="s">
        <v>6750</v>
      </c>
    </row>
    <row r="4577" spans="1:1" x14ac:dyDescent="0.25">
      <c r="A4577" t="s">
        <v>6751</v>
      </c>
    </row>
    <row r="4578" spans="1:1" x14ac:dyDescent="0.25">
      <c r="A4578" t="s">
        <v>6752</v>
      </c>
    </row>
    <row r="4579" spans="1:1" x14ac:dyDescent="0.25">
      <c r="A4579" t="s">
        <v>6753</v>
      </c>
    </row>
    <row r="4580" spans="1:1" x14ac:dyDescent="0.25">
      <c r="A4580" t="s">
        <v>6754</v>
      </c>
    </row>
    <row r="4581" spans="1:1" x14ac:dyDescent="0.25">
      <c r="A4581" t="s">
        <v>6755</v>
      </c>
    </row>
    <row r="4582" spans="1:1" x14ac:dyDescent="0.25">
      <c r="A4582" t="s">
        <v>6756</v>
      </c>
    </row>
    <row r="4583" spans="1:1" x14ac:dyDescent="0.25">
      <c r="A4583" t="s">
        <v>6757</v>
      </c>
    </row>
    <row r="4584" spans="1:1" x14ac:dyDescent="0.25">
      <c r="A4584" t="s">
        <v>6758</v>
      </c>
    </row>
    <row r="4585" spans="1:1" x14ac:dyDescent="0.25">
      <c r="A4585" t="s">
        <v>6759</v>
      </c>
    </row>
    <row r="4586" spans="1:1" x14ac:dyDescent="0.25">
      <c r="A4586" t="s">
        <v>6760</v>
      </c>
    </row>
    <row r="4587" spans="1:1" x14ac:dyDescent="0.25">
      <c r="A4587" t="s">
        <v>6761</v>
      </c>
    </row>
    <row r="4588" spans="1:1" x14ac:dyDescent="0.25">
      <c r="A4588" t="s">
        <v>6762</v>
      </c>
    </row>
    <row r="4589" spans="1:1" x14ac:dyDescent="0.25">
      <c r="A4589" t="s">
        <v>6763</v>
      </c>
    </row>
    <row r="4590" spans="1:1" x14ac:dyDescent="0.25">
      <c r="A4590" t="s">
        <v>6764</v>
      </c>
    </row>
    <row r="4591" spans="1:1" x14ac:dyDescent="0.25">
      <c r="A4591" t="s">
        <v>6765</v>
      </c>
    </row>
    <row r="4592" spans="1:1" x14ac:dyDescent="0.25">
      <c r="A4592" t="s">
        <v>6766</v>
      </c>
    </row>
    <row r="4593" spans="1:1" x14ac:dyDescent="0.25">
      <c r="A4593" t="s">
        <v>6767</v>
      </c>
    </row>
    <row r="4594" spans="1:1" x14ac:dyDescent="0.25">
      <c r="A4594" t="s">
        <v>6768</v>
      </c>
    </row>
    <row r="4595" spans="1:1" x14ac:dyDescent="0.25">
      <c r="A4595" t="s">
        <v>6769</v>
      </c>
    </row>
    <row r="4596" spans="1:1" x14ac:dyDescent="0.25">
      <c r="A4596" t="s">
        <v>6770</v>
      </c>
    </row>
    <row r="4597" spans="1:1" x14ac:dyDescent="0.25">
      <c r="A4597" t="s">
        <v>6771</v>
      </c>
    </row>
    <row r="4598" spans="1:1" x14ac:dyDescent="0.25">
      <c r="A4598" t="s">
        <v>6772</v>
      </c>
    </row>
    <row r="4599" spans="1:1" x14ac:dyDescent="0.25">
      <c r="A4599" t="s">
        <v>6773</v>
      </c>
    </row>
    <row r="4600" spans="1:1" x14ac:dyDescent="0.25">
      <c r="A4600" t="s">
        <v>6774</v>
      </c>
    </row>
    <row r="4601" spans="1:1" x14ac:dyDescent="0.25">
      <c r="A4601" t="s">
        <v>6775</v>
      </c>
    </row>
    <row r="4602" spans="1:1" x14ac:dyDescent="0.25">
      <c r="A4602" t="s">
        <v>6776</v>
      </c>
    </row>
    <row r="4603" spans="1:1" x14ac:dyDescent="0.25">
      <c r="A4603" t="s">
        <v>6777</v>
      </c>
    </row>
    <row r="4604" spans="1:1" x14ac:dyDescent="0.25">
      <c r="A4604" t="s">
        <v>6778</v>
      </c>
    </row>
    <row r="4605" spans="1:1" x14ac:dyDescent="0.25">
      <c r="A4605" t="s">
        <v>6779</v>
      </c>
    </row>
    <row r="4606" spans="1:1" x14ac:dyDescent="0.25">
      <c r="A4606" t="s">
        <v>6780</v>
      </c>
    </row>
    <row r="4607" spans="1:1" x14ac:dyDescent="0.25">
      <c r="A4607" t="s">
        <v>6781</v>
      </c>
    </row>
    <row r="4608" spans="1:1" x14ac:dyDescent="0.25">
      <c r="A4608" t="s">
        <v>6782</v>
      </c>
    </row>
    <row r="4609" spans="1:1" x14ac:dyDescent="0.25">
      <c r="A4609" t="s">
        <v>6783</v>
      </c>
    </row>
    <row r="4610" spans="1:1" x14ac:dyDescent="0.25">
      <c r="A4610" t="s">
        <v>6784</v>
      </c>
    </row>
    <row r="4611" spans="1:1" x14ac:dyDescent="0.25">
      <c r="A4611" t="s">
        <v>6785</v>
      </c>
    </row>
    <row r="4612" spans="1:1" x14ac:dyDescent="0.25">
      <c r="A4612" t="s">
        <v>6786</v>
      </c>
    </row>
    <row r="4613" spans="1:1" x14ac:dyDescent="0.25">
      <c r="A4613" t="s">
        <v>6787</v>
      </c>
    </row>
    <row r="4614" spans="1:1" x14ac:dyDescent="0.25">
      <c r="A4614" t="s">
        <v>6788</v>
      </c>
    </row>
    <row r="4615" spans="1:1" x14ac:dyDescent="0.25">
      <c r="A4615" t="s">
        <v>6789</v>
      </c>
    </row>
    <row r="4616" spans="1:1" x14ac:dyDescent="0.25">
      <c r="A4616" t="s">
        <v>6790</v>
      </c>
    </row>
    <row r="4617" spans="1:1" x14ac:dyDescent="0.25">
      <c r="A4617" t="s">
        <v>6791</v>
      </c>
    </row>
    <row r="4618" spans="1:1" x14ac:dyDescent="0.25">
      <c r="A4618" t="s">
        <v>6792</v>
      </c>
    </row>
    <row r="4619" spans="1:1" x14ac:dyDescent="0.25">
      <c r="A4619" t="s">
        <v>6793</v>
      </c>
    </row>
    <row r="4620" spans="1:1" x14ac:dyDescent="0.25">
      <c r="A4620" t="s">
        <v>6794</v>
      </c>
    </row>
    <row r="4621" spans="1:1" x14ac:dyDescent="0.25">
      <c r="A4621" t="s">
        <v>6795</v>
      </c>
    </row>
    <row r="4622" spans="1:1" x14ac:dyDescent="0.25">
      <c r="A4622" t="s">
        <v>6796</v>
      </c>
    </row>
    <row r="4623" spans="1:1" x14ac:dyDescent="0.25">
      <c r="A4623" t="s">
        <v>6797</v>
      </c>
    </row>
    <row r="4624" spans="1:1" x14ac:dyDescent="0.25">
      <c r="A4624" t="s">
        <v>6798</v>
      </c>
    </row>
    <row r="4625" spans="1:1" x14ac:dyDescent="0.25">
      <c r="A4625" t="s">
        <v>6799</v>
      </c>
    </row>
    <row r="4626" spans="1:1" x14ac:dyDescent="0.25">
      <c r="A4626" t="s">
        <v>6800</v>
      </c>
    </row>
    <row r="4627" spans="1:1" x14ac:dyDescent="0.25">
      <c r="A4627" t="s">
        <v>6801</v>
      </c>
    </row>
    <row r="4628" spans="1:1" x14ac:dyDescent="0.25">
      <c r="A4628" t="s">
        <v>6802</v>
      </c>
    </row>
    <row r="4629" spans="1:1" x14ac:dyDescent="0.25">
      <c r="A4629" t="s">
        <v>6803</v>
      </c>
    </row>
    <row r="4630" spans="1:1" x14ac:dyDescent="0.25">
      <c r="A4630" t="s">
        <v>6804</v>
      </c>
    </row>
    <row r="4631" spans="1:1" x14ac:dyDescent="0.25">
      <c r="A4631" t="s">
        <v>6805</v>
      </c>
    </row>
    <row r="4632" spans="1:1" x14ac:dyDescent="0.25">
      <c r="A4632" t="s">
        <v>6806</v>
      </c>
    </row>
    <row r="4633" spans="1:1" x14ac:dyDescent="0.25">
      <c r="A4633" t="s">
        <v>6807</v>
      </c>
    </row>
    <row r="4634" spans="1:1" x14ac:dyDescent="0.25">
      <c r="A4634" t="s">
        <v>6808</v>
      </c>
    </row>
    <row r="4635" spans="1:1" x14ac:dyDescent="0.25">
      <c r="A4635" t="s">
        <v>6809</v>
      </c>
    </row>
    <row r="4636" spans="1:1" x14ac:dyDescent="0.25">
      <c r="A4636" t="s">
        <v>6810</v>
      </c>
    </row>
    <row r="4637" spans="1:1" x14ac:dyDescent="0.25">
      <c r="A4637" t="s">
        <v>6811</v>
      </c>
    </row>
    <row r="4638" spans="1:1" x14ac:dyDescent="0.25">
      <c r="A4638" t="s">
        <v>6812</v>
      </c>
    </row>
    <row r="4639" spans="1:1" x14ac:dyDescent="0.25">
      <c r="A4639" t="s">
        <v>6813</v>
      </c>
    </row>
    <row r="4640" spans="1:1" x14ac:dyDescent="0.25">
      <c r="A4640" t="s">
        <v>6814</v>
      </c>
    </row>
    <row r="4641" spans="1:1" x14ac:dyDescent="0.25">
      <c r="A4641" t="s">
        <v>6815</v>
      </c>
    </row>
    <row r="4642" spans="1:1" x14ac:dyDescent="0.25">
      <c r="A4642" t="s">
        <v>6816</v>
      </c>
    </row>
    <row r="4643" spans="1:1" x14ac:dyDescent="0.25">
      <c r="A4643" t="s">
        <v>6817</v>
      </c>
    </row>
    <row r="4644" spans="1:1" x14ac:dyDescent="0.25">
      <c r="A4644" t="s">
        <v>6818</v>
      </c>
    </row>
    <row r="4645" spans="1:1" x14ac:dyDescent="0.25">
      <c r="A4645" t="s">
        <v>6819</v>
      </c>
    </row>
    <row r="4646" spans="1:1" x14ac:dyDescent="0.25">
      <c r="A4646" t="s">
        <v>6820</v>
      </c>
    </row>
    <row r="4647" spans="1:1" x14ac:dyDescent="0.25">
      <c r="A4647" t="s">
        <v>6821</v>
      </c>
    </row>
    <row r="4648" spans="1:1" x14ac:dyDescent="0.25">
      <c r="A4648" t="s">
        <v>6822</v>
      </c>
    </row>
    <row r="4649" spans="1:1" x14ac:dyDescent="0.25">
      <c r="A4649" t="s">
        <v>6823</v>
      </c>
    </row>
    <row r="4650" spans="1:1" x14ac:dyDescent="0.25">
      <c r="A4650" t="s">
        <v>6824</v>
      </c>
    </row>
    <row r="4651" spans="1:1" x14ac:dyDescent="0.25">
      <c r="A4651" t="s">
        <v>6825</v>
      </c>
    </row>
    <row r="4652" spans="1:1" x14ac:dyDescent="0.25">
      <c r="A4652" t="s">
        <v>6826</v>
      </c>
    </row>
    <row r="4653" spans="1:1" x14ac:dyDescent="0.25">
      <c r="A4653" t="s">
        <v>6827</v>
      </c>
    </row>
    <row r="4654" spans="1:1" x14ac:dyDescent="0.25">
      <c r="A4654" t="s">
        <v>6828</v>
      </c>
    </row>
    <row r="4655" spans="1:1" x14ac:dyDescent="0.25">
      <c r="A4655" t="s">
        <v>6829</v>
      </c>
    </row>
    <row r="4656" spans="1:1" x14ac:dyDescent="0.25">
      <c r="A4656" t="s">
        <v>6830</v>
      </c>
    </row>
    <row r="4657" spans="1:1" x14ac:dyDescent="0.25">
      <c r="A4657" t="s">
        <v>6831</v>
      </c>
    </row>
    <row r="4658" spans="1:1" x14ac:dyDescent="0.25">
      <c r="A4658" t="s">
        <v>6832</v>
      </c>
    </row>
    <row r="4659" spans="1:1" x14ac:dyDescent="0.25">
      <c r="A4659" t="s">
        <v>6833</v>
      </c>
    </row>
    <row r="4660" spans="1:1" x14ac:dyDescent="0.25">
      <c r="A4660" t="s">
        <v>6834</v>
      </c>
    </row>
    <row r="4661" spans="1:1" x14ac:dyDescent="0.25">
      <c r="A4661" t="s">
        <v>6835</v>
      </c>
    </row>
    <row r="4662" spans="1:1" x14ac:dyDescent="0.25">
      <c r="A4662" t="s">
        <v>6836</v>
      </c>
    </row>
    <row r="4663" spans="1:1" x14ac:dyDescent="0.25">
      <c r="A4663" t="s">
        <v>6837</v>
      </c>
    </row>
    <row r="4664" spans="1:1" x14ac:dyDescent="0.25">
      <c r="A4664" t="s">
        <v>6838</v>
      </c>
    </row>
    <row r="4665" spans="1:1" x14ac:dyDescent="0.25">
      <c r="A4665" t="s">
        <v>6839</v>
      </c>
    </row>
    <row r="4666" spans="1:1" x14ac:dyDescent="0.25">
      <c r="A4666" t="s">
        <v>6840</v>
      </c>
    </row>
    <row r="4667" spans="1:1" x14ac:dyDescent="0.25">
      <c r="A4667" t="s">
        <v>6841</v>
      </c>
    </row>
    <row r="4668" spans="1:1" x14ac:dyDescent="0.25">
      <c r="A4668" t="s">
        <v>6842</v>
      </c>
    </row>
    <row r="4669" spans="1:1" x14ac:dyDescent="0.25">
      <c r="A4669" t="s">
        <v>6843</v>
      </c>
    </row>
    <row r="4670" spans="1:1" x14ac:dyDescent="0.25">
      <c r="A4670" t="s">
        <v>6844</v>
      </c>
    </row>
    <row r="4671" spans="1:1" x14ac:dyDescent="0.25">
      <c r="A4671" t="s">
        <v>6845</v>
      </c>
    </row>
    <row r="4672" spans="1:1" x14ac:dyDescent="0.25">
      <c r="A4672" t="s">
        <v>6846</v>
      </c>
    </row>
    <row r="4673" spans="1:1" x14ac:dyDescent="0.25">
      <c r="A4673" t="s">
        <v>6847</v>
      </c>
    </row>
    <row r="4674" spans="1:1" x14ac:dyDescent="0.25">
      <c r="A4674" t="s">
        <v>6848</v>
      </c>
    </row>
    <row r="4675" spans="1:1" x14ac:dyDescent="0.25">
      <c r="A4675" t="s">
        <v>6849</v>
      </c>
    </row>
    <row r="4676" spans="1:1" x14ac:dyDescent="0.25">
      <c r="A4676" t="s">
        <v>6850</v>
      </c>
    </row>
    <row r="4677" spans="1:1" x14ac:dyDescent="0.25">
      <c r="A4677" t="s">
        <v>6851</v>
      </c>
    </row>
    <row r="4678" spans="1:1" x14ac:dyDescent="0.25">
      <c r="A4678" t="s">
        <v>6852</v>
      </c>
    </row>
    <row r="4679" spans="1:1" x14ac:dyDescent="0.25">
      <c r="A4679" t="s">
        <v>6853</v>
      </c>
    </row>
    <row r="4680" spans="1:1" x14ac:dyDescent="0.25">
      <c r="A4680" t="s">
        <v>6854</v>
      </c>
    </row>
    <row r="4681" spans="1:1" x14ac:dyDescent="0.25">
      <c r="A4681" t="s">
        <v>6855</v>
      </c>
    </row>
    <row r="4682" spans="1:1" x14ac:dyDescent="0.25">
      <c r="A4682" t="s">
        <v>6856</v>
      </c>
    </row>
    <row r="4683" spans="1:1" x14ac:dyDescent="0.25">
      <c r="A4683" t="s">
        <v>6857</v>
      </c>
    </row>
    <row r="4684" spans="1:1" x14ac:dyDescent="0.25">
      <c r="A4684" t="s">
        <v>6858</v>
      </c>
    </row>
    <row r="4685" spans="1:1" x14ac:dyDescent="0.25">
      <c r="A4685" t="s">
        <v>6859</v>
      </c>
    </row>
    <row r="4686" spans="1:1" x14ac:dyDescent="0.25">
      <c r="A4686" t="s">
        <v>6860</v>
      </c>
    </row>
    <row r="4687" spans="1:1" x14ac:dyDescent="0.25">
      <c r="A4687" t="s">
        <v>6861</v>
      </c>
    </row>
    <row r="4688" spans="1:1" x14ac:dyDescent="0.25">
      <c r="A4688" t="s">
        <v>6862</v>
      </c>
    </row>
    <row r="4689" spans="1:1" x14ac:dyDescent="0.25">
      <c r="A4689" t="s">
        <v>6863</v>
      </c>
    </row>
    <row r="4690" spans="1:1" x14ac:dyDescent="0.25">
      <c r="A4690" t="s">
        <v>6864</v>
      </c>
    </row>
    <row r="4691" spans="1:1" x14ac:dyDescent="0.25">
      <c r="A4691" t="s">
        <v>6865</v>
      </c>
    </row>
    <row r="4692" spans="1:1" x14ac:dyDescent="0.25">
      <c r="A4692" t="s">
        <v>6866</v>
      </c>
    </row>
    <row r="4693" spans="1:1" x14ac:dyDescent="0.25">
      <c r="A4693" t="s">
        <v>6867</v>
      </c>
    </row>
    <row r="4694" spans="1:1" x14ac:dyDescent="0.25">
      <c r="A4694" t="s">
        <v>6868</v>
      </c>
    </row>
    <row r="4695" spans="1:1" x14ac:dyDescent="0.25">
      <c r="A4695" t="s">
        <v>6869</v>
      </c>
    </row>
    <row r="4696" spans="1:1" x14ac:dyDescent="0.25">
      <c r="A4696" t="s">
        <v>6870</v>
      </c>
    </row>
    <row r="4697" spans="1:1" x14ac:dyDescent="0.25">
      <c r="A4697" t="s">
        <v>6871</v>
      </c>
    </row>
    <row r="4698" spans="1:1" x14ac:dyDescent="0.25">
      <c r="A4698" t="s">
        <v>6872</v>
      </c>
    </row>
    <row r="4699" spans="1:1" x14ac:dyDescent="0.25">
      <c r="A4699" t="s">
        <v>6873</v>
      </c>
    </row>
    <row r="4700" spans="1:1" x14ac:dyDescent="0.25">
      <c r="A4700" t="s">
        <v>6874</v>
      </c>
    </row>
    <row r="4701" spans="1:1" x14ac:dyDescent="0.25">
      <c r="A4701" t="s">
        <v>6875</v>
      </c>
    </row>
    <row r="4702" spans="1:1" x14ac:dyDescent="0.25">
      <c r="A4702" t="s">
        <v>6876</v>
      </c>
    </row>
    <row r="4703" spans="1:1" x14ac:dyDescent="0.25">
      <c r="A4703" t="s">
        <v>6877</v>
      </c>
    </row>
    <row r="4704" spans="1:1" x14ac:dyDescent="0.25">
      <c r="A4704" t="s">
        <v>6878</v>
      </c>
    </row>
    <row r="4705" spans="1:1" x14ac:dyDescent="0.25">
      <c r="A4705" t="s">
        <v>6879</v>
      </c>
    </row>
    <row r="4706" spans="1:1" x14ac:dyDescent="0.25">
      <c r="A4706" t="s">
        <v>6880</v>
      </c>
    </row>
    <row r="4707" spans="1:1" x14ac:dyDescent="0.25">
      <c r="A4707" t="s">
        <v>6881</v>
      </c>
    </row>
    <row r="4708" spans="1:1" x14ac:dyDescent="0.25">
      <c r="A4708" t="s">
        <v>6882</v>
      </c>
    </row>
    <row r="4709" spans="1:1" x14ac:dyDescent="0.25">
      <c r="A4709" t="s">
        <v>6883</v>
      </c>
    </row>
    <row r="4710" spans="1:1" x14ac:dyDescent="0.25">
      <c r="A4710" t="s">
        <v>6884</v>
      </c>
    </row>
    <row r="4711" spans="1:1" x14ac:dyDescent="0.25">
      <c r="A4711" t="s">
        <v>6885</v>
      </c>
    </row>
    <row r="4712" spans="1:1" x14ac:dyDescent="0.25">
      <c r="A4712" t="s">
        <v>6886</v>
      </c>
    </row>
    <row r="4713" spans="1:1" x14ac:dyDescent="0.25">
      <c r="A4713" t="s">
        <v>6887</v>
      </c>
    </row>
    <row r="4714" spans="1:1" x14ac:dyDescent="0.25">
      <c r="A4714" t="s">
        <v>6888</v>
      </c>
    </row>
    <row r="4715" spans="1:1" x14ac:dyDescent="0.25">
      <c r="A4715" t="s">
        <v>6889</v>
      </c>
    </row>
    <row r="4716" spans="1:1" x14ac:dyDescent="0.25">
      <c r="A4716" t="s">
        <v>6890</v>
      </c>
    </row>
    <row r="4717" spans="1:1" x14ac:dyDescent="0.25">
      <c r="A4717" t="s">
        <v>6891</v>
      </c>
    </row>
    <row r="4718" spans="1:1" x14ac:dyDescent="0.25">
      <c r="A4718" t="s">
        <v>6892</v>
      </c>
    </row>
    <row r="4719" spans="1:1" x14ac:dyDescent="0.25">
      <c r="A4719" t="s">
        <v>6893</v>
      </c>
    </row>
    <row r="4720" spans="1:1" x14ac:dyDescent="0.25">
      <c r="A4720" t="s">
        <v>6894</v>
      </c>
    </row>
    <row r="4721" spans="1:1" x14ac:dyDescent="0.25">
      <c r="A4721" t="s">
        <v>6895</v>
      </c>
    </row>
    <row r="4722" spans="1:1" x14ac:dyDescent="0.25">
      <c r="A4722" t="s">
        <v>6896</v>
      </c>
    </row>
    <row r="4723" spans="1:1" x14ac:dyDescent="0.25">
      <c r="A4723" t="s">
        <v>6897</v>
      </c>
    </row>
    <row r="4724" spans="1:1" x14ac:dyDescent="0.25">
      <c r="A4724" t="s">
        <v>6898</v>
      </c>
    </row>
    <row r="4725" spans="1:1" x14ac:dyDescent="0.25">
      <c r="A4725" t="s">
        <v>6899</v>
      </c>
    </row>
    <row r="4726" spans="1:1" x14ac:dyDescent="0.25">
      <c r="A4726" t="s">
        <v>6900</v>
      </c>
    </row>
    <row r="4727" spans="1:1" x14ac:dyDescent="0.25">
      <c r="A4727" t="s">
        <v>6901</v>
      </c>
    </row>
    <row r="4728" spans="1:1" x14ac:dyDescent="0.25">
      <c r="A4728" t="s">
        <v>6902</v>
      </c>
    </row>
    <row r="4729" spans="1:1" x14ac:dyDescent="0.25">
      <c r="A4729" t="s">
        <v>6903</v>
      </c>
    </row>
    <row r="4730" spans="1:1" x14ac:dyDescent="0.25">
      <c r="A4730" t="s">
        <v>6904</v>
      </c>
    </row>
    <row r="4731" spans="1:1" x14ac:dyDescent="0.25">
      <c r="A4731" t="s">
        <v>6905</v>
      </c>
    </row>
    <row r="4732" spans="1:1" x14ac:dyDescent="0.25">
      <c r="A4732" t="s">
        <v>6906</v>
      </c>
    </row>
    <row r="4733" spans="1:1" x14ac:dyDescent="0.25">
      <c r="A4733" t="s">
        <v>6907</v>
      </c>
    </row>
    <row r="4734" spans="1:1" x14ac:dyDescent="0.25">
      <c r="A4734" t="s">
        <v>6908</v>
      </c>
    </row>
    <row r="4735" spans="1:1" x14ac:dyDescent="0.25">
      <c r="A4735" t="s">
        <v>6909</v>
      </c>
    </row>
    <row r="4736" spans="1:1" x14ac:dyDescent="0.25">
      <c r="A4736" t="s">
        <v>6910</v>
      </c>
    </row>
    <row r="4737" spans="1:1" x14ac:dyDescent="0.25">
      <c r="A4737" t="s">
        <v>6911</v>
      </c>
    </row>
    <row r="4738" spans="1:1" x14ac:dyDescent="0.25">
      <c r="A4738" t="s">
        <v>6912</v>
      </c>
    </row>
    <row r="4739" spans="1:1" x14ac:dyDescent="0.25">
      <c r="A4739" t="s">
        <v>6913</v>
      </c>
    </row>
    <row r="4740" spans="1:1" x14ac:dyDescent="0.25">
      <c r="A4740" t="s">
        <v>6914</v>
      </c>
    </row>
    <row r="4741" spans="1:1" x14ac:dyDescent="0.25">
      <c r="A4741" t="s">
        <v>6915</v>
      </c>
    </row>
    <row r="4742" spans="1:1" x14ac:dyDescent="0.25">
      <c r="A4742" t="s">
        <v>6916</v>
      </c>
    </row>
    <row r="4743" spans="1:1" x14ac:dyDescent="0.25">
      <c r="A4743" t="s">
        <v>6917</v>
      </c>
    </row>
    <row r="4744" spans="1:1" x14ac:dyDescent="0.25">
      <c r="A4744" t="s">
        <v>6918</v>
      </c>
    </row>
    <row r="4745" spans="1:1" x14ac:dyDescent="0.25">
      <c r="A4745" t="s">
        <v>6919</v>
      </c>
    </row>
    <row r="4746" spans="1:1" x14ac:dyDescent="0.25">
      <c r="A4746" t="s">
        <v>6920</v>
      </c>
    </row>
    <row r="4747" spans="1:1" x14ac:dyDescent="0.25">
      <c r="A4747" t="s">
        <v>6921</v>
      </c>
    </row>
    <row r="4748" spans="1:1" x14ac:dyDescent="0.25">
      <c r="A4748" t="s">
        <v>6922</v>
      </c>
    </row>
    <row r="4749" spans="1:1" x14ac:dyDescent="0.25">
      <c r="A4749" t="s">
        <v>6923</v>
      </c>
    </row>
    <row r="4750" spans="1:1" x14ac:dyDescent="0.25">
      <c r="A4750" t="s">
        <v>6924</v>
      </c>
    </row>
    <row r="4751" spans="1:1" x14ac:dyDescent="0.25">
      <c r="A4751" t="s">
        <v>6925</v>
      </c>
    </row>
    <row r="4752" spans="1:1" x14ac:dyDescent="0.25">
      <c r="A4752" t="s">
        <v>6926</v>
      </c>
    </row>
    <row r="4753" spans="1:1" x14ac:dyDescent="0.25">
      <c r="A4753" t="s">
        <v>6927</v>
      </c>
    </row>
    <row r="4754" spans="1:1" x14ac:dyDescent="0.25">
      <c r="A4754" t="s">
        <v>6928</v>
      </c>
    </row>
    <row r="4755" spans="1:1" x14ac:dyDescent="0.25">
      <c r="A4755" t="s">
        <v>6929</v>
      </c>
    </row>
    <row r="4756" spans="1:1" x14ac:dyDescent="0.25">
      <c r="A4756" t="s">
        <v>6930</v>
      </c>
    </row>
    <row r="4757" spans="1:1" x14ac:dyDescent="0.25">
      <c r="A4757" t="s">
        <v>6931</v>
      </c>
    </row>
    <row r="4758" spans="1:1" x14ac:dyDescent="0.25">
      <c r="A4758" t="s">
        <v>6932</v>
      </c>
    </row>
    <row r="4759" spans="1:1" x14ac:dyDescent="0.25">
      <c r="A4759" t="s">
        <v>6933</v>
      </c>
    </row>
    <row r="4760" spans="1:1" x14ac:dyDescent="0.25">
      <c r="A4760" t="s">
        <v>6934</v>
      </c>
    </row>
    <row r="4761" spans="1:1" x14ac:dyDescent="0.25">
      <c r="A4761" t="s">
        <v>6935</v>
      </c>
    </row>
    <row r="4762" spans="1:1" x14ac:dyDescent="0.25">
      <c r="A4762" t="s">
        <v>6936</v>
      </c>
    </row>
    <row r="4763" spans="1:1" x14ac:dyDescent="0.25">
      <c r="A4763" t="s">
        <v>6937</v>
      </c>
    </row>
    <row r="4764" spans="1:1" x14ac:dyDescent="0.25">
      <c r="A4764" t="s">
        <v>6938</v>
      </c>
    </row>
    <row r="4765" spans="1:1" x14ac:dyDescent="0.25">
      <c r="A4765" t="s">
        <v>6939</v>
      </c>
    </row>
    <row r="4766" spans="1:1" x14ac:dyDescent="0.25">
      <c r="A4766" t="s">
        <v>6940</v>
      </c>
    </row>
    <row r="4767" spans="1:1" x14ac:dyDescent="0.25">
      <c r="A4767" t="s">
        <v>6941</v>
      </c>
    </row>
    <row r="4768" spans="1:1" x14ac:dyDescent="0.25">
      <c r="A4768" t="s">
        <v>6942</v>
      </c>
    </row>
    <row r="4769" spans="1:1" x14ac:dyDescent="0.25">
      <c r="A4769" t="s">
        <v>6943</v>
      </c>
    </row>
    <row r="4770" spans="1:1" x14ac:dyDescent="0.25">
      <c r="A4770" t="s">
        <v>6944</v>
      </c>
    </row>
    <row r="4771" spans="1:1" x14ac:dyDescent="0.25">
      <c r="A4771" t="s">
        <v>6945</v>
      </c>
    </row>
    <row r="4772" spans="1:1" x14ac:dyDescent="0.25">
      <c r="A4772" t="s">
        <v>6946</v>
      </c>
    </row>
    <row r="4773" spans="1:1" x14ac:dyDescent="0.25">
      <c r="A4773" t="s">
        <v>6947</v>
      </c>
    </row>
    <row r="4774" spans="1:1" x14ac:dyDescent="0.25">
      <c r="A4774" t="s">
        <v>6948</v>
      </c>
    </row>
    <row r="4775" spans="1:1" x14ac:dyDescent="0.25">
      <c r="A4775" t="s">
        <v>6949</v>
      </c>
    </row>
    <row r="4776" spans="1:1" x14ac:dyDescent="0.25">
      <c r="A4776" t="s">
        <v>6950</v>
      </c>
    </row>
    <row r="4777" spans="1:1" x14ac:dyDescent="0.25">
      <c r="A4777" t="s">
        <v>6951</v>
      </c>
    </row>
    <row r="4778" spans="1:1" x14ac:dyDescent="0.25">
      <c r="A4778" t="s">
        <v>6952</v>
      </c>
    </row>
    <row r="4779" spans="1:1" x14ac:dyDescent="0.25">
      <c r="A4779" t="s">
        <v>6953</v>
      </c>
    </row>
    <row r="4780" spans="1:1" x14ac:dyDescent="0.25">
      <c r="A4780" t="s">
        <v>6954</v>
      </c>
    </row>
    <row r="4781" spans="1:1" x14ac:dyDescent="0.25">
      <c r="A4781" t="s">
        <v>6955</v>
      </c>
    </row>
    <row r="4782" spans="1:1" x14ac:dyDescent="0.25">
      <c r="A4782" t="s">
        <v>6956</v>
      </c>
    </row>
    <row r="4783" spans="1:1" x14ac:dyDescent="0.25">
      <c r="A4783" t="s">
        <v>6957</v>
      </c>
    </row>
    <row r="4784" spans="1:1" x14ac:dyDescent="0.25">
      <c r="A4784" t="s">
        <v>6958</v>
      </c>
    </row>
    <row r="4785" spans="1:1" x14ac:dyDescent="0.25">
      <c r="A4785" t="s">
        <v>6959</v>
      </c>
    </row>
    <row r="4786" spans="1:1" x14ac:dyDescent="0.25">
      <c r="A4786" t="s">
        <v>6960</v>
      </c>
    </row>
    <row r="4787" spans="1:1" x14ac:dyDescent="0.25">
      <c r="A4787" t="s">
        <v>6961</v>
      </c>
    </row>
    <row r="4788" spans="1:1" x14ac:dyDescent="0.25">
      <c r="A4788" t="s">
        <v>6962</v>
      </c>
    </row>
    <row r="4789" spans="1:1" x14ac:dyDescent="0.25">
      <c r="A4789" t="s">
        <v>6963</v>
      </c>
    </row>
    <row r="4790" spans="1:1" x14ac:dyDescent="0.25">
      <c r="A4790" t="s">
        <v>6964</v>
      </c>
    </row>
    <row r="4791" spans="1:1" x14ac:dyDescent="0.25">
      <c r="A4791" t="s">
        <v>6965</v>
      </c>
    </row>
    <row r="4792" spans="1:1" x14ac:dyDescent="0.25">
      <c r="A4792" t="s">
        <v>6966</v>
      </c>
    </row>
    <row r="4793" spans="1:1" x14ac:dyDescent="0.25">
      <c r="A4793" t="s">
        <v>6967</v>
      </c>
    </row>
    <row r="4794" spans="1:1" x14ac:dyDescent="0.25">
      <c r="A4794" t="s">
        <v>6968</v>
      </c>
    </row>
    <row r="4795" spans="1:1" x14ac:dyDescent="0.25">
      <c r="A4795" t="s">
        <v>6969</v>
      </c>
    </row>
    <row r="4796" spans="1:1" x14ac:dyDescent="0.25">
      <c r="A4796" t="s">
        <v>6970</v>
      </c>
    </row>
    <row r="4797" spans="1:1" x14ac:dyDescent="0.25">
      <c r="A4797" t="s">
        <v>6971</v>
      </c>
    </row>
    <row r="4798" spans="1:1" x14ac:dyDescent="0.25">
      <c r="A4798" t="s">
        <v>6972</v>
      </c>
    </row>
    <row r="4799" spans="1:1" x14ac:dyDescent="0.25">
      <c r="A4799" t="s">
        <v>6973</v>
      </c>
    </row>
    <row r="4800" spans="1:1" x14ac:dyDescent="0.25">
      <c r="A4800" t="s">
        <v>6974</v>
      </c>
    </row>
    <row r="4801" spans="1:1" x14ac:dyDescent="0.25">
      <c r="A4801" t="s">
        <v>6975</v>
      </c>
    </row>
    <row r="4802" spans="1:1" x14ac:dyDescent="0.25">
      <c r="A4802" t="s">
        <v>6976</v>
      </c>
    </row>
    <row r="4803" spans="1:1" x14ac:dyDescent="0.25">
      <c r="A4803" t="s">
        <v>6977</v>
      </c>
    </row>
    <row r="4804" spans="1:1" x14ac:dyDescent="0.25">
      <c r="A4804" t="s">
        <v>6978</v>
      </c>
    </row>
    <row r="4805" spans="1:1" x14ac:dyDescent="0.25">
      <c r="A4805" t="s">
        <v>6979</v>
      </c>
    </row>
    <row r="4806" spans="1:1" x14ac:dyDescent="0.25">
      <c r="A4806" t="s">
        <v>6980</v>
      </c>
    </row>
    <row r="4807" spans="1:1" x14ac:dyDescent="0.25">
      <c r="A4807" t="s">
        <v>6981</v>
      </c>
    </row>
    <row r="4808" spans="1:1" x14ac:dyDescent="0.25">
      <c r="A4808" t="s">
        <v>6982</v>
      </c>
    </row>
    <row r="4809" spans="1:1" x14ac:dyDescent="0.25">
      <c r="A4809" t="s">
        <v>6983</v>
      </c>
    </row>
    <row r="4810" spans="1:1" x14ac:dyDescent="0.25">
      <c r="A4810" t="s">
        <v>6984</v>
      </c>
    </row>
    <row r="4811" spans="1:1" x14ac:dyDescent="0.25">
      <c r="A4811" t="s">
        <v>6985</v>
      </c>
    </row>
    <row r="4812" spans="1:1" x14ac:dyDescent="0.25">
      <c r="A4812" t="s">
        <v>6986</v>
      </c>
    </row>
    <row r="4813" spans="1:1" x14ac:dyDescent="0.25">
      <c r="A4813" t="s">
        <v>6987</v>
      </c>
    </row>
    <row r="4814" spans="1:1" x14ac:dyDescent="0.25">
      <c r="A4814" t="s">
        <v>6988</v>
      </c>
    </row>
    <row r="4815" spans="1:1" x14ac:dyDescent="0.25">
      <c r="A4815" t="s">
        <v>6989</v>
      </c>
    </row>
    <row r="4816" spans="1:1" x14ac:dyDescent="0.25">
      <c r="A4816" t="s">
        <v>6990</v>
      </c>
    </row>
    <row r="4817" spans="1:1" x14ac:dyDescent="0.25">
      <c r="A4817" t="s">
        <v>6991</v>
      </c>
    </row>
    <row r="4818" spans="1:1" x14ac:dyDescent="0.25">
      <c r="A4818" t="s">
        <v>6992</v>
      </c>
    </row>
    <row r="4819" spans="1:1" x14ac:dyDescent="0.25">
      <c r="A4819" t="s">
        <v>6993</v>
      </c>
    </row>
    <row r="4820" spans="1:1" x14ac:dyDescent="0.25">
      <c r="A4820" t="s">
        <v>6994</v>
      </c>
    </row>
    <row r="4821" spans="1:1" x14ac:dyDescent="0.25">
      <c r="A4821" t="s">
        <v>6995</v>
      </c>
    </row>
    <row r="4822" spans="1:1" x14ac:dyDescent="0.25">
      <c r="A4822" t="s">
        <v>6996</v>
      </c>
    </row>
    <row r="4823" spans="1:1" x14ac:dyDescent="0.25">
      <c r="A4823" t="s">
        <v>6997</v>
      </c>
    </row>
    <row r="4824" spans="1:1" x14ac:dyDescent="0.25">
      <c r="A4824" t="s">
        <v>6998</v>
      </c>
    </row>
    <row r="4825" spans="1:1" x14ac:dyDescent="0.25">
      <c r="A4825" t="s">
        <v>6999</v>
      </c>
    </row>
    <row r="4826" spans="1:1" x14ac:dyDescent="0.25">
      <c r="A4826" t="s">
        <v>7000</v>
      </c>
    </row>
    <row r="4827" spans="1:1" x14ac:dyDescent="0.25">
      <c r="A4827" t="s">
        <v>7001</v>
      </c>
    </row>
    <row r="4828" spans="1:1" x14ac:dyDescent="0.25">
      <c r="A4828" t="s">
        <v>7002</v>
      </c>
    </row>
    <row r="4829" spans="1:1" x14ac:dyDescent="0.25">
      <c r="A4829" t="s">
        <v>7003</v>
      </c>
    </row>
    <row r="4830" spans="1:1" x14ac:dyDescent="0.25">
      <c r="A4830" t="s">
        <v>7004</v>
      </c>
    </row>
    <row r="4831" spans="1:1" x14ac:dyDescent="0.25">
      <c r="A4831" t="s">
        <v>7005</v>
      </c>
    </row>
    <row r="4832" spans="1:1" x14ac:dyDescent="0.25">
      <c r="A4832" t="s">
        <v>7006</v>
      </c>
    </row>
    <row r="4833" spans="1:1" x14ac:dyDescent="0.25">
      <c r="A4833" t="s">
        <v>7007</v>
      </c>
    </row>
    <row r="4834" spans="1:1" x14ac:dyDescent="0.25">
      <c r="A4834" t="s">
        <v>7008</v>
      </c>
    </row>
    <row r="4835" spans="1:1" x14ac:dyDescent="0.25">
      <c r="A4835" t="s">
        <v>7009</v>
      </c>
    </row>
    <row r="4836" spans="1:1" x14ac:dyDescent="0.25">
      <c r="A4836" t="s">
        <v>7010</v>
      </c>
    </row>
    <row r="4837" spans="1:1" x14ac:dyDescent="0.25">
      <c r="A4837" t="s">
        <v>7011</v>
      </c>
    </row>
    <row r="4838" spans="1:1" x14ac:dyDescent="0.25">
      <c r="A4838" t="s">
        <v>7012</v>
      </c>
    </row>
    <row r="4839" spans="1:1" x14ac:dyDescent="0.25">
      <c r="A4839" t="s">
        <v>7013</v>
      </c>
    </row>
    <row r="4840" spans="1:1" x14ac:dyDescent="0.25">
      <c r="A4840" t="s">
        <v>7014</v>
      </c>
    </row>
    <row r="4841" spans="1:1" x14ac:dyDescent="0.25">
      <c r="A4841" t="s">
        <v>7015</v>
      </c>
    </row>
    <row r="4842" spans="1:1" x14ac:dyDescent="0.25">
      <c r="A4842" t="s">
        <v>7016</v>
      </c>
    </row>
    <row r="4843" spans="1:1" x14ac:dyDescent="0.25">
      <c r="A4843" t="s">
        <v>7017</v>
      </c>
    </row>
    <row r="4844" spans="1:1" x14ac:dyDescent="0.25">
      <c r="A4844" t="s">
        <v>7018</v>
      </c>
    </row>
    <row r="4845" spans="1:1" x14ac:dyDescent="0.25">
      <c r="A4845" t="s">
        <v>7019</v>
      </c>
    </row>
    <row r="4846" spans="1:1" x14ac:dyDescent="0.25">
      <c r="A4846" t="s">
        <v>7020</v>
      </c>
    </row>
    <row r="4847" spans="1:1" x14ac:dyDescent="0.25">
      <c r="A4847" t="s">
        <v>7021</v>
      </c>
    </row>
    <row r="4848" spans="1:1" x14ac:dyDescent="0.25">
      <c r="A4848" t="s">
        <v>7022</v>
      </c>
    </row>
    <row r="4849" spans="1:1" x14ac:dyDescent="0.25">
      <c r="A4849" t="s">
        <v>7023</v>
      </c>
    </row>
    <row r="4850" spans="1:1" x14ac:dyDescent="0.25">
      <c r="A4850" t="s">
        <v>7024</v>
      </c>
    </row>
    <row r="4851" spans="1:1" x14ac:dyDescent="0.25">
      <c r="A4851" t="s">
        <v>7025</v>
      </c>
    </row>
    <row r="4852" spans="1:1" x14ac:dyDescent="0.25">
      <c r="A4852" t="s">
        <v>7026</v>
      </c>
    </row>
    <row r="4853" spans="1:1" x14ac:dyDescent="0.25">
      <c r="A4853" t="s">
        <v>7027</v>
      </c>
    </row>
    <row r="4854" spans="1:1" x14ac:dyDescent="0.25">
      <c r="A4854" t="s">
        <v>7028</v>
      </c>
    </row>
    <row r="4855" spans="1:1" x14ac:dyDescent="0.25">
      <c r="A4855" t="s">
        <v>7029</v>
      </c>
    </row>
    <row r="4856" spans="1:1" x14ac:dyDescent="0.25">
      <c r="A4856" t="s">
        <v>7030</v>
      </c>
    </row>
    <row r="4857" spans="1:1" x14ac:dyDescent="0.25">
      <c r="A4857" t="s">
        <v>7031</v>
      </c>
    </row>
    <row r="4858" spans="1:1" x14ac:dyDescent="0.25">
      <c r="A4858" t="s">
        <v>7032</v>
      </c>
    </row>
    <row r="4859" spans="1:1" x14ac:dyDescent="0.25">
      <c r="A4859" t="s">
        <v>7033</v>
      </c>
    </row>
    <row r="4860" spans="1:1" x14ac:dyDescent="0.25">
      <c r="A4860" t="s">
        <v>7034</v>
      </c>
    </row>
    <row r="4861" spans="1:1" x14ac:dyDescent="0.25">
      <c r="A4861" t="s">
        <v>7035</v>
      </c>
    </row>
    <row r="4862" spans="1:1" x14ac:dyDescent="0.25">
      <c r="A4862" t="s">
        <v>7036</v>
      </c>
    </row>
    <row r="4863" spans="1:1" x14ac:dyDescent="0.25">
      <c r="A4863" t="s">
        <v>7037</v>
      </c>
    </row>
    <row r="4864" spans="1:1" x14ac:dyDescent="0.25">
      <c r="A4864" t="s">
        <v>7038</v>
      </c>
    </row>
    <row r="4865" spans="1:1" x14ac:dyDescent="0.25">
      <c r="A4865" t="s">
        <v>7039</v>
      </c>
    </row>
    <row r="4866" spans="1:1" x14ac:dyDescent="0.25">
      <c r="A4866" t="s">
        <v>7040</v>
      </c>
    </row>
    <row r="4867" spans="1:1" x14ac:dyDescent="0.25">
      <c r="A4867" t="s">
        <v>7041</v>
      </c>
    </row>
    <row r="4868" spans="1:1" x14ac:dyDescent="0.25">
      <c r="A4868" t="s">
        <v>7042</v>
      </c>
    </row>
    <row r="4869" spans="1:1" x14ac:dyDescent="0.25">
      <c r="A4869" t="s">
        <v>7043</v>
      </c>
    </row>
    <row r="4870" spans="1:1" x14ac:dyDescent="0.25">
      <c r="A4870" t="s">
        <v>7044</v>
      </c>
    </row>
    <row r="4871" spans="1:1" x14ac:dyDescent="0.25">
      <c r="A4871" t="s">
        <v>7045</v>
      </c>
    </row>
    <row r="4872" spans="1:1" x14ac:dyDescent="0.25">
      <c r="A4872" t="s">
        <v>7046</v>
      </c>
    </row>
    <row r="4873" spans="1:1" x14ac:dyDescent="0.25">
      <c r="A4873" t="s">
        <v>7047</v>
      </c>
    </row>
    <row r="4874" spans="1:1" x14ac:dyDescent="0.25">
      <c r="A4874" t="s">
        <v>7048</v>
      </c>
    </row>
    <row r="4875" spans="1:1" x14ac:dyDescent="0.25">
      <c r="A4875" t="s">
        <v>7049</v>
      </c>
    </row>
    <row r="4876" spans="1:1" x14ac:dyDescent="0.25">
      <c r="A4876" t="s">
        <v>7050</v>
      </c>
    </row>
    <row r="4877" spans="1:1" x14ac:dyDescent="0.25">
      <c r="A4877" t="s">
        <v>7051</v>
      </c>
    </row>
    <row r="4878" spans="1:1" x14ac:dyDescent="0.25">
      <c r="A4878" t="s">
        <v>7052</v>
      </c>
    </row>
    <row r="4879" spans="1:1" x14ac:dyDescent="0.25">
      <c r="A4879" t="s">
        <v>7053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65960-8F00-4D26-A723-2AE3BE5D5915}">
  <dimension ref="A1:A2172"/>
  <sheetViews>
    <sheetView workbookViewId="0">
      <selection activeCell="E37" sqref="E37"/>
    </sheetView>
  </sheetViews>
  <sheetFormatPr defaultRowHeight="15" x14ac:dyDescent="0.25"/>
  <sheetData>
    <row r="1" spans="1:1" x14ac:dyDescent="0.25">
      <c r="A1" t="s">
        <v>4</v>
      </c>
    </row>
    <row r="2" spans="1:1" x14ac:dyDescent="0.25">
      <c r="A2" t="s">
        <v>5</v>
      </c>
    </row>
    <row r="3" spans="1:1" x14ac:dyDescent="0.25">
      <c r="A3" t="s">
        <v>6</v>
      </c>
    </row>
    <row r="4" spans="1:1" x14ac:dyDescent="0.25">
      <c r="A4" t="s">
        <v>7</v>
      </c>
    </row>
    <row r="5" spans="1:1" x14ac:dyDescent="0.25">
      <c r="A5" t="s">
        <v>8</v>
      </c>
    </row>
    <row r="6" spans="1:1" x14ac:dyDescent="0.25">
      <c r="A6" t="s">
        <v>9</v>
      </c>
    </row>
    <row r="7" spans="1:1" x14ac:dyDescent="0.25">
      <c r="A7" t="s">
        <v>10</v>
      </c>
    </row>
    <row r="8" spans="1:1" x14ac:dyDescent="0.25">
      <c r="A8" t="s">
        <v>11</v>
      </c>
    </row>
    <row r="9" spans="1:1" x14ac:dyDescent="0.25">
      <c r="A9" t="s">
        <v>12</v>
      </c>
    </row>
    <row r="10" spans="1:1" x14ac:dyDescent="0.25">
      <c r="A10" t="s">
        <v>13</v>
      </c>
    </row>
    <row r="11" spans="1:1" x14ac:dyDescent="0.25">
      <c r="A11" t="s">
        <v>14</v>
      </c>
    </row>
    <row r="12" spans="1:1" x14ac:dyDescent="0.25">
      <c r="A12" t="s">
        <v>15</v>
      </c>
    </row>
    <row r="13" spans="1:1" x14ac:dyDescent="0.25">
      <c r="A13" t="s">
        <v>16</v>
      </c>
    </row>
    <row r="14" spans="1:1" x14ac:dyDescent="0.25">
      <c r="A14" t="s">
        <v>17</v>
      </c>
    </row>
    <row r="15" spans="1:1" x14ac:dyDescent="0.25">
      <c r="A15" t="s">
        <v>18</v>
      </c>
    </row>
    <row r="16" spans="1:1" x14ac:dyDescent="0.25">
      <c r="A16" t="s">
        <v>19</v>
      </c>
    </row>
    <row r="17" spans="1:1" x14ac:dyDescent="0.25">
      <c r="A17" t="s">
        <v>20</v>
      </c>
    </row>
    <row r="18" spans="1:1" x14ac:dyDescent="0.25">
      <c r="A18" t="s">
        <v>21</v>
      </c>
    </row>
    <row r="19" spans="1:1" x14ac:dyDescent="0.25">
      <c r="A19" t="s">
        <v>22</v>
      </c>
    </row>
    <row r="20" spans="1:1" x14ac:dyDescent="0.25">
      <c r="A20" t="s">
        <v>23</v>
      </c>
    </row>
    <row r="21" spans="1:1" x14ac:dyDescent="0.25">
      <c r="A21" t="s">
        <v>24</v>
      </c>
    </row>
    <row r="22" spans="1:1" x14ac:dyDescent="0.25">
      <c r="A22" t="s">
        <v>25</v>
      </c>
    </row>
    <row r="23" spans="1:1" x14ac:dyDescent="0.25">
      <c r="A23" t="s">
        <v>26</v>
      </c>
    </row>
    <row r="24" spans="1:1" x14ac:dyDescent="0.25">
      <c r="A24" t="s">
        <v>27</v>
      </c>
    </row>
    <row r="25" spans="1:1" x14ac:dyDescent="0.25">
      <c r="A25" t="s">
        <v>28</v>
      </c>
    </row>
    <row r="26" spans="1:1" x14ac:dyDescent="0.25">
      <c r="A26" t="s">
        <v>29</v>
      </c>
    </row>
    <row r="27" spans="1:1" x14ac:dyDescent="0.25">
      <c r="A27" t="s">
        <v>30</v>
      </c>
    </row>
    <row r="28" spans="1:1" x14ac:dyDescent="0.25">
      <c r="A28" t="s">
        <v>31</v>
      </c>
    </row>
    <row r="29" spans="1:1" x14ac:dyDescent="0.25">
      <c r="A29" t="s">
        <v>32</v>
      </c>
    </row>
    <row r="30" spans="1:1" x14ac:dyDescent="0.25">
      <c r="A30" t="s">
        <v>33</v>
      </c>
    </row>
    <row r="31" spans="1:1" x14ac:dyDescent="0.25">
      <c r="A31" t="s">
        <v>34</v>
      </c>
    </row>
    <row r="32" spans="1:1" x14ac:dyDescent="0.25">
      <c r="A32" t="s">
        <v>35</v>
      </c>
    </row>
    <row r="33" spans="1:1" x14ac:dyDescent="0.25">
      <c r="A33" t="s">
        <v>36</v>
      </c>
    </row>
    <row r="34" spans="1:1" x14ac:dyDescent="0.25">
      <c r="A34" t="s">
        <v>37</v>
      </c>
    </row>
    <row r="35" spans="1:1" x14ac:dyDescent="0.25">
      <c r="A35" t="s">
        <v>38</v>
      </c>
    </row>
    <row r="36" spans="1:1" x14ac:dyDescent="0.25">
      <c r="A36" t="s">
        <v>39</v>
      </c>
    </row>
    <row r="37" spans="1:1" x14ac:dyDescent="0.25">
      <c r="A37" t="s">
        <v>40</v>
      </c>
    </row>
    <row r="38" spans="1:1" x14ac:dyDescent="0.25">
      <c r="A38" t="s">
        <v>41</v>
      </c>
    </row>
    <row r="39" spans="1:1" x14ac:dyDescent="0.25">
      <c r="A39" t="s">
        <v>42</v>
      </c>
    </row>
    <row r="40" spans="1:1" x14ac:dyDescent="0.25">
      <c r="A40" t="s">
        <v>43</v>
      </c>
    </row>
    <row r="41" spans="1:1" x14ac:dyDescent="0.25">
      <c r="A41" t="s">
        <v>44</v>
      </c>
    </row>
    <row r="42" spans="1:1" x14ac:dyDescent="0.25">
      <c r="A42" t="s">
        <v>45</v>
      </c>
    </row>
    <row r="43" spans="1:1" x14ac:dyDescent="0.25">
      <c r="A43" t="s">
        <v>46</v>
      </c>
    </row>
    <row r="44" spans="1:1" x14ac:dyDescent="0.25">
      <c r="A44" t="s">
        <v>47</v>
      </c>
    </row>
    <row r="45" spans="1:1" x14ac:dyDescent="0.25">
      <c r="A45" t="s">
        <v>48</v>
      </c>
    </row>
    <row r="46" spans="1:1" x14ac:dyDescent="0.25">
      <c r="A46" t="s">
        <v>49</v>
      </c>
    </row>
    <row r="47" spans="1:1" x14ac:dyDescent="0.25">
      <c r="A47" t="s">
        <v>50</v>
      </c>
    </row>
    <row r="48" spans="1:1" x14ac:dyDescent="0.25">
      <c r="A48" t="s">
        <v>51</v>
      </c>
    </row>
    <row r="49" spans="1:1" x14ac:dyDescent="0.25">
      <c r="A49" t="s">
        <v>52</v>
      </c>
    </row>
    <row r="50" spans="1:1" x14ac:dyDescent="0.25">
      <c r="A50" t="s">
        <v>53</v>
      </c>
    </row>
    <row r="51" spans="1:1" x14ac:dyDescent="0.25">
      <c r="A51" t="s">
        <v>54</v>
      </c>
    </row>
    <row r="52" spans="1:1" x14ac:dyDescent="0.25">
      <c r="A52" t="s">
        <v>55</v>
      </c>
    </row>
    <row r="53" spans="1:1" x14ac:dyDescent="0.25">
      <c r="A53" t="s">
        <v>56</v>
      </c>
    </row>
    <row r="54" spans="1:1" x14ac:dyDescent="0.25">
      <c r="A54" t="s">
        <v>57</v>
      </c>
    </row>
    <row r="55" spans="1:1" x14ac:dyDescent="0.25">
      <c r="A55" t="s">
        <v>58</v>
      </c>
    </row>
    <row r="56" spans="1:1" x14ac:dyDescent="0.25">
      <c r="A56" t="s">
        <v>59</v>
      </c>
    </row>
    <row r="57" spans="1:1" x14ac:dyDescent="0.25">
      <c r="A57" t="s">
        <v>60</v>
      </c>
    </row>
    <row r="58" spans="1:1" x14ac:dyDescent="0.25">
      <c r="A58" t="s">
        <v>61</v>
      </c>
    </row>
    <row r="59" spans="1:1" x14ac:dyDescent="0.25">
      <c r="A59" t="s">
        <v>62</v>
      </c>
    </row>
    <row r="60" spans="1:1" x14ac:dyDescent="0.25">
      <c r="A60" t="s">
        <v>63</v>
      </c>
    </row>
    <row r="61" spans="1:1" x14ac:dyDescent="0.25">
      <c r="A61" t="s">
        <v>64</v>
      </c>
    </row>
    <row r="62" spans="1:1" x14ac:dyDescent="0.25">
      <c r="A62" t="s">
        <v>65</v>
      </c>
    </row>
    <row r="63" spans="1:1" x14ac:dyDescent="0.25">
      <c r="A63" t="s">
        <v>66</v>
      </c>
    </row>
    <row r="64" spans="1:1" x14ac:dyDescent="0.25">
      <c r="A64" t="s">
        <v>67</v>
      </c>
    </row>
    <row r="65" spans="1:1" x14ac:dyDescent="0.25">
      <c r="A65" t="s">
        <v>68</v>
      </c>
    </row>
    <row r="66" spans="1:1" x14ac:dyDescent="0.25">
      <c r="A66" t="s">
        <v>69</v>
      </c>
    </row>
    <row r="67" spans="1:1" x14ac:dyDescent="0.25">
      <c r="A67" t="s">
        <v>70</v>
      </c>
    </row>
    <row r="68" spans="1:1" x14ac:dyDescent="0.25">
      <c r="A68" t="s">
        <v>71</v>
      </c>
    </row>
    <row r="69" spans="1:1" x14ac:dyDescent="0.25">
      <c r="A69" t="s">
        <v>72</v>
      </c>
    </row>
    <row r="70" spans="1:1" x14ac:dyDescent="0.25">
      <c r="A70" t="s">
        <v>73</v>
      </c>
    </row>
    <row r="71" spans="1:1" x14ac:dyDescent="0.25">
      <c r="A71" t="s">
        <v>74</v>
      </c>
    </row>
    <row r="72" spans="1:1" x14ac:dyDescent="0.25">
      <c r="A72" t="s">
        <v>75</v>
      </c>
    </row>
    <row r="73" spans="1:1" x14ac:dyDescent="0.25">
      <c r="A73" t="s">
        <v>76</v>
      </c>
    </row>
    <row r="74" spans="1:1" x14ac:dyDescent="0.25">
      <c r="A74" t="s">
        <v>77</v>
      </c>
    </row>
    <row r="75" spans="1:1" x14ac:dyDescent="0.25">
      <c r="A75" t="s">
        <v>78</v>
      </c>
    </row>
    <row r="76" spans="1:1" x14ac:dyDescent="0.25">
      <c r="A76" t="s">
        <v>79</v>
      </c>
    </row>
    <row r="77" spans="1:1" x14ac:dyDescent="0.25">
      <c r="A77" t="s">
        <v>80</v>
      </c>
    </row>
    <row r="78" spans="1:1" x14ac:dyDescent="0.25">
      <c r="A78" t="s">
        <v>81</v>
      </c>
    </row>
    <row r="79" spans="1:1" x14ac:dyDescent="0.25">
      <c r="A79" t="s">
        <v>82</v>
      </c>
    </row>
    <row r="80" spans="1:1" x14ac:dyDescent="0.25">
      <c r="A80" t="s">
        <v>83</v>
      </c>
    </row>
    <row r="81" spans="1:1" x14ac:dyDescent="0.25">
      <c r="A81" t="s">
        <v>84</v>
      </c>
    </row>
    <row r="82" spans="1:1" x14ac:dyDescent="0.25">
      <c r="A82" t="s">
        <v>85</v>
      </c>
    </row>
    <row r="83" spans="1:1" x14ac:dyDescent="0.25">
      <c r="A83" t="s">
        <v>86</v>
      </c>
    </row>
    <row r="84" spans="1:1" x14ac:dyDescent="0.25">
      <c r="A84" t="s">
        <v>87</v>
      </c>
    </row>
    <row r="85" spans="1:1" x14ac:dyDescent="0.25">
      <c r="A85" t="s">
        <v>88</v>
      </c>
    </row>
    <row r="86" spans="1:1" x14ac:dyDescent="0.25">
      <c r="A86" t="s">
        <v>89</v>
      </c>
    </row>
    <row r="87" spans="1:1" x14ac:dyDescent="0.25">
      <c r="A87" t="s">
        <v>90</v>
      </c>
    </row>
    <row r="88" spans="1:1" x14ac:dyDescent="0.25">
      <c r="A88" t="s">
        <v>91</v>
      </c>
    </row>
    <row r="89" spans="1:1" x14ac:dyDescent="0.25">
      <c r="A89" t="s">
        <v>92</v>
      </c>
    </row>
    <row r="90" spans="1:1" x14ac:dyDescent="0.25">
      <c r="A90" t="s">
        <v>93</v>
      </c>
    </row>
    <row r="91" spans="1:1" x14ac:dyDescent="0.25">
      <c r="A91" t="s">
        <v>94</v>
      </c>
    </row>
    <row r="92" spans="1:1" x14ac:dyDescent="0.25">
      <c r="A92" t="s">
        <v>95</v>
      </c>
    </row>
    <row r="93" spans="1:1" x14ac:dyDescent="0.25">
      <c r="A93" t="s">
        <v>96</v>
      </c>
    </row>
    <row r="94" spans="1:1" x14ac:dyDescent="0.25">
      <c r="A94" t="s">
        <v>97</v>
      </c>
    </row>
    <row r="95" spans="1:1" x14ac:dyDescent="0.25">
      <c r="A95" t="s">
        <v>98</v>
      </c>
    </row>
    <row r="96" spans="1:1" x14ac:dyDescent="0.25">
      <c r="A96" t="s">
        <v>99</v>
      </c>
    </row>
    <row r="97" spans="1:1" x14ac:dyDescent="0.25">
      <c r="A97" t="s">
        <v>100</v>
      </c>
    </row>
    <row r="98" spans="1:1" x14ac:dyDescent="0.25">
      <c r="A98" t="s">
        <v>101</v>
      </c>
    </row>
    <row r="99" spans="1:1" x14ac:dyDescent="0.25">
      <c r="A99" t="s">
        <v>102</v>
      </c>
    </row>
    <row r="100" spans="1:1" x14ac:dyDescent="0.25">
      <c r="A100" t="s">
        <v>103</v>
      </c>
    </row>
    <row r="101" spans="1:1" x14ac:dyDescent="0.25">
      <c r="A101" t="s">
        <v>104</v>
      </c>
    </row>
    <row r="102" spans="1:1" x14ac:dyDescent="0.25">
      <c r="A102" t="s">
        <v>105</v>
      </c>
    </row>
    <row r="103" spans="1:1" x14ac:dyDescent="0.25">
      <c r="A103" t="s">
        <v>106</v>
      </c>
    </row>
    <row r="104" spans="1:1" x14ac:dyDescent="0.25">
      <c r="A104" t="s">
        <v>107</v>
      </c>
    </row>
    <row r="105" spans="1:1" x14ac:dyDescent="0.25">
      <c r="A105" t="s">
        <v>108</v>
      </c>
    </row>
    <row r="106" spans="1:1" x14ac:dyDescent="0.25">
      <c r="A106" t="s">
        <v>109</v>
      </c>
    </row>
    <row r="107" spans="1:1" x14ac:dyDescent="0.25">
      <c r="A107" t="s">
        <v>110</v>
      </c>
    </row>
    <row r="108" spans="1:1" x14ac:dyDescent="0.25">
      <c r="A108" t="s">
        <v>111</v>
      </c>
    </row>
    <row r="109" spans="1:1" x14ac:dyDescent="0.25">
      <c r="A109" t="s">
        <v>112</v>
      </c>
    </row>
    <row r="110" spans="1:1" x14ac:dyDescent="0.25">
      <c r="A110" t="s">
        <v>113</v>
      </c>
    </row>
    <row r="111" spans="1:1" x14ac:dyDescent="0.25">
      <c r="A111" t="s">
        <v>114</v>
      </c>
    </row>
    <row r="112" spans="1:1" x14ac:dyDescent="0.25">
      <c r="A112" t="s">
        <v>115</v>
      </c>
    </row>
    <row r="113" spans="1:1" x14ac:dyDescent="0.25">
      <c r="A113" t="s">
        <v>116</v>
      </c>
    </row>
    <row r="114" spans="1:1" x14ac:dyDescent="0.25">
      <c r="A114" t="s">
        <v>117</v>
      </c>
    </row>
    <row r="115" spans="1:1" x14ac:dyDescent="0.25">
      <c r="A115" t="s">
        <v>118</v>
      </c>
    </row>
    <row r="116" spans="1:1" x14ac:dyDescent="0.25">
      <c r="A116" t="s">
        <v>119</v>
      </c>
    </row>
    <row r="117" spans="1:1" x14ac:dyDescent="0.25">
      <c r="A117" t="s">
        <v>120</v>
      </c>
    </row>
    <row r="118" spans="1:1" x14ac:dyDescent="0.25">
      <c r="A118" t="s">
        <v>121</v>
      </c>
    </row>
    <row r="119" spans="1:1" x14ac:dyDescent="0.25">
      <c r="A119" t="s">
        <v>122</v>
      </c>
    </row>
    <row r="120" spans="1:1" x14ac:dyDescent="0.25">
      <c r="A120" t="s">
        <v>123</v>
      </c>
    </row>
    <row r="121" spans="1:1" x14ac:dyDescent="0.25">
      <c r="A121" t="s">
        <v>124</v>
      </c>
    </row>
    <row r="122" spans="1:1" x14ac:dyDescent="0.25">
      <c r="A122" t="s">
        <v>125</v>
      </c>
    </row>
    <row r="123" spans="1:1" x14ac:dyDescent="0.25">
      <c r="A123" t="s">
        <v>126</v>
      </c>
    </row>
    <row r="124" spans="1:1" x14ac:dyDescent="0.25">
      <c r="A124" t="s">
        <v>127</v>
      </c>
    </row>
    <row r="125" spans="1:1" x14ac:dyDescent="0.25">
      <c r="A125" t="s">
        <v>128</v>
      </c>
    </row>
    <row r="126" spans="1:1" x14ac:dyDescent="0.25">
      <c r="A126" t="s">
        <v>129</v>
      </c>
    </row>
    <row r="127" spans="1:1" x14ac:dyDescent="0.25">
      <c r="A127" t="s">
        <v>130</v>
      </c>
    </row>
    <row r="128" spans="1:1" x14ac:dyDescent="0.25">
      <c r="A128" t="s">
        <v>131</v>
      </c>
    </row>
    <row r="129" spans="1:1" x14ac:dyDescent="0.25">
      <c r="A129" t="s">
        <v>132</v>
      </c>
    </row>
    <row r="130" spans="1:1" x14ac:dyDescent="0.25">
      <c r="A130" t="s">
        <v>133</v>
      </c>
    </row>
    <row r="131" spans="1:1" x14ac:dyDescent="0.25">
      <c r="A131" t="s">
        <v>134</v>
      </c>
    </row>
    <row r="132" spans="1:1" x14ac:dyDescent="0.25">
      <c r="A132" t="s">
        <v>135</v>
      </c>
    </row>
    <row r="133" spans="1:1" x14ac:dyDescent="0.25">
      <c r="A133" t="s">
        <v>136</v>
      </c>
    </row>
    <row r="134" spans="1:1" x14ac:dyDescent="0.25">
      <c r="A134" t="s">
        <v>137</v>
      </c>
    </row>
    <row r="135" spans="1:1" x14ac:dyDescent="0.25">
      <c r="A135" t="s">
        <v>138</v>
      </c>
    </row>
    <row r="136" spans="1:1" x14ac:dyDescent="0.25">
      <c r="A136" t="s">
        <v>139</v>
      </c>
    </row>
    <row r="137" spans="1:1" x14ac:dyDescent="0.25">
      <c r="A137" t="s">
        <v>140</v>
      </c>
    </row>
    <row r="138" spans="1:1" x14ac:dyDescent="0.25">
      <c r="A138" t="s">
        <v>141</v>
      </c>
    </row>
    <row r="139" spans="1:1" x14ac:dyDescent="0.25">
      <c r="A139" t="s">
        <v>142</v>
      </c>
    </row>
    <row r="140" spans="1:1" x14ac:dyDescent="0.25">
      <c r="A140" t="s">
        <v>143</v>
      </c>
    </row>
    <row r="141" spans="1:1" x14ac:dyDescent="0.25">
      <c r="A141" t="s">
        <v>144</v>
      </c>
    </row>
    <row r="142" spans="1:1" x14ac:dyDescent="0.25">
      <c r="A142" t="s">
        <v>145</v>
      </c>
    </row>
    <row r="143" spans="1:1" x14ac:dyDescent="0.25">
      <c r="A143" t="s">
        <v>146</v>
      </c>
    </row>
    <row r="144" spans="1:1" x14ac:dyDescent="0.25">
      <c r="A144" t="s">
        <v>147</v>
      </c>
    </row>
    <row r="145" spans="1:1" x14ac:dyDescent="0.25">
      <c r="A145" t="s">
        <v>148</v>
      </c>
    </row>
    <row r="146" spans="1:1" x14ac:dyDescent="0.25">
      <c r="A146" t="s">
        <v>149</v>
      </c>
    </row>
    <row r="147" spans="1:1" x14ac:dyDescent="0.25">
      <c r="A147" t="s">
        <v>150</v>
      </c>
    </row>
    <row r="148" spans="1:1" x14ac:dyDescent="0.25">
      <c r="A148" t="s">
        <v>151</v>
      </c>
    </row>
    <row r="149" spans="1:1" x14ac:dyDescent="0.25">
      <c r="A149" t="s">
        <v>152</v>
      </c>
    </row>
    <row r="150" spans="1:1" x14ac:dyDescent="0.25">
      <c r="A150" t="s">
        <v>153</v>
      </c>
    </row>
    <row r="151" spans="1:1" x14ac:dyDescent="0.25">
      <c r="A151" t="s">
        <v>154</v>
      </c>
    </row>
    <row r="152" spans="1:1" x14ac:dyDescent="0.25">
      <c r="A152" t="s">
        <v>155</v>
      </c>
    </row>
    <row r="153" spans="1:1" x14ac:dyDescent="0.25">
      <c r="A153" t="s">
        <v>156</v>
      </c>
    </row>
    <row r="154" spans="1:1" x14ac:dyDescent="0.25">
      <c r="A154" t="s">
        <v>157</v>
      </c>
    </row>
    <row r="155" spans="1:1" x14ac:dyDescent="0.25">
      <c r="A155" t="s">
        <v>158</v>
      </c>
    </row>
    <row r="156" spans="1:1" x14ac:dyDescent="0.25">
      <c r="A156" t="s">
        <v>159</v>
      </c>
    </row>
    <row r="157" spans="1:1" x14ac:dyDescent="0.25">
      <c r="A157" t="s">
        <v>160</v>
      </c>
    </row>
    <row r="158" spans="1:1" x14ac:dyDescent="0.25">
      <c r="A158" t="s">
        <v>161</v>
      </c>
    </row>
    <row r="159" spans="1:1" x14ac:dyDescent="0.25">
      <c r="A159" t="s">
        <v>162</v>
      </c>
    </row>
    <row r="160" spans="1:1" x14ac:dyDescent="0.25">
      <c r="A160" t="s">
        <v>163</v>
      </c>
    </row>
    <row r="161" spans="1:1" x14ac:dyDescent="0.25">
      <c r="A161" t="s">
        <v>164</v>
      </c>
    </row>
    <row r="162" spans="1:1" x14ac:dyDescent="0.25">
      <c r="A162" t="s">
        <v>165</v>
      </c>
    </row>
    <row r="163" spans="1:1" x14ac:dyDescent="0.25">
      <c r="A163" t="s">
        <v>166</v>
      </c>
    </row>
    <row r="164" spans="1:1" x14ac:dyDescent="0.25">
      <c r="A164" t="s">
        <v>167</v>
      </c>
    </row>
    <row r="165" spans="1:1" x14ac:dyDescent="0.25">
      <c r="A165" t="s">
        <v>168</v>
      </c>
    </row>
    <row r="166" spans="1:1" x14ac:dyDescent="0.25">
      <c r="A166" t="s">
        <v>169</v>
      </c>
    </row>
    <row r="167" spans="1:1" x14ac:dyDescent="0.25">
      <c r="A167" t="s">
        <v>170</v>
      </c>
    </row>
    <row r="168" spans="1:1" x14ac:dyDescent="0.25">
      <c r="A168" t="s">
        <v>171</v>
      </c>
    </row>
    <row r="169" spans="1:1" x14ac:dyDescent="0.25">
      <c r="A169" t="s">
        <v>172</v>
      </c>
    </row>
    <row r="170" spans="1:1" x14ac:dyDescent="0.25">
      <c r="A170" t="s">
        <v>173</v>
      </c>
    </row>
    <row r="171" spans="1:1" x14ac:dyDescent="0.25">
      <c r="A171" t="s">
        <v>174</v>
      </c>
    </row>
    <row r="172" spans="1:1" x14ac:dyDescent="0.25">
      <c r="A172" t="s">
        <v>175</v>
      </c>
    </row>
    <row r="173" spans="1:1" x14ac:dyDescent="0.25">
      <c r="A173" t="s">
        <v>176</v>
      </c>
    </row>
    <row r="174" spans="1:1" x14ac:dyDescent="0.25">
      <c r="A174" t="s">
        <v>177</v>
      </c>
    </row>
    <row r="175" spans="1:1" x14ac:dyDescent="0.25">
      <c r="A175" t="s">
        <v>178</v>
      </c>
    </row>
    <row r="176" spans="1:1" x14ac:dyDescent="0.25">
      <c r="A176" t="s">
        <v>179</v>
      </c>
    </row>
    <row r="177" spans="1:1" x14ac:dyDescent="0.25">
      <c r="A177" t="s">
        <v>180</v>
      </c>
    </row>
    <row r="178" spans="1:1" x14ac:dyDescent="0.25">
      <c r="A178" t="s">
        <v>181</v>
      </c>
    </row>
    <row r="179" spans="1:1" x14ac:dyDescent="0.25">
      <c r="A179" t="s">
        <v>182</v>
      </c>
    </row>
    <row r="180" spans="1:1" x14ac:dyDescent="0.25">
      <c r="A180" t="s">
        <v>183</v>
      </c>
    </row>
    <row r="181" spans="1:1" x14ac:dyDescent="0.25">
      <c r="A181" t="s">
        <v>184</v>
      </c>
    </row>
    <row r="182" spans="1:1" x14ac:dyDescent="0.25">
      <c r="A182" t="s">
        <v>185</v>
      </c>
    </row>
    <row r="183" spans="1:1" x14ac:dyDescent="0.25">
      <c r="A183" t="s">
        <v>186</v>
      </c>
    </row>
    <row r="184" spans="1:1" x14ac:dyDescent="0.25">
      <c r="A184" t="s">
        <v>187</v>
      </c>
    </row>
    <row r="185" spans="1:1" x14ac:dyDescent="0.25">
      <c r="A185" t="s">
        <v>188</v>
      </c>
    </row>
    <row r="186" spans="1:1" x14ac:dyDescent="0.25">
      <c r="A186" t="s">
        <v>189</v>
      </c>
    </row>
    <row r="187" spans="1:1" x14ac:dyDescent="0.25">
      <c r="A187" t="s">
        <v>190</v>
      </c>
    </row>
    <row r="188" spans="1:1" x14ac:dyDescent="0.25">
      <c r="A188" t="s">
        <v>191</v>
      </c>
    </row>
    <row r="189" spans="1:1" x14ac:dyDescent="0.25">
      <c r="A189" t="s">
        <v>192</v>
      </c>
    </row>
    <row r="190" spans="1:1" x14ac:dyDescent="0.25">
      <c r="A190" t="s">
        <v>193</v>
      </c>
    </row>
    <row r="191" spans="1:1" x14ac:dyDescent="0.25">
      <c r="A191" t="s">
        <v>194</v>
      </c>
    </row>
    <row r="192" spans="1:1" x14ac:dyDescent="0.25">
      <c r="A192" t="s">
        <v>195</v>
      </c>
    </row>
    <row r="193" spans="1:1" x14ac:dyDescent="0.25">
      <c r="A193" t="s">
        <v>196</v>
      </c>
    </row>
    <row r="194" spans="1:1" x14ac:dyDescent="0.25">
      <c r="A194" t="s">
        <v>197</v>
      </c>
    </row>
    <row r="195" spans="1:1" x14ac:dyDescent="0.25">
      <c r="A195" t="s">
        <v>198</v>
      </c>
    </row>
    <row r="196" spans="1:1" x14ac:dyDescent="0.25">
      <c r="A196" t="s">
        <v>199</v>
      </c>
    </row>
    <row r="197" spans="1:1" x14ac:dyDescent="0.25">
      <c r="A197" t="s">
        <v>200</v>
      </c>
    </row>
    <row r="198" spans="1:1" x14ac:dyDescent="0.25">
      <c r="A198" t="s">
        <v>201</v>
      </c>
    </row>
    <row r="199" spans="1:1" x14ac:dyDescent="0.25">
      <c r="A199" t="s">
        <v>202</v>
      </c>
    </row>
    <row r="200" spans="1:1" x14ac:dyDescent="0.25">
      <c r="A200" t="s">
        <v>203</v>
      </c>
    </row>
    <row r="201" spans="1:1" x14ac:dyDescent="0.25">
      <c r="A201" t="s">
        <v>204</v>
      </c>
    </row>
    <row r="202" spans="1:1" x14ac:dyDescent="0.25">
      <c r="A202" t="s">
        <v>205</v>
      </c>
    </row>
    <row r="203" spans="1:1" x14ac:dyDescent="0.25">
      <c r="A203" t="s">
        <v>206</v>
      </c>
    </row>
    <row r="204" spans="1:1" x14ac:dyDescent="0.25">
      <c r="A204" t="s">
        <v>207</v>
      </c>
    </row>
    <row r="205" spans="1:1" x14ac:dyDescent="0.25">
      <c r="A205" t="s">
        <v>208</v>
      </c>
    </row>
    <row r="206" spans="1:1" x14ac:dyDescent="0.25">
      <c r="A206" t="s">
        <v>209</v>
      </c>
    </row>
    <row r="207" spans="1:1" x14ac:dyDescent="0.25">
      <c r="A207" t="s">
        <v>210</v>
      </c>
    </row>
    <row r="208" spans="1:1" x14ac:dyDescent="0.25">
      <c r="A208" t="s">
        <v>211</v>
      </c>
    </row>
    <row r="209" spans="1:1" x14ac:dyDescent="0.25">
      <c r="A209" t="s">
        <v>212</v>
      </c>
    </row>
    <row r="210" spans="1:1" x14ac:dyDescent="0.25">
      <c r="A210" t="s">
        <v>213</v>
      </c>
    </row>
    <row r="211" spans="1:1" x14ac:dyDescent="0.25">
      <c r="A211" t="s">
        <v>214</v>
      </c>
    </row>
    <row r="212" spans="1:1" x14ac:dyDescent="0.25">
      <c r="A212" t="s">
        <v>215</v>
      </c>
    </row>
    <row r="213" spans="1:1" x14ac:dyDescent="0.25">
      <c r="A213" t="s">
        <v>216</v>
      </c>
    </row>
    <row r="214" spans="1:1" x14ac:dyDescent="0.25">
      <c r="A214" t="s">
        <v>217</v>
      </c>
    </row>
    <row r="215" spans="1:1" x14ac:dyDescent="0.25">
      <c r="A215" t="s">
        <v>218</v>
      </c>
    </row>
    <row r="216" spans="1:1" x14ac:dyDescent="0.25">
      <c r="A216" t="s">
        <v>219</v>
      </c>
    </row>
    <row r="217" spans="1:1" x14ac:dyDescent="0.25">
      <c r="A217" t="s">
        <v>220</v>
      </c>
    </row>
    <row r="218" spans="1:1" x14ac:dyDescent="0.25">
      <c r="A218" t="s">
        <v>221</v>
      </c>
    </row>
    <row r="219" spans="1:1" x14ac:dyDescent="0.25">
      <c r="A219" t="s">
        <v>222</v>
      </c>
    </row>
    <row r="220" spans="1:1" x14ac:dyDescent="0.25">
      <c r="A220" t="s">
        <v>223</v>
      </c>
    </row>
    <row r="221" spans="1:1" x14ac:dyDescent="0.25">
      <c r="A221" t="s">
        <v>224</v>
      </c>
    </row>
    <row r="222" spans="1:1" x14ac:dyDescent="0.25">
      <c r="A222" t="s">
        <v>225</v>
      </c>
    </row>
    <row r="223" spans="1:1" x14ac:dyDescent="0.25">
      <c r="A223" t="s">
        <v>226</v>
      </c>
    </row>
    <row r="224" spans="1:1" x14ac:dyDescent="0.25">
      <c r="A224" t="s">
        <v>227</v>
      </c>
    </row>
    <row r="225" spans="1:1" x14ac:dyDescent="0.25">
      <c r="A225" t="s">
        <v>228</v>
      </c>
    </row>
    <row r="226" spans="1:1" x14ac:dyDescent="0.25">
      <c r="A226" t="s">
        <v>229</v>
      </c>
    </row>
    <row r="227" spans="1:1" x14ac:dyDescent="0.25">
      <c r="A227" t="s">
        <v>230</v>
      </c>
    </row>
    <row r="228" spans="1:1" x14ac:dyDescent="0.25">
      <c r="A228" t="s">
        <v>231</v>
      </c>
    </row>
    <row r="229" spans="1:1" x14ac:dyDescent="0.25">
      <c r="A229" t="s">
        <v>232</v>
      </c>
    </row>
    <row r="230" spans="1:1" x14ac:dyDescent="0.25">
      <c r="A230" t="s">
        <v>233</v>
      </c>
    </row>
    <row r="231" spans="1:1" x14ac:dyDescent="0.25">
      <c r="A231" t="s">
        <v>234</v>
      </c>
    </row>
    <row r="232" spans="1:1" x14ac:dyDescent="0.25">
      <c r="A232" t="s">
        <v>235</v>
      </c>
    </row>
    <row r="233" spans="1:1" x14ac:dyDescent="0.25">
      <c r="A233" t="s">
        <v>236</v>
      </c>
    </row>
    <row r="234" spans="1:1" x14ac:dyDescent="0.25">
      <c r="A234" t="s">
        <v>237</v>
      </c>
    </row>
    <row r="235" spans="1:1" x14ac:dyDescent="0.25">
      <c r="A235" t="s">
        <v>238</v>
      </c>
    </row>
    <row r="236" spans="1:1" x14ac:dyDescent="0.25">
      <c r="A236" t="s">
        <v>239</v>
      </c>
    </row>
    <row r="237" spans="1:1" x14ac:dyDescent="0.25">
      <c r="A237" t="s">
        <v>240</v>
      </c>
    </row>
    <row r="238" spans="1:1" x14ac:dyDescent="0.25">
      <c r="A238" t="s">
        <v>241</v>
      </c>
    </row>
    <row r="239" spans="1:1" x14ac:dyDescent="0.25">
      <c r="A239" t="s">
        <v>242</v>
      </c>
    </row>
    <row r="240" spans="1:1" x14ac:dyDescent="0.25">
      <c r="A240" t="s">
        <v>243</v>
      </c>
    </row>
    <row r="241" spans="1:1" x14ac:dyDescent="0.25">
      <c r="A241" t="s">
        <v>244</v>
      </c>
    </row>
    <row r="242" spans="1:1" x14ac:dyDescent="0.25">
      <c r="A242" t="s">
        <v>245</v>
      </c>
    </row>
    <row r="243" spans="1:1" x14ac:dyDescent="0.25">
      <c r="A243" t="s">
        <v>246</v>
      </c>
    </row>
    <row r="244" spans="1:1" x14ac:dyDescent="0.25">
      <c r="A244" t="s">
        <v>247</v>
      </c>
    </row>
    <row r="245" spans="1:1" x14ac:dyDescent="0.25">
      <c r="A245" t="s">
        <v>248</v>
      </c>
    </row>
    <row r="246" spans="1:1" x14ac:dyDescent="0.25">
      <c r="A246" t="s">
        <v>249</v>
      </c>
    </row>
    <row r="247" spans="1:1" x14ac:dyDescent="0.25">
      <c r="A247" t="s">
        <v>250</v>
      </c>
    </row>
    <row r="248" spans="1:1" x14ac:dyDescent="0.25">
      <c r="A248" t="s">
        <v>251</v>
      </c>
    </row>
    <row r="249" spans="1:1" x14ac:dyDescent="0.25">
      <c r="A249" t="s">
        <v>252</v>
      </c>
    </row>
    <row r="250" spans="1:1" x14ac:dyDescent="0.25">
      <c r="A250" t="s">
        <v>253</v>
      </c>
    </row>
    <row r="251" spans="1:1" x14ac:dyDescent="0.25">
      <c r="A251" t="s">
        <v>254</v>
      </c>
    </row>
    <row r="252" spans="1:1" x14ac:dyDescent="0.25">
      <c r="A252" t="s">
        <v>255</v>
      </c>
    </row>
    <row r="253" spans="1:1" x14ac:dyDescent="0.25">
      <c r="A253" t="s">
        <v>256</v>
      </c>
    </row>
    <row r="254" spans="1:1" x14ac:dyDescent="0.25">
      <c r="A254" t="s">
        <v>257</v>
      </c>
    </row>
    <row r="255" spans="1:1" x14ac:dyDescent="0.25">
      <c r="A255" t="s">
        <v>258</v>
      </c>
    </row>
    <row r="256" spans="1:1" x14ac:dyDescent="0.25">
      <c r="A256" t="s">
        <v>259</v>
      </c>
    </row>
    <row r="257" spans="1:1" x14ac:dyDescent="0.25">
      <c r="A257" t="s">
        <v>260</v>
      </c>
    </row>
    <row r="258" spans="1:1" x14ac:dyDescent="0.25">
      <c r="A258" t="s">
        <v>261</v>
      </c>
    </row>
    <row r="259" spans="1:1" x14ac:dyDescent="0.25">
      <c r="A259" t="s">
        <v>262</v>
      </c>
    </row>
    <row r="260" spans="1:1" x14ac:dyDescent="0.25">
      <c r="A260" t="s">
        <v>263</v>
      </c>
    </row>
    <row r="261" spans="1:1" x14ac:dyDescent="0.25">
      <c r="A261" t="s">
        <v>264</v>
      </c>
    </row>
    <row r="262" spans="1:1" x14ac:dyDescent="0.25">
      <c r="A262" t="s">
        <v>265</v>
      </c>
    </row>
    <row r="263" spans="1:1" x14ac:dyDescent="0.25">
      <c r="A263" t="s">
        <v>266</v>
      </c>
    </row>
    <row r="264" spans="1:1" x14ac:dyDescent="0.25">
      <c r="A264" t="s">
        <v>267</v>
      </c>
    </row>
    <row r="265" spans="1:1" x14ac:dyDescent="0.25">
      <c r="A265" t="s">
        <v>268</v>
      </c>
    </row>
    <row r="266" spans="1:1" x14ac:dyDescent="0.25">
      <c r="A266" t="s">
        <v>269</v>
      </c>
    </row>
    <row r="267" spans="1:1" x14ac:dyDescent="0.25">
      <c r="A267" t="s">
        <v>270</v>
      </c>
    </row>
    <row r="268" spans="1:1" x14ac:dyDescent="0.25">
      <c r="A268" t="s">
        <v>271</v>
      </c>
    </row>
    <row r="269" spans="1:1" x14ac:dyDescent="0.25">
      <c r="A269" t="s">
        <v>272</v>
      </c>
    </row>
    <row r="270" spans="1:1" x14ac:dyDescent="0.25">
      <c r="A270" t="s">
        <v>273</v>
      </c>
    </row>
    <row r="271" spans="1:1" x14ac:dyDescent="0.25">
      <c r="A271" t="s">
        <v>274</v>
      </c>
    </row>
    <row r="272" spans="1:1" x14ac:dyDescent="0.25">
      <c r="A272" t="s">
        <v>275</v>
      </c>
    </row>
    <row r="273" spans="1:1" x14ac:dyDescent="0.25">
      <c r="A273" t="s">
        <v>276</v>
      </c>
    </row>
    <row r="274" spans="1:1" x14ac:dyDescent="0.25">
      <c r="A274" t="s">
        <v>277</v>
      </c>
    </row>
    <row r="275" spans="1:1" x14ac:dyDescent="0.25">
      <c r="A275" t="s">
        <v>278</v>
      </c>
    </row>
    <row r="276" spans="1:1" x14ac:dyDescent="0.25">
      <c r="A276" t="s">
        <v>279</v>
      </c>
    </row>
    <row r="277" spans="1:1" x14ac:dyDescent="0.25">
      <c r="A277" t="s">
        <v>280</v>
      </c>
    </row>
    <row r="278" spans="1:1" x14ac:dyDescent="0.25">
      <c r="A278" t="s">
        <v>281</v>
      </c>
    </row>
    <row r="279" spans="1:1" x14ac:dyDescent="0.25">
      <c r="A279" t="s">
        <v>282</v>
      </c>
    </row>
    <row r="280" spans="1:1" x14ac:dyDescent="0.25">
      <c r="A280" t="s">
        <v>283</v>
      </c>
    </row>
    <row r="281" spans="1:1" x14ac:dyDescent="0.25">
      <c r="A281" t="s">
        <v>284</v>
      </c>
    </row>
    <row r="282" spans="1:1" x14ac:dyDescent="0.25">
      <c r="A282" t="s">
        <v>285</v>
      </c>
    </row>
    <row r="283" spans="1:1" x14ac:dyDescent="0.25">
      <c r="A283" t="s">
        <v>286</v>
      </c>
    </row>
    <row r="284" spans="1:1" x14ac:dyDescent="0.25">
      <c r="A284" t="s">
        <v>287</v>
      </c>
    </row>
    <row r="285" spans="1:1" x14ac:dyDescent="0.25">
      <c r="A285" t="s">
        <v>288</v>
      </c>
    </row>
    <row r="286" spans="1:1" x14ac:dyDescent="0.25">
      <c r="A286" t="s">
        <v>289</v>
      </c>
    </row>
    <row r="287" spans="1:1" x14ac:dyDescent="0.25">
      <c r="A287" t="s">
        <v>290</v>
      </c>
    </row>
    <row r="288" spans="1:1" x14ac:dyDescent="0.25">
      <c r="A288" t="s">
        <v>291</v>
      </c>
    </row>
    <row r="289" spans="1:1" x14ac:dyDescent="0.25">
      <c r="A289" t="s">
        <v>292</v>
      </c>
    </row>
    <row r="290" spans="1:1" x14ac:dyDescent="0.25">
      <c r="A290" t="s">
        <v>293</v>
      </c>
    </row>
    <row r="291" spans="1:1" x14ac:dyDescent="0.25">
      <c r="A291" t="s">
        <v>294</v>
      </c>
    </row>
    <row r="292" spans="1:1" x14ac:dyDescent="0.25">
      <c r="A292" t="s">
        <v>295</v>
      </c>
    </row>
    <row r="293" spans="1:1" x14ac:dyDescent="0.25">
      <c r="A293" t="s">
        <v>296</v>
      </c>
    </row>
    <row r="294" spans="1:1" x14ac:dyDescent="0.25">
      <c r="A294" t="s">
        <v>297</v>
      </c>
    </row>
    <row r="295" spans="1:1" x14ac:dyDescent="0.25">
      <c r="A295" t="s">
        <v>298</v>
      </c>
    </row>
    <row r="296" spans="1:1" x14ac:dyDescent="0.25">
      <c r="A296" t="s">
        <v>299</v>
      </c>
    </row>
    <row r="297" spans="1:1" x14ac:dyDescent="0.25">
      <c r="A297" t="s">
        <v>300</v>
      </c>
    </row>
    <row r="298" spans="1:1" x14ac:dyDescent="0.25">
      <c r="A298" t="s">
        <v>301</v>
      </c>
    </row>
    <row r="299" spans="1:1" x14ac:dyDescent="0.25">
      <c r="A299" t="s">
        <v>302</v>
      </c>
    </row>
    <row r="300" spans="1:1" x14ac:dyDescent="0.25">
      <c r="A300" t="s">
        <v>303</v>
      </c>
    </row>
    <row r="301" spans="1:1" x14ac:dyDescent="0.25">
      <c r="A301" t="s">
        <v>304</v>
      </c>
    </row>
    <row r="302" spans="1:1" x14ac:dyDescent="0.25">
      <c r="A302" t="s">
        <v>305</v>
      </c>
    </row>
    <row r="303" spans="1:1" x14ac:dyDescent="0.25">
      <c r="A303" t="s">
        <v>306</v>
      </c>
    </row>
    <row r="304" spans="1:1" x14ac:dyDescent="0.25">
      <c r="A304" t="s">
        <v>307</v>
      </c>
    </row>
    <row r="305" spans="1:1" x14ac:dyDescent="0.25">
      <c r="A305" t="s">
        <v>308</v>
      </c>
    </row>
    <row r="306" spans="1:1" x14ac:dyDescent="0.25">
      <c r="A306" t="s">
        <v>309</v>
      </c>
    </row>
    <row r="307" spans="1:1" x14ac:dyDescent="0.25">
      <c r="A307" t="s">
        <v>310</v>
      </c>
    </row>
    <row r="308" spans="1:1" x14ac:dyDescent="0.25">
      <c r="A308" t="s">
        <v>311</v>
      </c>
    </row>
    <row r="309" spans="1:1" x14ac:dyDescent="0.25">
      <c r="A309" t="s">
        <v>312</v>
      </c>
    </row>
    <row r="310" spans="1:1" x14ac:dyDescent="0.25">
      <c r="A310" t="s">
        <v>313</v>
      </c>
    </row>
    <row r="311" spans="1:1" x14ac:dyDescent="0.25">
      <c r="A311" t="s">
        <v>314</v>
      </c>
    </row>
    <row r="312" spans="1:1" x14ac:dyDescent="0.25">
      <c r="A312" t="s">
        <v>315</v>
      </c>
    </row>
    <row r="313" spans="1:1" x14ac:dyDescent="0.25">
      <c r="A313" t="s">
        <v>316</v>
      </c>
    </row>
    <row r="314" spans="1:1" x14ac:dyDescent="0.25">
      <c r="A314" t="s">
        <v>317</v>
      </c>
    </row>
    <row r="315" spans="1:1" x14ac:dyDescent="0.25">
      <c r="A315" t="s">
        <v>318</v>
      </c>
    </row>
    <row r="316" spans="1:1" x14ac:dyDescent="0.25">
      <c r="A316" t="s">
        <v>319</v>
      </c>
    </row>
    <row r="317" spans="1:1" x14ac:dyDescent="0.25">
      <c r="A317" t="s">
        <v>320</v>
      </c>
    </row>
    <row r="318" spans="1:1" x14ac:dyDescent="0.25">
      <c r="A318" t="s">
        <v>321</v>
      </c>
    </row>
    <row r="319" spans="1:1" x14ac:dyDescent="0.25">
      <c r="A319" t="s">
        <v>322</v>
      </c>
    </row>
    <row r="320" spans="1:1" x14ac:dyDescent="0.25">
      <c r="A320" t="s">
        <v>323</v>
      </c>
    </row>
    <row r="321" spans="1:1" x14ac:dyDescent="0.25">
      <c r="A321" t="s">
        <v>324</v>
      </c>
    </row>
    <row r="322" spans="1:1" x14ac:dyDescent="0.25">
      <c r="A322" t="s">
        <v>325</v>
      </c>
    </row>
    <row r="323" spans="1:1" x14ac:dyDescent="0.25">
      <c r="A323" t="s">
        <v>326</v>
      </c>
    </row>
    <row r="324" spans="1:1" x14ac:dyDescent="0.25">
      <c r="A324" t="s">
        <v>327</v>
      </c>
    </row>
    <row r="325" spans="1:1" x14ac:dyDescent="0.25">
      <c r="A325" t="s">
        <v>328</v>
      </c>
    </row>
    <row r="326" spans="1:1" x14ac:dyDescent="0.25">
      <c r="A326" t="s">
        <v>329</v>
      </c>
    </row>
    <row r="327" spans="1:1" x14ac:dyDescent="0.25">
      <c r="A327" t="s">
        <v>330</v>
      </c>
    </row>
    <row r="328" spans="1:1" x14ac:dyDescent="0.25">
      <c r="A328" t="s">
        <v>331</v>
      </c>
    </row>
    <row r="329" spans="1:1" x14ac:dyDescent="0.25">
      <c r="A329" t="s">
        <v>332</v>
      </c>
    </row>
    <row r="330" spans="1:1" x14ac:dyDescent="0.25">
      <c r="A330" t="s">
        <v>333</v>
      </c>
    </row>
    <row r="331" spans="1:1" x14ac:dyDescent="0.25">
      <c r="A331" t="s">
        <v>334</v>
      </c>
    </row>
    <row r="332" spans="1:1" x14ac:dyDescent="0.25">
      <c r="A332" t="s">
        <v>335</v>
      </c>
    </row>
    <row r="333" spans="1:1" x14ac:dyDescent="0.25">
      <c r="A333" t="s">
        <v>336</v>
      </c>
    </row>
    <row r="334" spans="1:1" x14ac:dyDescent="0.25">
      <c r="A334" t="s">
        <v>337</v>
      </c>
    </row>
    <row r="335" spans="1:1" x14ac:dyDescent="0.25">
      <c r="A335" t="s">
        <v>338</v>
      </c>
    </row>
    <row r="336" spans="1:1" x14ac:dyDescent="0.25">
      <c r="A336" t="s">
        <v>339</v>
      </c>
    </row>
    <row r="337" spans="1:1" x14ac:dyDescent="0.25">
      <c r="A337" t="s">
        <v>340</v>
      </c>
    </row>
    <row r="338" spans="1:1" x14ac:dyDescent="0.25">
      <c r="A338" t="s">
        <v>341</v>
      </c>
    </row>
    <row r="339" spans="1:1" x14ac:dyDescent="0.25">
      <c r="A339" t="s">
        <v>342</v>
      </c>
    </row>
    <row r="340" spans="1:1" x14ac:dyDescent="0.25">
      <c r="A340" t="s">
        <v>343</v>
      </c>
    </row>
    <row r="341" spans="1:1" x14ac:dyDescent="0.25">
      <c r="A341" t="s">
        <v>344</v>
      </c>
    </row>
    <row r="342" spans="1:1" x14ac:dyDescent="0.25">
      <c r="A342" t="s">
        <v>345</v>
      </c>
    </row>
    <row r="343" spans="1:1" x14ac:dyDescent="0.25">
      <c r="A343" t="s">
        <v>346</v>
      </c>
    </row>
    <row r="344" spans="1:1" x14ac:dyDescent="0.25">
      <c r="A344" t="s">
        <v>347</v>
      </c>
    </row>
    <row r="345" spans="1:1" x14ac:dyDescent="0.25">
      <c r="A345" t="s">
        <v>348</v>
      </c>
    </row>
    <row r="346" spans="1:1" x14ac:dyDescent="0.25">
      <c r="A346" t="s">
        <v>349</v>
      </c>
    </row>
    <row r="347" spans="1:1" x14ac:dyDescent="0.25">
      <c r="A347" t="s">
        <v>350</v>
      </c>
    </row>
    <row r="348" spans="1:1" x14ac:dyDescent="0.25">
      <c r="A348" t="s">
        <v>351</v>
      </c>
    </row>
    <row r="349" spans="1:1" x14ac:dyDescent="0.25">
      <c r="A349" t="s">
        <v>352</v>
      </c>
    </row>
    <row r="350" spans="1:1" x14ac:dyDescent="0.25">
      <c r="A350" t="s">
        <v>353</v>
      </c>
    </row>
    <row r="351" spans="1:1" x14ac:dyDescent="0.25">
      <c r="A351" t="s">
        <v>354</v>
      </c>
    </row>
    <row r="352" spans="1:1" x14ac:dyDescent="0.25">
      <c r="A352" t="s">
        <v>355</v>
      </c>
    </row>
    <row r="353" spans="1:1" x14ac:dyDescent="0.25">
      <c r="A353" t="s">
        <v>356</v>
      </c>
    </row>
    <row r="354" spans="1:1" x14ac:dyDescent="0.25">
      <c r="A354" t="s">
        <v>357</v>
      </c>
    </row>
    <row r="355" spans="1:1" x14ac:dyDescent="0.25">
      <c r="A355" t="s">
        <v>358</v>
      </c>
    </row>
    <row r="356" spans="1:1" x14ac:dyDescent="0.25">
      <c r="A356" t="s">
        <v>359</v>
      </c>
    </row>
    <row r="357" spans="1:1" x14ac:dyDescent="0.25">
      <c r="A357" t="s">
        <v>360</v>
      </c>
    </row>
    <row r="358" spans="1:1" x14ac:dyDescent="0.25">
      <c r="A358" t="s">
        <v>361</v>
      </c>
    </row>
    <row r="359" spans="1:1" x14ac:dyDescent="0.25">
      <c r="A359" t="s">
        <v>362</v>
      </c>
    </row>
    <row r="360" spans="1:1" x14ac:dyDescent="0.25">
      <c r="A360" t="s">
        <v>363</v>
      </c>
    </row>
    <row r="361" spans="1:1" x14ac:dyDescent="0.25">
      <c r="A361" t="s">
        <v>364</v>
      </c>
    </row>
    <row r="362" spans="1:1" x14ac:dyDescent="0.25">
      <c r="A362" t="s">
        <v>365</v>
      </c>
    </row>
    <row r="363" spans="1:1" x14ac:dyDescent="0.25">
      <c r="A363" t="s">
        <v>366</v>
      </c>
    </row>
    <row r="364" spans="1:1" x14ac:dyDescent="0.25">
      <c r="A364" t="s">
        <v>367</v>
      </c>
    </row>
    <row r="365" spans="1:1" x14ac:dyDescent="0.25">
      <c r="A365" t="s">
        <v>368</v>
      </c>
    </row>
    <row r="366" spans="1:1" x14ac:dyDescent="0.25">
      <c r="A366" t="s">
        <v>369</v>
      </c>
    </row>
    <row r="367" spans="1:1" x14ac:dyDescent="0.25">
      <c r="A367" t="s">
        <v>370</v>
      </c>
    </row>
    <row r="368" spans="1:1" x14ac:dyDescent="0.25">
      <c r="A368" t="s">
        <v>371</v>
      </c>
    </row>
    <row r="369" spans="1:1" x14ac:dyDescent="0.25">
      <c r="A369" t="s">
        <v>372</v>
      </c>
    </row>
    <row r="370" spans="1:1" x14ac:dyDescent="0.25">
      <c r="A370" t="s">
        <v>373</v>
      </c>
    </row>
    <row r="371" spans="1:1" x14ac:dyDescent="0.25">
      <c r="A371" t="s">
        <v>374</v>
      </c>
    </row>
    <row r="372" spans="1:1" x14ac:dyDescent="0.25">
      <c r="A372" t="s">
        <v>375</v>
      </c>
    </row>
    <row r="373" spans="1:1" x14ac:dyDescent="0.25">
      <c r="A373" t="s">
        <v>376</v>
      </c>
    </row>
    <row r="374" spans="1:1" x14ac:dyDescent="0.25">
      <c r="A374" t="s">
        <v>377</v>
      </c>
    </row>
    <row r="375" spans="1:1" x14ac:dyDescent="0.25">
      <c r="A375" t="s">
        <v>378</v>
      </c>
    </row>
    <row r="376" spans="1:1" x14ac:dyDescent="0.25">
      <c r="A376" t="s">
        <v>379</v>
      </c>
    </row>
    <row r="377" spans="1:1" x14ac:dyDescent="0.25">
      <c r="A377" t="s">
        <v>380</v>
      </c>
    </row>
    <row r="378" spans="1:1" x14ac:dyDescent="0.25">
      <c r="A378" t="s">
        <v>381</v>
      </c>
    </row>
    <row r="379" spans="1:1" x14ac:dyDescent="0.25">
      <c r="A379" t="s">
        <v>382</v>
      </c>
    </row>
    <row r="380" spans="1:1" x14ac:dyDescent="0.25">
      <c r="A380" t="s">
        <v>383</v>
      </c>
    </row>
    <row r="381" spans="1:1" x14ac:dyDescent="0.25">
      <c r="A381" t="s">
        <v>384</v>
      </c>
    </row>
    <row r="382" spans="1:1" x14ac:dyDescent="0.25">
      <c r="A382" t="s">
        <v>385</v>
      </c>
    </row>
    <row r="383" spans="1:1" x14ac:dyDescent="0.25">
      <c r="A383" t="s">
        <v>386</v>
      </c>
    </row>
    <row r="384" spans="1:1" x14ac:dyDescent="0.25">
      <c r="A384" t="s">
        <v>387</v>
      </c>
    </row>
    <row r="385" spans="1:1" x14ac:dyDescent="0.25">
      <c r="A385" t="s">
        <v>388</v>
      </c>
    </row>
    <row r="386" spans="1:1" x14ac:dyDescent="0.25">
      <c r="A386" t="s">
        <v>389</v>
      </c>
    </row>
    <row r="387" spans="1:1" x14ac:dyDescent="0.25">
      <c r="A387" t="s">
        <v>390</v>
      </c>
    </row>
    <row r="388" spans="1:1" x14ac:dyDescent="0.25">
      <c r="A388" t="s">
        <v>391</v>
      </c>
    </row>
    <row r="389" spans="1:1" x14ac:dyDescent="0.25">
      <c r="A389" t="s">
        <v>392</v>
      </c>
    </row>
    <row r="390" spans="1:1" x14ac:dyDescent="0.25">
      <c r="A390" t="s">
        <v>393</v>
      </c>
    </row>
    <row r="391" spans="1:1" x14ac:dyDescent="0.25">
      <c r="A391" t="s">
        <v>394</v>
      </c>
    </row>
    <row r="392" spans="1:1" x14ac:dyDescent="0.25">
      <c r="A392" t="s">
        <v>395</v>
      </c>
    </row>
    <row r="393" spans="1:1" x14ac:dyDescent="0.25">
      <c r="A393" t="s">
        <v>396</v>
      </c>
    </row>
    <row r="394" spans="1:1" x14ac:dyDescent="0.25">
      <c r="A394" t="s">
        <v>397</v>
      </c>
    </row>
    <row r="395" spans="1:1" x14ac:dyDescent="0.25">
      <c r="A395" t="s">
        <v>398</v>
      </c>
    </row>
    <row r="396" spans="1:1" x14ac:dyDescent="0.25">
      <c r="A396" t="s">
        <v>399</v>
      </c>
    </row>
    <row r="397" spans="1:1" x14ac:dyDescent="0.25">
      <c r="A397" t="s">
        <v>400</v>
      </c>
    </row>
    <row r="398" spans="1:1" x14ac:dyDescent="0.25">
      <c r="A398" t="s">
        <v>401</v>
      </c>
    </row>
    <row r="399" spans="1:1" x14ac:dyDescent="0.25">
      <c r="A399" t="s">
        <v>402</v>
      </c>
    </row>
    <row r="400" spans="1:1" x14ac:dyDescent="0.25">
      <c r="A400" t="s">
        <v>403</v>
      </c>
    </row>
    <row r="401" spans="1:1" x14ac:dyDescent="0.25">
      <c r="A401" t="s">
        <v>404</v>
      </c>
    </row>
    <row r="402" spans="1:1" x14ac:dyDescent="0.25">
      <c r="A402" t="s">
        <v>405</v>
      </c>
    </row>
    <row r="403" spans="1:1" x14ac:dyDescent="0.25">
      <c r="A403" t="s">
        <v>406</v>
      </c>
    </row>
    <row r="404" spans="1:1" x14ac:dyDescent="0.25">
      <c r="A404" t="s">
        <v>407</v>
      </c>
    </row>
    <row r="405" spans="1:1" x14ac:dyDescent="0.25">
      <c r="A405" t="s">
        <v>408</v>
      </c>
    </row>
    <row r="406" spans="1:1" x14ac:dyDescent="0.25">
      <c r="A406" t="s">
        <v>409</v>
      </c>
    </row>
    <row r="407" spans="1:1" x14ac:dyDescent="0.25">
      <c r="A407" t="s">
        <v>410</v>
      </c>
    </row>
    <row r="408" spans="1:1" x14ac:dyDescent="0.25">
      <c r="A408" t="s">
        <v>411</v>
      </c>
    </row>
    <row r="409" spans="1:1" x14ac:dyDescent="0.25">
      <c r="A409" t="s">
        <v>412</v>
      </c>
    </row>
    <row r="410" spans="1:1" x14ac:dyDescent="0.25">
      <c r="A410" t="s">
        <v>413</v>
      </c>
    </row>
    <row r="411" spans="1:1" x14ac:dyDescent="0.25">
      <c r="A411" t="s">
        <v>414</v>
      </c>
    </row>
    <row r="412" spans="1:1" x14ac:dyDescent="0.25">
      <c r="A412" t="s">
        <v>415</v>
      </c>
    </row>
    <row r="413" spans="1:1" x14ac:dyDescent="0.25">
      <c r="A413" t="s">
        <v>416</v>
      </c>
    </row>
    <row r="414" spans="1:1" x14ac:dyDescent="0.25">
      <c r="A414" t="s">
        <v>417</v>
      </c>
    </row>
    <row r="415" spans="1:1" x14ac:dyDescent="0.25">
      <c r="A415" t="s">
        <v>418</v>
      </c>
    </row>
    <row r="416" spans="1:1" x14ac:dyDescent="0.25">
      <c r="A416" t="s">
        <v>419</v>
      </c>
    </row>
    <row r="417" spans="1:1" x14ac:dyDescent="0.25">
      <c r="A417" t="s">
        <v>420</v>
      </c>
    </row>
    <row r="418" spans="1:1" x14ac:dyDescent="0.25">
      <c r="A418" t="s">
        <v>421</v>
      </c>
    </row>
    <row r="419" spans="1:1" x14ac:dyDescent="0.25">
      <c r="A419" t="s">
        <v>422</v>
      </c>
    </row>
    <row r="420" spans="1:1" x14ac:dyDescent="0.25">
      <c r="A420" t="s">
        <v>423</v>
      </c>
    </row>
    <row r="421" spans="1:1" x14ac:dyDescent="0.25">
      <c r="A421" t="s">
        <v>424</v>
      </c>
    </row>
    <row r="422" spans="1:1" x14ac:dyDescent="0.25">
      <c r="A422" t="s">
        <v>425</v>
      </c>
    </row>
    <row r="423" spans="1:1" x14ac:dyDescent="0.25">
      <c r="A423" t="s">
        <v>426</v>
      </c>
    </row>
    <row r="424" spans="1:1" x14ac:dyDescent="0.25">
      <c r="A424" t="s">
        <v>427</v>
      </c>
    </row>
    <row r="425" spans="1:1" x14ac:dyDescent="0.25">
      <c r="A425" t="s">
        <v>428</v>
      </c>
    </row>
    <row r="426" spans="1:1" x14ac:dyDescent="0.25">
      <c r="A426" t="s">
        <v>429</v>
      </c>
    </row>
    <row r="427" spans="1:1" x14ac:dyDescent="0.25">
      <c r="A427" t="s">
        <v>430</v>
      </c>
    </row>
    <row r="428" spans="1:1" x14ac:dyDescent="0.25">
      <c r="A428" t="s">
        <v>431</v>
      </c>
    </row>
    <row r="429" spans="1:1" x14ac:dyDescent="0.25">
      <c r="A429" t="s">
        <v>432</v>
      </c>
    </row>
    <row r="430" spans="1:1" x14ac:dyDescent="0.25">
      <c r="A430" t="s">
        <v>433</v>
      </c>
    </row>
    <row r="431" spans="1:1" x14ac:dyDescent="0.25">
      <c r="A431" t="s">
        <v>434</v>
      </c>
    </row>
    <row r="432" spans="1:1" x14ac:dyDescent="0.25">
      <c r="A432" t="s">
        <v>435</v>
      </c>
    </row>
    <row r="433" spans="1:1" x14ac:dyDescent="0.25">
      <c r="A433" t="s">
        <v>436</v>
      </c>
    </row>
    <row r="434" spans="1:1" x14ac:dyDescent="0.25">
      <c r="A434" t="s">
        <v>437</v>
      </c>
    </row>
    <row r="435" spans="1:1" x14ac:dyDescent="0.25">
      <c r="A435" t="s">
        <v>438</v>
      </c>
    </row>
    <row r="436" spans="1:1" x14ac:dyDescent="0.25">
      <c r="A436" t="s">
        <v>439</v>
      </c>
    </row>
    <row r="437" spans="1:1" x14ac:dyDescent="0.25">
      <c r="A437" t="s">
        <v>440</v>
      </c>
    </row>
    <row r="438" spans="1:1" x14ac:dyDescent="0.25">
      <c r="A438" t="s">
        <v>441</v>
      </c>
    </row>
    <row r="439" spans="1:1" x14ac:dyDescent="0.25">
      <c r="A439" t="s">
        <v>442</v>
      </c>
    </row>
    <row r="440" spans="1:1" x14ac:dyDescent="0.25">
      <c r="A440" t="s">
        <v>443</v>
      </c>
    </row>
    <row r="441" spans="1:1" x14ac:dyDescent="0.25">
      <c r="A441" t="s">
        <v>444</v>
      </c>
    </row>
    <row r="442" spans="1:1" x14ac:dyDescent="0.25">
      <c r="A442" t="s">
        <v>445</v>
      </c>
    </row>
    <row r="443" spans="1:1" x14ac:dyDescent="0.25">
      <c r="A443" t="s">
        <v>446</v>
      </c>
    </row>
    <row r="444" spans="1:1" x14ac:dyDescent="0.25">
      <c r="A444" t="s">
        <v>447</v>
      </c>
    </row>
    <row r="445" spans="1:1" x14ac:dyDescent="0.25">
      <c r="A445" t="s">
        <v>448</v>
      </c>
    </row>
    <row r="446" spans="1:1" x14ac:dyDescent="0.25">
      <c r="A446" t="s">
        <v>449</v>
      </c>
    </row>
    <row r="447" spans="1:1" x14ac:dyDescent="0.25">
      <c r="A447" t="s">
        <v>450</v>
      </c>
    </row>
    <row r="448" spans="1:1" x14ac:dyDescent="0.25">
      <c r="A448" t="s">
        <v>451</v>
      </c>
    </row>
    <row r="449" spans="1:1" x14ac:dyDescent="0.25">
      <c r="A449" t="s">
        <v>452</v>
      </c>
    </row>
    <row r="450" spans="1:1" x14ac:dyDescent="0.25">
      <c r="A450" t="s">
        <v>453</v>
      </c>
    </row>
    <row r="451" spans="1:1" x14ac:dyDescent="0.25">
      <c r="A451" t="s">
        <v>454</v>
      </c>
    </row>
    <row r="452" spans="1:1" x14ac:dyDescent="0.25">
      <c r="A452" t="s">
        <v>455</v>
      </c>
    </row>
    <row r="453" spans="1:1" x14ac:dyDescent="0.25">
      <c r="A453" t="s">
        <v>456</v>
      </c>
    </row>
    <row r="454" spans="1:1" x14ac:dyDescent="0.25">
      <c r="A454" t="s">
        <v>457</v>
      </c>
    </row>
    <row r="455" spans="1:1" x14ac:dyDescent="0.25">
      <c r="A455" t="s">
        <v>458</v>
      </c>
    </row>
    <row r="456" spans="1:1" x14ac:dyDescent="0.25">
      <c r="A456" t="s">
        <v>459</v>
      </c>
    </row>
    <row r="457" spans="1:1" x14ac:dyDescent="0.25">
      <c r="A457" t="s">
        <v>460</v>
      </c>
    </row>
    <row r="458" spans="1:1" x14ac:dyDescent="0.25">
      <c r="A458" t="s">
        <v>461</v>
      </c>
    </row>
    <row r="459" spans="1:1" x14ac:dyDescent="0.25">
      <c r="A459" t="s">
        <v>462</v>
      </c>
    </row>
    <row r="460" spans="1:1" x14ac:dyDescent="0.25">
      <c r="A460" t="s">
        <v>463</v>
      </c>
    </row>
    <row r="461" spans="1:1" x14ac:dyDescent="0.25">
      <c r="A461" t="s">
        <v>464</v>
      </c>
    </row>
    <row r="462" spans="1:1" x14ac:dyDescent="0.25">
      <c r="A462" t="s">
        <v>465</v>
      </c>
    </row>
    <row r="463" spans="1:1" x14ac:dyDescent="0.25">
      <c r="A463" t="s">
        <v>466</v>
      </c>
    </row>
    <row r="464" spans="1:1" x14ac:dyDescent="0.25">
      <c r="A464" t="s">
        <v>467</v>
      </c>
    </row>
    <row r="465" spans="1:1" x14ac:dyDescent="0.25">
      <c r="A465" t="s">
        <v>468</v>
      </c>
    </row>
    <row r="466" spans="1:1" x14ac:dyDescent="0.25">
      <c r="A466" t="s">
        <v>469</v>
      </c>
    </row>
    <row r="467" spans="1:1" x14ac:dyDescent="0.25">
      <c r="A467" t="s">
        <v>470</v>
      </c>
    </row>
    <row r="468" spans="1:1" x14ac:dyDescent="0.25">
      <c r="A468" t="s">
        <v>471</v>
      </c>
    </row>
    <row r="469" spans="1:1" x14ac:dyDescent="0.25">
      <c r="A469" t="s">
        <v>472</v>
      </c>
    </row>
    <row r="470" spans="1:1" x14ac:dyDescent="0.25">
      <c r="A470" t="s">
        <v>473</v>
      </c>
    </row>
    <row r="471" spans="1:1" x14ac:dyDescent="0.25">
      <c r="A471" t="s">
        <v>474</v>
      </c>
    </row>
    <row r="472" spans="1:1" x14ac:dyDescent="0.25">
      <c r="A472" t="s">
        <v>475</v>
      </c>
    </row>
    <row r="473" spans="1:1" x14ac:dyDescent="0.25">
      <c r="A473" t="s">
        <v>476</v>
      </c>
    </row>
    <row r="474" spans="1:1" x14ac:dyDescent="0.25">
      <c r="A474" t="s">
        <v>477</v>
      </c>
    </row>
    <row r="475" spans="1:1" x14ac:dyDescent="0.25">
      <c r="A475" t="s">
        <v>478</v>
      </c>
    </row>
    <row r="476" spans="1:1" x14ac:dyDescent="0.25">
      <c r="A476" t="s">
        <v>479</v>
      </c>
    </row>
    <row r="477" spans="1:1" x14ac:dyDescent="0.25">
      <c r="A477" t="s">
        <v>480</v>
      </c>
    </row>
    <row r="478" spans="1:1" x14ac:dyDescent="0.25">
      <c r="A478" t="s">
        <v>481</v>
      </c>
    </row>
    <row r="479" spans="1:1" x14ac:dyDescent="0.25">
      <c r="A479" t="s">
        <v>482</v>
      </c>
    </row>
    <row r="480" spans="1:1" x14ac:dyDescent="0.25">
      <c r="A480" t="s">
        <v>483</v>
      </c>
    </row>
    <row r="481" spans="1:1" x14ac:dyDescent="0.25">
      <c r="A481" t="s">
        <v>484</v>
      </c>
    </row>
    <row r="482" spans="1:1" x14ac:dyDescent="0.25">
      <c r="A482" t="s">
        <v>485</v>
      </c>
    </row>
    <row r="483" spans="1:1" x14ac:dyDescent="0.25">
      <c r="A483" t="s">
        <v>486</v>
      </c>
    </row>
    <row r="484" spans="1:1" x14ac:dyDescent="0.25">
      <c r="A484" t="s">
        <v>487</v>
      </c>
    </row>
    <row r="485" spans="1:1" x14ac:dyDescent="0.25">
      <c r="A485" t="s">
        <v>488</v>
      </c>
    </row>
    <row r="486" spans="1:1" x14ac:dyDescent="0.25">
      <c r="A486" t="s">
        <v>489</v>
      </c>
    </row>
    <row r="487" spans="1:1" x14ac:dyDescent="0.25">
      <c r="A487" t="s">
        <v>490</v>
      </c>
    </row>
    <row r="488" spans="1:1" x14ac:dyDescent="0.25">
      <c r="A488" t="s">
        <v>491</v>
      </c>
    </row>
    <row r="489" spans="1:1" x14ac:dyDescent="0.25">
      <c r="A489" t="s">
        <v>492</v>
      </c>
    </row>
    <row r="490" spans="1:1" x14ac:dyDescent="0.25">
      <c r="A490" t="s">
        <v>493</v>
      </c>
    </row>
    <row r="491" spans="1:1" x14ac:dyDescent="0.25">
      <c r="A491" t="s">
        <v>494</v>
      </c>
    </row>
    <row r="492" spans="1:1" x14ac:dyDescent="0.25">
      <c r="A492" t="s">
        <v>495</v>
      </c>
    </row>
    <row r="493" spans="1:1" x14ac:dyDescent="0.25">
      <c r="A493" t="s">
        <v>496</v>
      </c>
    </row>
    <row r="494" spans="1:1" x14ac:dyDescent="0.25">
      <c r="A494" t="s">
        <v>497</v>
      </c>
    </row>
    <row r="495" spans="1:1" x14ac:dyDescent="0.25">
      <c r="A495" t="s">
        <v>498</v>
      </c>
    </row>
    <row r="496" spans="1:1" x14ac:dyDescent="0.25">
      <c r="A496" t="s">
        <v>499</v>
      </c>
    </row>
    <row r="497" spans="1:1" x14ac:dyDescent="0.25">
      <c r="A497" t="s">
        <v>500</v>
      </c>
    </row>
    <row r="498" spans="1:1" x14ac:dyDescent="0.25">
      <c r="A498" t="s">
        <v>501</v>
      </c>
    </row>
    <row r="499" spans="1:1" x14ac:dyDescent="0.25">
      <c r="A499" t="s">
        <v>502</v>
      </c>
    </row>
    <row r="500" spans="1:1" x14ac:dyDescent="0.25">
      <c r="A500" t="s">
        <v>503</v>
      </c>
    </row>
    <row r="501" spans="1:1" x14ac:dyDescent="0.25">
      <c r="A501" t="s">
        <v>504</v>
      </c>
    </row>
    <row r="502" spans="1:1" x14ac:dyDescent="0.25">
      <c r="A502" t="s">
        <v>505</v>
      </c>
    </row>
    <row r="503" spans="1:1" x14ac:dyDescent="0.25">
      <c r="A503" t="s">
        <v>506</v>
      </c>
    </row>
    <row r="504" spans="1:1" x14ac:dyDescent="0.25">
      <c r="A504" t="s">
        <v>507</v>
      </c>
    </row>
    <row r="505" spans="1:1" x14ac:dyDescent="0.25">
      <c r="A505" t="s">
        <v>508</v>
      </c>
    </row>
    <row r="506" spans="1:1" x14ac:dyDescent="0.25">
      <c r="A506" t="s">
        <v>509</v>
      </c>
    </row>
    <row r="507" spans="1:1" x14ac:dyDescent="0.25">
      <c r="A507" t="s">
        <v>510</v>
      </c>
    </row>
    <row r="508" spans="1:1" x14ac:dyDescent="0.25">
      <c r="A508" t="s">
        <v>511</v>
      </c>
    </row>
    <row r="509" spans="1:1" x14ac:dyDescent="0.25">
      <c r="A509" t="s">
        <v>512</v>
      </c>
    </row>
    <row r="510" spans="1:1" x14ac:dyDescent="0.25">
      <c r="A510" t="s">
        <v>513</v>
      </c>
    </row>
    <row r="511" spans="1:1" x14ac:dyDescent="0.25">
      <c r="A511" t="s">
        <v>514</v>
      </c>
    </row>
    <row r="512" spans="1:1" x14ac:dyDescent="0.25">
      <c r="A512" t="s">
        <v>515</v>
      </c>
    </row>
    <row r="513" spans="1:1" x14ac:dyDescent="0.25">
      <c r="A513" t="s">
        <v>516</v>
      </c>
    </row>
    <row r="514" spans="1:1" x14ac:dyDescent="0.25">
      <c r="A514" t="s">
        <v>517</v>
      </c>
    </row>
    <row r="515" spans="1:1" x14ac:dyDescent="0.25">
      <c r="A515" t="s">
        <v>518</v>
      </c>
    </row>
    <row r="516" spans="1:1" x14ac:dyDescent="0.25">
      <c r="A516" t="s">
        <v>519</v>
      </c>
    </row>
    <row r="517" spans="1:1" x14ac:dyDescent="0.25">
      <c r="A517" t="s">
        <v>520</v>
      </c>
    </row>
    <row r="518" spans="1:1" x14ac:dyDescent="0.25">
      <c r="A518" t="s">
        <v>521</v>
      </c>
    </row>
    <row r="519" spans="1:1" x14ac:dyDescent="0.25">
      <c r="A519" t="s">
        <v>522</v>
      </c>
    </row>
    <row r="520" spans="1:1" x14ac:dyDescent="0.25">
      <c r="A520" t="s">
        <v>523</v>
      </c>
    </row>
    <row r="521" spans="1:1" x14ac:dyDescent="0.25">
      <c r="A521" t="s">
        <v>524</v>
      </c>
    </row>
    <row r="522" spans="1:1" x14ac:dyDescent="0.25">
      <c r="A522" t="s">
        <v>525</v>
      </c>
    </row>
    <row r="523" spans="1:1" x14ac:dyDescent="0.25">
      <c r="A523" t="s">
        <v>526</v>
      </c>
    </row>
    <row r="524" spans="1:1" x14ac:dyDescent="0.25">
      <c r="A524" t="s">
        <v>527</v>
      </c>
    </row>
    <row r="525" spans="1:1" x14ac:dyDescent="0.25">
      <c r="A525" t="s">
        <v>528</v>
      </c>
    </row>
    <row r="526" spans="1:1" x14ac:dyDescent="0.25">
      <c r="A526" t="s">
        <v>529</v>
      </c>
    </row>
    <row r="527" spans="1:1" x14ac:dyDescent="0.25">
      <c r="A527" t="s">
        <v>530</v>
      </c>
    </row>
    <row r="528" spans="1:1" x14ac:dyDescent="0.25">
      <c r="A528" t="s">
        <v>531</v>
      </c>
    </row>
    <row r="529" spans="1:1" x14ac:dyDescent="0.25">
      <c r="A529" t="s">
        <v>532</v>
      </c>
    </row>
    <row r="530" spans="1:1" x14ac:dyDescent="0.25">
      <c r="A530" t="s">
        <v>533</v>
      </c>
    </row>
    <row r="531" spans="1:1" x14ac:dyDescent="0.25">
      <c r="A531" t="s">
        <v>534</v>
      </c>
    </row>
    <row r="532" spans="1:1" x14ac:dyDescent="0.25">
      <c r="A532" t="s">
        <v>535</v>
      </c>
    </row>
    <row r="533" spans="1:1" x14ac:dyDescent="0.25">
      <c r="A533" t="s">
        <v>536</v>
      </c>
    </row>
    <row r="534" spans="1:1" x14ac:dyDescent="0.25">
      <c r="A534" t="s">
        <v>537</v>
      </c>
    </row>
    <row r="535" spans="1:1" x14ac:dyDescent="0.25">
      <c r="A535" t="s">
        <v>538</v>
      </c>
    </row>
    <row r="536" spans="1:1" x14ac:dyDescent="0.25">
      <c r="A536" t="s">
        <v>539</v>
      </c>
    </row>
    <row r="537" spans="1:1" x14ac:dyDescent="0.25">
      <c r="A537" t="s">
        <v>540</v>
      </c>
    </row>
    <row r="538" spans="1:1" x14ac:dyDescent="0.25">
      <c r="A538" t="s">
        <v>541</v>
      </c>
    </row>
    <row r="539" spans="1:1" x14ac:dyDescent="0.25">
      <c r="A539" t="s">
        <v>542</v>
      </c>
    </row>
    <row r="540" spans="1:1" x14ac:dyDescent="0.25">
      <c r="A540" t="s">
        <v>543</v>
      </c>
    </row>
    <row r="541" spans="1:1" x14ac:dyDescent="0.25">
      <c r="A541" t="s">
        <v>544</v>
      </c>
    </row>
    <row r="542" spans="1:1" x14ac:dyDescent="0.25">
      <c r="A542" t="s">
        <v>545</v>
      </c>
    </row>
    <row r="543" spans="1:1" x14ac:dyDescent="0.25">
      <c r="A543" t="s">
        <v>546</v>
      </c>
    </row>
    <row r="544" spans="1:1" x14ac:dyDescent="0.25">
      <c r="A544" t="s">
        <v>547</v>
      </c>
    </row>
    <row r="545" spans="1:1" x14ac:dyDescent="0.25">
      <c r="A545" t="s">
        <v>548</v>
      </c>
    </row>
    <row r="546" spans="1:1" x14ac:dyDescent="0.25">
      <c r="A546" t="s">
        <v>549</v>
      </c>
    </row>
    <row r="547" spans="1:1" x14ac:dyDescent="0.25">
      <c r="A547" t="s">
        <v>550</v>
      </c>
    </row>
    <row r="548" spans="1:1" x14ac:dyDescent="0.25">
      <c r="A548" t="s">
        <v>551</v>
      </c>
    </row>
    <row r="549" spans="1:1" x14ac:dyDescent="0.25">
      <c r="A549" t="s">
        <v>552</v>
      </c>
    </row>
    <row r="550" spans="1:1" x14ac:dyDescent="0.25">
      <c r="A550" t="s">
        <v>553</v>
      </c>
    </row>
    <row r="551" spans="1:1" x14ac:dyDescent="0.25">
      <c r="A551" t="s">
        <v>554</v>
      </c>
    </row>
    <row r="552" spans="1:1" x14ac:dyDescent="0.25">
      <c r="A552" t="s">
        <v>555</v>
      </c>
    </row>
    <row r="553" spans="1:1" x14ac:dyDescent="0.25">
      <c r="A553" t="s">
        <v>556</v>
      </c>
    </row>
    <row r="554" spans="1:1" x14ac:dyDescent="0.25">
      <c r="A554" t="s">
        <v>557</v>
      </c>
    </row>
    <row r="555" spans="1:1" x14ac:dyDescent="0.25">
      <c r="A555" t="s">
        <v>558</v>
      </c>
    </row>
    <row r="556" spans="1:1" x14ac:dyDescent="0.25">
      <c r="A556" t="s">
        <v>559</v>
      </c>
    </row>
    <row r="557" spans="1:1" x14ac:dyDescent="0.25">
      <c r="A557" t="s">
        <v>560</v>
      </c>
    </row>
    <row r="558" spans="1:1" x14ac:dyDescent="0.25">
      <c r="A558" t="s">
        <v>561</v>
      </c>
    </row>
    <row r="559" spans="1:1" x14ac:dyDescent="0.25">
      <c r="A559" t="s">
        <v>562</v>
      </c>
    </row>
    <row r="560" spans="1:1" x14ac:dyDescent="0.25">
      <c r="A560" t="s">
        <v>563</v>
      </c>
    </row>
    <row r="561" spans="1:1" x14ac:dyDescent="0.25">
      <c r="A561" t="s">
        <v>564</v>
      </c>
    </row>
    <row r="562" spans="1:1" x14ac:dyDescent="0.25">
      <c r="A562" t="s">
        <v>565</v>
      </c>
    </row>
    <row r="563" spans="1:1" x14ac:dyDescent="0.25">
      <c r="A563" t="s">
        <v>566</v>
      </c>
    </row>
    <row r="564" spans="1:1" x14ac:dyDescent="0.25">
      <c r="A564" t="s">
        <v>567</v>
      </c>
    </row>
    <row r="565" spans="1:1" x14ac:dyDescent="0.25">
      <c r="A565" t="s">
        <v>568</v>
      </c>
    </row>
    <row r="566" spans="1:1" x14ac:dyDescent="0.25">
      <c r="A566" t="s">
        <v>569</v>
      </c>
    </row>
    <row r="567" spans="1:1" x14ac:dyDescent="0.25">
      <c r="A567" t="s">
        <v>570</v>
      </c>
    </row>
    <row r="568" spans="1:1" x14ac:dyDescent="0.25">
      <c r="A568" t="s">
        <v>571</v>
      </c>
    </row>
    <row r="569" spans="1:1" x14ac:dyDescent="0.25">
      <c r="A569" t="s">
        <v>572</v>
      </c>
    </row>
    <row r="570" spans="1:1" x14ac:dyDescent="0.25">
      <c r="A570" t="s">
        <v>573</v>
      </c>
    </row>
    <row r="571" spans="1:1" x14ac:dyDescent="0.25">
      <c r="A571" t="s">
        <v>574</v>
      </c>
    </row>
    <row r="572" spans="1:1" x14ac:dyDescent="0.25">
      <c r="A572" t="s">
        <v>575</v>
      </c>
    </row>
    <row r="573" spans="1:1" x14ac:dyDescent="0.25">
      <c r="A573" t="s">
        <v>576</v>
      </c>
    </row>
    <row r="574" spans="1:1" x14ac:dyDescent="0.25">
      <c r="A574" t="s">
        <v>577</v>
      </c>
    </row>
    <row r="575" spans="1:1" x14ac:dyDescent="0.25">
      <c r="A575" t="s">
        <v>578</v>
      </c>
    </row>
    <row r="576" spans="1:1" x14ac:dyDescent="0.25">
      <c r="A576" t="s">
        <v>579</v>
      </c>
    </row>
    <row r="577" spans="1:1" x14ac:dyDescent="0.25">
      <c r="A577" t="s">
        <v>580</v>
      </c>
    </row>
    <row r="578" spans="1:1" x14ac:dyDescent="0.25">
      <c r="A578" t="s">
        <v>581</v>
      </c>
    </row>
    <row r="579" spans="1:1" x14ac:dyDescent="0.25">
      <c r="A579" t="s">
        <v>582</v>
      </c>
    </row>
    <row r="580" spans="1:1" x14ac:dyDescent="0.25">
      <c r="A580" t="s">
        <v>583</v>
      </c>
    </row>
    <row r="581" spans="1:1" x14ac:dyDescent="0.25">
      <c r="A581" t="s">
        <v>584</v>
      </c>
    </row>
    <row r="582" spans="1:1" x14ac:dyDescent="0.25">
      <c r="A582" t="s">
        <v>585</v>
      </c>
    </row>
    <row r="583" spans="1:1" x14ac:dyDescent="0.25">
      <c r="A583" t="s">
        <v>586</v>
      </c>
    </row>
    <row r="584" spans="1:1" x14ac:dyDescent="0.25">
      <c r="A584" t="s">
        <v>587</v>
      </c>
    </row>
    <row r="585" spans="1:1" x14ac:dyDescent="0.25">
      <c r="A585" t="s">
        <v>588</v>
      </c>
    </row>
    <row r="586" spans="1:1" x14ac:dyDescent="0.25">
      <c r="A586" t="s">
        <v>589</v>
      </c>
    </row>
    <row r="587" spans="1:1" x14ac:dyDescent="0.25">
      <c r="A587" t="s">
        <v>590</v>
      </c>
    </row>
    <row r="588" spans="1:1" x14ac:dyDescent="0.25">
      <c r="A588" t="s">
        <v>591</v>
      </c>
    </row>
    <row r="589" spans="1:1" x14ac:dyDescent="0.25">
      <c r="A589" t="s">
        <v>592</v>
      </c>
    </row>
    <row r="590" spans="1:1" x14ac:dyDescent="0.25">
      <c r="A590" t="s">
        <v>593</v>
      </c>
    </row>
    <row r="591" spans="1:1" x14ac:dyDescent="0.25">
      <c r="A591" t="s">
        <v>594</v>
      </c>
    </row>
    <row r="592" spans="1:1" x14ac:dyDescent="0.25">
      <c r="A592" t="s">
        <v>595</v>
      </c>
    </row>
    <row r="593" spans="1:1" x14ac:dyDescent="0.25">
      <c r="A593" t="s">
        <v>596</v>
      </c>
    </row>
    <row r="594" spans="1:1" x14ac:dyDescent="0.25">
      <c r="A594" t="s">
        <v>597</v>
      </c>
    </row>
    <row r="595" spans="1:1" x14ac:dyDescent="0.25">
      <c r="A595" t="s">
        <v>598</v>
      </c>
    </row>
    <row r="596" spans="1:1" x14ac:dyDescent="0.25">
      <c r="A596" t="s">
        <v>599</v>
      </c>
    </row>
    <row r="597" spans="1:1" x14ac:dyDescent="0.25">
      <c r="A597" t="s">
        <v>600</v>
      </c>
    </row>
    <row r="598" spans="1:1" x14ac:dyDescent="0.25">
      <c r="A598" t="s">
        <v>601</v>
      </c>
    </row>
    <row r="599" spans="1:1" x14ac:dyDescent="0.25">
      <c r="A599" t="s">
        <v>602</v>
      </c>
    </row>
    <row r="600" spans="1:1" x14ac:dyDescent="0.25">
      <c r="A600" t="s">
        <v>603</v>
      </c>
    </row>
    <row r="601" spans="1:1" x14ac:dyDescent="0.25">
      <c r="A601" t="s">
        <v>604</v>
      </c>
    </row>
    <row r="602" spans="1:1" x14ac:dyDescent="0.25">
      <c r="A602" t="s">
        <v>605</v>
      </c>
    </row>
    <row r="603" spans="1:1" x14ac:dyDescent="0.25">
      <c r="A603" t="s">
        <v>606</v>
      </c>
    </row>
    <row r="604" spans="1:1" x14ac:dyDescent="0.25">
      <c r="A604" t="s">
        <v>607</v>
      </c>
    </row>
    <row r="605" spans="1:1" x14ac:dyDescent="0.25">
      <c r="A605" t="s">
        <v>608</v>
      </c>
    </row>
    <row r="606" spans="1:1" x14ac:dyDescent="0.25">
      <c r="A606" t="s">
        <v>609</v>
      </c>
    </row>
    <row r="607" spans="1:1" x14ac:dyDescent="0.25">
      <c r="A607" t="s">
        <v>610</v>
      </c>
    </row>
    <row r="608" spans="1:1" x14ac:dyDescent="0.25">
      <c r="A608" t="s">
        <v>611</v>
      </c>
    </row>
    <row r="609" spans="1:1" x14ac:dyDescent="0.25">
      <c r="A609" t="s">
        <v>612</v>
      </c>
    </row>
    <row r="610" spans="1:1" x14ac:dyDescent="0.25">
      <c r="A610" t="s">
        <v>613</v>
      </c>
    </row>
    <row r="611" spans="1:1" x14ac:dyDescent="0.25">
      <c r="A611" t="s">
        <v>614</v>
      </c>
    </row>
    <row r="612" spans="1:1" x14ac:dyDescent="0.25">
      <c r="A612" t="s">
        <v>615</v>
      </c>
    </row>
    <row r="613" spans="1:1" x14ac:dyDescent="0.25">
      <c r="A613" t="s">
        <v>616</v>
      </c>
    </row>
    <row r="614" spans="1:1" x14ac:dyDescent="0.25">
      <c r="A614" t="s">
        <v>617</v>
      </c>
    </row>
    <row r="615" spans="1:1" x14ac:dyDescent="0.25">
      <c r="A615" t="s">
        <v>618</v>
      </c>
    </row>
    <row r="616" spans="1:1" x14ac:dyDescent="0.25">
      <c r="A616" t="s">
        <v>619</v>
      </c>
    </row>
    <row r="617" spans="1:1" x14ac:dyDescent="0.25">
      <c r="A617" t="s">
        <v>620</v>
      </c>
    </row>
    <row r="618" spans="1:1" x14ac:dyDescent="0.25">
      <c r="A618" t="s">
        <v>621</v>
      </c>
    </row>
    <row r="619" spans="1:1" x14ac:dyDescent="0.25">
      <c r="A619" t="s">
        <v>622</v>
      </c>
    </row>
    <row r="620" spans="1:1" x14ac:dyDescent="0.25">
      <c r="A620" t="s">
        <v>623</v>
      </c>
    </row>
    <row r="621" spans="1:1" x14ac:dyDescent="0.25">
      <c r="A621" t="s">
        <v>624</v>
      </c>
    </row>
    <row r="622" spans="1:1" x14ac:dyDescent="0.25">
      <c r="A622" t="s">
        <v>625</v>
      </c>
    </row>
    <row r="623" spans="1:1" x14ac:dyDescent="0.25">
      <c r="A623" t="s">
        <v>626</v>
      </c>
    </row>
    <row r="624" spans="1:1" x14ac:dyDescent="0.25">
      <c r="A624" t="s">
        <v>627</v>
      </c>
    </row>
    <row r="625" spans="1:1" x14ac:dyDescent="0.25">
      <c r="A625" t="s">
        <v>628</v>
      </c>
    </row>
    <row r="626" spans="1:1" x14ac:dyDescent="0.25">
      <c r="A626" t="s">
        <v>629</v>
      </c>
    </row>
    <row r="627" spans="1:1" x14ac:dyDescent="0.25">
      <c r="A627" t="s">
        <v>630</v>
      </c>
    </row>
    <row r="628" spans="1:1" x14ac:dyDescent="0.25">
      <c r="A628" t="s">
        <v>631</v>
      </c>
    </row>
    <row r="629" spans="1:1" x14ac:dyDescent="0.25">
      <c r="A629" t="s">
        <v>632</v>
      </c>
    </row>
    <row r="630" spans="1:1" x14ac:dyDescent="0.25">
      <c r="A630" t="s">
        <v>633</v>
      </c>
    </row>
    <row r="631" spans="1:1" x14ac:dyDescent="0.25">
      <c r="A631" t="s">
        <v>634</v>
      </c>
    </row>
    <row r="632" spans="1:1" x14ac:dyDescent="0.25">
      <c r="A632" t="s">
        <v>635</v>
      </c>
    </row>
    <row r="633" spans="1:1" x14ac:dyDescent="0.25">
      <c r="A633" t="s">
        <v>636</v>
      </c>
    </row>
    <row r="634" spans="1:1" x14ac:dyDescent="0.25">
      <c r="A634" t="s">
        <v>637</v>
      </c>
    </row>
    <row r="635" spans="1:1" x14ac:dyDescent="0.25">
      <c r="A635" t="s">
        <v>638</v>
      </c>
    </row>
    <row r="636" spans="1:1" x14ac:dyDescent="0.25">
      <c r="A636" t="s">
        <v>639</v>
      </c>
    </row>
    <row r="637" spans="1:1" x14ac:dyDescent="0.25">
      <c r="A637" t="s">
        <v>640</v>
      </c>
    </row>
    <row r="638" spans="1:1" x14ac:dyDescent="0.25">
      <c r="A638" t="s">
        <v>641</v>
      </c>
    </row>
    <row r="639" spans="1:1" x14ac:dyDescent="0.25">
      <c r="A639" t="s">
        <v>642</v>
      </c>
    </row>
    <row r="640" spans="1:1" x14ac:dyDescent="0.25">
      <c r="A640" t="s">
        <v>643</v>
      </c>
    </row>
    <row r="641" spans="1:1" x14ac:dyDescent="0.25">
      <c r="A641" t="s">
        <v>644</v>
      </c>
    </row>
    <row r="642" spans="1:1" x14ac:dyDescent="0.25">
      <c r="A642" t="s">
        <v>645</v>
      </c>
    </row>
    <row r="643" spans="1:1" x14ac:dyDescent="0.25">
      <c r="A643" t="s">
        <v>646</v>
      </c>
    </row>
    <row r="644" spans="1:1" x14ac:dyDescent="0.25">
      <c r="A644" t="s">
        <v>647</v>
      </c>
    </row>
    <row r="645" spans="1:1" x14ac:dyDescent="0.25">
      <c r="A645" t="s">
        <v>648</v>
      </c>
    </row>
    <row r="646" spans="1:1" x14ac:dyDescent="0.25">
      <c r="A646" t="s">
        <v>649</v>
      </c>
    </row>
    <row r="647" spans="1:1" x14ac:dyDescent="0.25">
      <c r="A647" t="s">
        <v>650</v>
      </c>
    </row>
    <row r="648" spans="1:1" x14ac:dyDescent="0.25">
      <c r="A648" t="s">
        <v>651</v>
      </c>
    </row>
    <row r="649" spans="1:1" x14ac:dyDescent="0.25">
      <c r="A649" t="s">
        <v>652</v>
      </c>
    </row>
    <row r="650" spans="1:1" x14ac:dyDescent="0.25">
      <c r="A650" t="s">
        <v>653</v>
      </c>
    </row>
    <row r="651" spans="1:1" x14ac:dyDescent="0.25">
      <c r="A651" t="s">
        <v>654</v>
      </c>
    </row>
    <row r="652" spans="1:1" x14ac:dyDescent="0.25">
      <c r="A652" t="s">
        <v>655</v>
      </c>
    </row>
    <row r="653" spans="1:1" x14ac:dyDescent="0.25">
      <c r="A653" t="s">
        <v>656</v>
      </c>
    </row>
    <row r="654" spans="1:1" x14ac:dyDescent="0.25">
      <c r="A654" t="s">
        <v>657</v>
      </c>
    </row>
    <row r="655" spans="1:1" x14ac:dyDescent="0.25">
      <c r="A655" t="s">
        <v>658</v>
      </c>
    </row>
    <row r="656" spans="1:1" x14ac:dyDescent="0.25">
      <c r="A656" t="s">
        <v>659</v>
      </c>
    </row>
    <row r="657" spans="1:1" x14ac:dyDescent="0.25">
      <c r="A657" t="s">
        <v>660</v>
      </c>
    </row>
    <row r="658" spans="1:1" x14ac:dyDescent="0.25">
      <c r="A658" t="s">
        <v>661</v>
      </c>
    </row>
    <row r="659" spans="1:1" x14ac:dyDescent="0.25">
      <c r="A659" t="s">
        <v>662</v>
      </c>
    </row>
    <row r="660" spans="1:1" x14ac:dyDescent="0.25">
      <c r="A660" t="s">
        <v>663</v>
      </c>
    </row>
    <row r="661" spans="1:1" x14ac:dyDescent="0.25">
      <c r="A661" t="s">
        <v>664</v>
      </c>
    </row>
    <row r="662" spans="1:1" x14ac:dyDescent="0.25">
      <c r="A662" t="s">
        <v>665</v>
      </c>
    </row>
    <row r="663" spans="1:1" x14ac:dyDescent="0.25">
      <c r="A663" t="s">
        <v>666</v>
      </c>
    </row>
    <row r="664" spans="1:1" x14ac:dyDescent="0.25">
      <c r="A664" t="s">
        <v>667</v>
      </c>
    </row>
    <row r="665" spans="1:1" x14ac:dyDescent="0.25">
      <c r="A665" t="s">
        <v>668</v>
      </c>
    </row>
    <row r="666" spans="1:1" x14ac:dyDescent="0.25">
      <c r="A666" t="s">
        <v>669</v>
      </c>
    </row>
    <row r="667" spans="1:1" x14ac:dyDescent="0.25">
      <c r="A667" t="s">
        <v>670</v>
      </c>
    </row>
    <row r="668" spans="1:1" x14ac:dyDescent="0.25">
      <c r="A668" t="s">
        <v>671</v>
      </c>
    </row>
    <row r="669" spans="1:1" x14ac:dyDescent="0.25">
      <c r="A669" t="s">
        <v>672</v>
      </c>
    </row>
    <row r="670" spans="1:1" x14ac:dyDescent="0.25">
      <c r="A670" t="s">
        <v>673</v>
      </c>
    </row>
    <row r="671" spans="1:1" x14ac:dyDescent="0.25">
      <c r="A671" t="s">
        <v>674</v>
      </c>
    </row>
    <row r="672" spans="1:1" x14ac:dyDescent="0.25">
      <c r="A672" t="s">
        <v>675</v>
      </c>
    </row>
    <row r="673" spans="1:1" x14ac:dyDescent="0.25">
      <c r="A673" t="s">
        <v>676</v>
      </c>
    </row>
    <row r="674" spans="1:1" x14ac:dyDescent="0.25">
      <c r="A674" t="s">
        <v>677</v>
      </c>
    </row>
    <row r="675" spans="1:1" x14ac:dyDescent="0.25">
      <c r="A675" t="s">
        <v>678</v>
      </c>
    </row>
    <row r="676" spans="1:1" x14ac:dyDescent="0.25">
      <c r="A676" t="s">
        <v>679</v>
      </c>
    </row>
    <row r="677" spans="1:1" x14ac:dyDescent="0.25">
      <c r="A677" t="s">
        <v>680</v>
      </c>
    </row>
    <row r="678" spans="1:1" x14ac:dyDescent="0.25">
      <c r="A678" t="s">
        <v>681</v>
      </c>
    </row>
    <row r="679" spans="1:1" x14ac:dyDescent="0.25">
      <c r="A679" t="s">
        <v>682</v>
      </c>
    </row>
    <row r="680" spans="1:1" x14ac:dyDescent="0.25">
      <c r="A680" t="s">
        <v>683</v>
      </c>
    </row>
    <row r="681" spans="1:1" x14ac:dyDescent="0.25">
      <c r="A681" t="s">
        <v>684</v>
      </c>
    </row>
    <row r="682" spans="1:1" x14ac:dyDescent="0.25">
      <c r="A682" t="s">
        <v>685</v>
      </c>
    </row>
    <row r="683" spans="1:1" x14ac:dyDescent="0.25">
      <c r="A683" t="s">
        <v>686</v>
      </c>
    </row>
    <row r="684" spans="1:1" x14ac:dyDescent="0.25">
      <c r="A684" t="s">
        <v>687</v>
      </c>
    </row>
    <row r="685" spans="1:1" x14ac:dyDescent="0.25">
      <c r="A685" t="s">
        <v>688</v>
      </c>
    </row>
    <row r="686" spans="1:1" x14ac:dyDescent="0.25">
      <c r="A686" t="s">
        <v>689</v>
      </c>
    </row>
    <row r="687" spans="1:1" x14ac:dyDescent="0.25">
      <c r="A687" t="s">
        <v>690</v>
      </c>
    </row>
    <row r="688" spans="1:1" x14ac:dyDescent="0.25">
      <c r="A688" t="s">
        <v>691</v>
      </c>
    </row>
    <row r="689" spans="1:1" x14ac:dyDescent="0.25">
      <c r="A689" t="s">
        <v>692</v>
      </c>
    </row>
    <row r="690" spans="1:1" x14ac:dyDescent="0.25">
      <c r="A690" t="s">
        <v>693</v>
      </c>
    </row>
    <row r="691" spans="1:1" x14ac:dyDescent="0.25">
      <c r="A691" t="s">
        <v>694</v>
      </c>
    </row>
    <row r="692" spans="1:1" x14ac:dyDescent="0.25">
      <c r="A692" t="s">
        <v>695</v>
      </c>
    </row>
    <row r="693" spans="1:1" x14ac:dyDescent="0.25">
      <c r="A693" t="s">
        <v>696</v>
      </c>
    </row>
    <row r="694" spans="1:1" x14ac:dyDescent="0.25">
      <c r="A694" t="s">
        <v>697</v>
      </c>
    </row>
    <row r="695" spans="1:1" x14ac:dyDescent="0.25">
      <c r="A695" t="s">
        <v>698</v>
      </c>
    </row>
    <row r="696" spans="1:1" x14ac:dyDescent="0.25">
      <c r="A696" t="s">
        <v>699</v>
      </c>
    </row>
    <row r="697" spans="1:1" x14ac:dyDescent="0.25">
      <c r="A697" t="s">
        <v>700</v>
      </c>
    </row>
    <row r="698" spans="1:1" x14ac:dyDescent="0.25">
      <c r="A698" t="s">
        <v>701</v>
      </c>
    </row>
    <row r="699" spans="1:1" x14ac:dyDescent="0.25">
      <c r="A699" t="s">
        <v>702</v>
      </c>
    </row>
    <row r="700" spans="1:1" x14ac:dyDescent="0.25">
      <c r="A700" t="s">
        <v>703</v>
      </c>
    </row>
    <row r="701" spans="1:1" x14ac:dyDescent="0.25">
      <c r="A701" t="s">
        <v>704</v>
      </c>
    </row>
    <row r="702" spans="1:1" x14ac:dyDescent="0.25">
      <c r="A702" t="s">
        <v>705</v>
      </c>
    </row>
    <row r="703" spans="1:1" x14ac:dyDescent="0.25">
      <c r="A703" t="s">
        <v>706</v>
      </c>
    </row>
    <row r="704" spans="1:1" x14ac:dyDescent="0.25">
      <c r="A704" t="s">
        <v>707</v>
      </c>
    </row>
    <row r="705" spans="1:1" x14ac:dyDescent="0.25">
      <c r="A705" t="s">
        <v>708</v>
      </c>
    </row>
    <row r="706" spans="1:1" x14ac:dyDescent="0.25">
      <c r="A706" t="s">
        <v>709</v>
      </c>
    </row>
    <row r="707" spans="1:1" x14ac:dyDescent="0.25">
      <c r="A707" t="s">
        <v>710</v>
      </c>
    </row>
    <row r="708" spans="1:1" x14ac:dyDescent="0.25">
      <c r="A708" t="s">
        <v>711</v>
      </c>
    </row>
    <row r="709" spans="1:1" x14ac:dyDescent="0.25">
      <c r="A709" t="s">
        <v>712</v>
      </c>
    </row>
    <row r="710" spans="1:1" x14ac:dyDescent="0.25">
      <c r="A710" t="s">
        <v>713</v>
      </c>
    </row>
    <row r="711" spans="1:1" x14ac:dyDescent="0.25">
      <c r="A711" t="s">
        <v>714</v>
      </c>
    </row>
    <row r="712" spans="1:1" x14ac:dyDescent="0.25">
      <c r="A712" t="s">
        <v>715</v>
      </c>
    </row>
    <row r="713" spans="1:1" x14ac:dyDescent="0.25">
      <c r="A713" t="s">
        <v>716</v>
      </c>
    </row>
    <row r="714" spans="1:1" x14ac:dyDescent="0.25">
      <c r="A714" t="s">
        <v>717</v>
      </c>
    </row>
    <row r="715" spans="1:1" x14ac:dyDescent="0.25">
      <c r="A715" t="s">
        <v>718</v>
      </c>
    </row>
    <row r="716" spans="1:1" x14ac:dyDescent="0.25">
      <c r="A716" t="s">
        <v>719</v>
      </c>
    </row>
    <row r="717" spans="1:1" x14ac:dyDescent="0.25">
      <c r="A717" t="s">
        <v>720</v>
      </c>
    </row>
    <row r="718" spans="1:1" x14ac:dyDescent="0.25">
      <c r="A718" t="s">
        <v>721</v>
      </c>
    </row>
    <row r="719" spans="1:1" x14ac:dyDescent="0.25">
      <c r="A719" t="s">
        <v>722</v>
      </c>
    </row>
    <row r="720" spans="1:1" x14ac:dyDescent="0.25">
      <c r="A720" t="s">
        <v>723</v>
      </c>
    </row>
    <row r="721" spans="1:1" x14ac:dyDescent="0.25">
      <c r="A721" t="s">
        <v>724</v>
      </c>
    </row>
    <row r="722" spans="1:1" x14ac:dyDescent="0.25">
      <c r="A722" t="s">
        <v>725</v>
      </c>
    </row>
    <row r="723" spans="1:1" x14ac:dyDescent="0.25">
      <c r="A723" t="s">
        <v>726</v>
      </c>
    </row>
    <row r="724" spans="1:1" x14ac:dyDescent="0.25">
      <c r="A724" t="s">
        <v>727</v>
      </c>
    </row>
    <row r="725" spans="1:1" x14ac:dyDescent="0.25">
      <c r="A725" t="s">
        <v>728</v>
      </c>
    </row>
    <row r="726" spans="1:1" x14ac:dyDescent="0.25">
      <c r="A726" t="s">
        <v>729</v>
      </c>
    </row>
    <row r="727" spans="1:1" x14ac:dyDescent="0.25">
      <c r="A727" t="s">
        <v>730</v>
      </c>
    </row>
    <row r="728" spans="1:1" x14ac:dyDescent="0.25">
      <c r="A728" t="s">
        <v>731</v>
      </c>
    </row>
    <row r="729" spans="1:1" x14ac:dyDescent="0.25">
      <c r="A729" t="s">
        <v>732</v>
      </c>
    </row>
    <row r="730" spans="1:1" x14ac:dyDescent="0.25">
      <c r="A730" t="s">
        <v>733</v>
      </c>
    </row>
    <row r="731" spans="1:1" x14ac:dyDescent="0.25">
      <c r="A731" t="s">
        <v>734</v>
      </c>
    </row>
    <row r="732" spans="1:1" x14ac:dyDescent="0.25">
      <c r="A732" t="s">
        <v>735</v>
      </c>
    </row>
    <row r="733" spans="1:1" x14ac:dyDescent="0.25">
      <c r="A733" t="s">
        <v>736</v>
      </c>
    </row>
    <row r="734" spans="1:1" x14ac:dyDescent="0.25">
      <c r="A734" t="s">
        <v>737</v>
      </c>
    </row>
    <row r="735" spans="1:1" x14ac:dyDescent="0.25">
      <c r="A735" t="s">
        <v>738</v>
      </c>
    </row>
    <row r="736" spans="1:1" x14ac:dyDescent="0.25">
      <c r="A736" t="s">
        <v>739</v>
      </c>
    </row>
    <row r="737" spans="1:1" x14ac:dyDescent="0.25">
      <c r="A737" t="s">
        <v>740</v>
      </c>
    </row>
    <row r="738" spans="1:1" x14ac:dyDescent="0.25">
      <c r="A738" t="s">
        <v>741</v>
      </c>
    </row>
    <row r="739" spans="1:1" x14ac:dyDescent="0.25">
      <c r="A739" t="s">
        <v>742</v>
      </c>
    </row>
    <row r="740" spans="1:1" x14ac:dyDescent="0.25">
      <c r="A740" t="s">
        <v>743</v>
      </c>
    </row>
    <row r="741" spans="1:1" x14ac:dyDescent="0.25">
      <c r="A741" t="s">
        <v>744</v>
      </c>
    </row>
    <row r="742" spans="1:1" x14ac:dyDescent="0.25">
      <c r="A742" t="s">
        <v>745</v>
      </c>
    </row>
    <row r="743" spans="1:1" x14ac:dyDescent="0.25">
      <c r="A743" t="s">
        <v>746</v>
      </c>
    </row>
    <row r="744" spans="1:1" x14ac:dyDescent="0.25">
      <c r="A744" t="s">
        <v>747</v>
      </c>
    </row>
    <row r="745" spans="1:1" x14ac:dyDescent="0.25">
      <c r="A745" t="s">
        <v>748</v>
      </c>
    </row>
    <row r="746" spans="1:1" x14ac:dyDescent="0.25">
      <c r="A746" t="s">
        <v>749</v>
      </c>
    </row>
    <row r="747" spans="1:1" x14ac:dyDescent="0.25">
      <c r="A747" t="s">
        <v>750</v>
      </c>
    </row>
    <row r="748" spans="1:1" x14ac:dyDescent="0.25">
      <c r="A748" t="s">
        <v>751</v>
      </c>
    </row>
    <row r="749" spans="1:1" x14ac:dyDescent="0.25">
      <c r="A749" t="s">
        <v>752</v>
      </c>
    </row>
    <row r="750" spans="1:1" x14ac:dyDescent="0.25">
      <c r="A750" t="s">
        <v>753</v>
      </c>
    </row>
    <row r="751" spans="1:1" x14ac:dyDescent="0.25">
      <c r="A751" t="s">
        <v>754</v>
      </c>
    </row>
    <row r="752" spans="1:1" x14ac:dyDescent="0.25">
      <c r="A752" t="s">
        <v>755</v>
      </c>
    </row>
    <row r="753" spans="1:1" x14ac:dyDescent="0.25">
      <c r="A753" t="s">
        <v>756</v>
      </c>
    </row>
    <row r="754" spans="1:1" x14ac:dyDescent="0.25">
      <c r="A754" t="s">
        <v>757</v>
      </c>
    </row>
    <row r="755" spans="1:1" x14ac:dyDescent="0.25">
      <c r="A755" t="s">
        <v>758</v>
      </c>
    </row>
    <row r="756" spans="1:1" x14ac:dyDescent="0.25">
      <c r="A756" t="s">
        <v>759</v>
      </c>
    </row>
    <row r="757" spans="1:1" x14ac:dyDescent="0.25">
      <c r="A757" t="s">
        <v>760</v>
      </c>
    </row>
    <row r="758" spans="1:1" x14ac:dyDescent="0.25">
      <c r="A758" t="s">
        <v>761</v>
      </c>
    </row>
    <row r="759" spans="1:1" x14ac:dyDescent="0.25">
      <c r="A759" t="s">
        <v>762</v>
      </c>
    </row>
    <row r="760" spans="1:1" x14ac:dyDescent="0.25">
      <c r="A760" t="s">
        <v>763</v>
      </c>
    </row>
    <row r="761" spans="1:1" x14ac:dyDescent="0.25">
      <c r="A761" t="s">
        <v>764</v>
      </c>
    </row>
    <row r="762" spans="1:1" x14ac:dyDescent="0.25">
      <c r="A762" t="s">
        <v>765</v>
      </c>
    </row>
    <row r="763" spans="1:1" x14ac:dyDescent="0.25">
      <c r="A763" t="s">
        <v>766</v>
      </c>
    </row>
    <row r="764" spans="1:1" x14ac:dyDescent="0.25">
      <c r="A764" t="s">
        <v>767</v>
      </c>
    </row>
    <row r="765" spans="1:1" x14ac:dyDescent="0.25">
      <c r="A765" t="s">
        <v>768</v>
      </c>
    </row>
    <row r="766" spans="1:1" x14ac:dyDescent="0.25">
      <c r="A766" t="s">
        <v>769</v>
      </c>
    </row>
    <row r="767" spans="1:1" x14ac:dyDescent="0.25">
      <c r="A767" t="s">
        <v>770</v>
      </c>
    </row>
    <row r="768" spans="1:1" x14ac:dyDescent="0.25">
      <c r="A768" t="s">
        <v>771</v>
      </c>
    </row>
    <row r="769" spans="1:1" x14ac:dyDescent="0.25">
      <c r="A769" t="s">
        <v>772</v>
      </c>
    </row>
    <row r="770" spans="1:1" x14ac:dyDescent="0.25">
      <c r="A770" t="s">
        <v>773</v>
      </c>
    </row>
    <row r="771" spans="1:1" x14ac:dyDescent="0.25">
      <c r="A771" t="s">
        <v>774</v>
      </c>
    </row>
    <row r="772" spans="1:1" x14ac:dyDescent="0.25">
      <c r="A772" t="s">
        <v>775</v>
      </c>
    </row>
    <row r="773" spans="1:1" x14ac:dyDescent="0.25">
      <c r="A773" t="s">
        <v>776</v>
      </c>
    </row>
    <row r="774" spans="1:1" x14ac:dyDescent="0.25">
      <c r="A774" t="s">
        <v>777</v>
      </c>
    </row>
    <row r="775" spans="1:1" x14ac:dyDescent="0.25">
      <c r="A775" t="s">
        <v>778</v>
      </c>
    </row>
    <row r="776" spans="1:1" x14ac:dyDescent="0.25">
      <c r="A776" t="s">
        <v>779</v>
      </c>
    </row>
    <row r="777" spans="1:1" x14ac:dyDescent="0.25">
      <c r="A777" t="s">
        <v>780</v>
      </c>
    </row>
    <row r="778" spans="1:1" x14ac:dyDescent="0.25">
      <c r="A778" t="s">
        <v>781</v>
      </c>
    </row>
    <row r="779" spans="1:1" x14ac:dyDescent="0.25">
      <c r="A779" t="s">
        <v>782</v>
      </c>
    </row>
    <row r="780" spans="1:1" x14ac:dyDescent="0.25">
      <c r="A780" t="s">
        <v>783</v>
      </c>
    </row>
    <row r="781" spans="1:1" x14ac:dyDescent="0.25">
      <c r="A781" t="s">
        <v>784</v>
      </c>
    </row>
    <row r="782" spans="1:1" x14ac:dyDescent="0.25">
      <c r="A782" t="s">
        <v>785</v>
      </c>
    </row>
    <row r="783" spans="1:1" x14ac:dyDescent="0.25">
      <c r="A783" t="s">
        <v>786</v>
      </c>
    </row>
    <row r="784" spans="1:1" x14ac:dyDescent="0.25">
      <c r="A784" t="s">
        <v>787</v>
      </c>
    </row>
    <row r="785" spans="1:1" x14ac:dyDescent="0.25">
      <c r="A785" t="s">
        <v>788</v>
      </c>
    </row>
    <row r="786" spans="1:1" x14ac:dyDescent="0.25">
      <c r="A786" t="s">
        <v>789</v>
      </c>
    </row>
    <row r="787" spans="1:1" x14ac:dyDescent="0.25">
      <c r="A787" t="s">
        <v>790</v>
      </c>
    </row>
    <row r="788" spans="1:1" x14ac:dyDescent="0.25">
      <c r="A788" t="s">
        <v>791</v>
      </c>
    </row>
    <row r="789" spans="1:1" x14ac:dyDescent="0.25">
      <c r="A789" t="s">
        <v>792</v>
      </c>
    </row>
    <row r="790" spans="1:1" x14ac:dyDescent="0.25">
      <c r="A790" t="s">
        <v>793</v>
      </c>
    </row>
    <row r="791" spans="1:1" x14ac:dyDescent="0.25">
      <c r="A791" t="s">
        <v>794</v>
      </c>
    </row>
    <row r="792" spans="1:1" x14ac:dyDescent="0.25">
      <c r="A792" t="s">
        <v>795</v>
      </c>
    </row>
    <row r="793" spans="1:1" x14ac:dyDescent="0.25">
      <c r="A793" t="s">
        <v>796</v>
      </c>
    </row>
    <row r="794" spans="1:1" x14ac:dyDescent="0.25">
      <c r="A794" t="s">
        <v>797</v>
      </c>
    </row>
    <row r="795" spans="1:1" x14ac:dyDescent="0.25">
      <c r="A795" t="s">
        <v>798</v>
      </c>
    </row>
    <row r="796" spans="1:1" x14ac:dyDescent="0.25">
      <c r="A796" t="s">
        <v>799</v>
      </c>
    </row>
    <row r="797" spans="1:1" x14ac:dyDescent="0.25">
      <c r="A797" t="s">
        <v>800</v>
      </c>
    </row>
    <row r="798" spans="1:1" x14ac:dyDescent="0.25">
      <c r="A798" t="s">
        <v>801</v>
      </c>
    </row>
    <row r="799" spans="1:1" x14ac:dyDescent="0.25">
      <c r="A799" t="s">
        <v>802</v>
      </c>
    </row>
    <row r="800" spans="1:1" x14ac:dyDescent="0.25">
      <c r="A800" t="s">
        <v>803</v>
      </c>
    </row>
    <row r="801" spans="1:1" x14ac:dyDescent="0.25">
      <c r="A801" t="s">
        <v>804</v>
      </c>
    </row>
    <row r="802" spans="1:1" x14ac:dyDescent="0.25">
      <c r="A802" t="s">
        <v>805</v>
      </c>
    </row>
    <row r="803" spans="1:1" x14ac:dyDescent="0.25">
      <c r="A803" t="s">
        <v>806</v>
      </c>
    </row>
    <row r="804" spans="1:1" x14ac:dyDescent="0.25">
      <c r="A804" t="s">
        <v>807</v>
      </c>
    </row>
    <row r="805" spans="1:1" x14ac:dyDescent="0.25">
      <c r="A805" t="s">
        <v>808</v>
      </c>
    </row>
    <row r="806" spans="1:1" x14ac:dyDescent="0.25">
      <c r="A806" t="s">
        <v>809</v>
      </c>
    </row>
    <row r="807" spans="1:1" x14ac:dyDescent="0.25">
      <c r="A807" t="s">
        <v>810</v>
      </c>
    </row>
    <row r="808" spans="1:1" x14ac:dyDescent="0.25">
      <c r="A808" t="s">
        <v>811</v>
      </c>
    </row>
    <row r="809" spans="1:1" x14ac:dyDescent="0.25">
      <c r="A809" t="s">
        <v>812</v>
      </c>
    </row>
    <row r="810" spans="1:1" x14ac:dyDescent="0.25">
      <c r="A810" t="s">
        <v>813</v>
      </c>
    </row>
    <row r="811" spans="1:1" x14ac:dyDescent="0.25">
      <c r="A811" t="s">
        <v>814</v>
      </c>
    </row>
    <row r="812" spans="1:1" x14ac:dyDescent="0.25">
      <c r="A812" t="s">
        <v>815</v>
      </c>
    </row>
    <row r="813" spans="1:1" x14ac:dyDescent="0.25">
      <c r="A813" t="s">
        <v>816</v>
      </c>
    </row>
    <row r="814" spans="1:1" x14ac:dyDescent="0.25">
      <c r="A814" t="s">
        <v>817</v>
      </c>
    </row>
    <row r="815" spans="1:1" x14ac:dyDescent="0.25">
      <c r="A815" t="s">
        <v>818</v>
      </c>
    </row>
    <row r="816" spans="1:1" x14ac:dyDescent="0.25">
      <c r="A816" t="s">
        <v>819</v>
      </c>
    </row>
    <row r="817" spans="1:1" x14ac:dyDescent="0.25">
      <c r="A817" t="s">
        <v>820</v>
      </c>
    </row>
    <row r="818" spans="1:1" x14ac:dyDescent="0.25">
      <c r="A818" t="s">
        <v>821</v>
      </c>
    </row>
    <row r="819" spans="1:1" x14ac:dyDescent="0.25">
      <c r="A819" t="s">
        <v>822</v>
      </c>
    </row>
    <row r="820" spans="1:1" x14ac:dyDescent="0.25">
      <c r="A820" t="s">
        <v>823</v>
      </c>
    </row>
    <row r="821" spans="1:1" x14ac:dyDescent="0.25">
      <c r="A821" t="s">
        <v>824</v>
      </c>
    </row>
    <row r="822" spans="1:1" x14ac:dyDescent="0.25">
      <c r="A822" t="s">
        <v>825</v>
      </c>
    </row>
    <row r="823" spans="1:1" x14ac:dyDescent="0.25">
      <c r="A823" t="s">
        <v>826</v>
      </c>
    </row>
    <row r="824" spans="1:1" x14ac:dyDescent="0.25">
      <c r="A824" t="s">
        <v>827</v>
      </c>
    </row>
    <row r="825" spans="1:1" x14ac:dyDescent="0.25">
      <c r="A825" t="s">
        <v>828</v>
      </c>
    </row>
    <row r="826" spans="1:1" x14ac:dyDescent="0.25">
      <c r="A826" t="s">
        <v>829</v>
      </c>
    </row>
    <row r="827" spans="1:1" x14ac:dyDescent="0.25">
      <c r="A827" t="s">
        <v>830</v>
      </c>
    </row>
    <row r="828" spans="1:1" x14ac:dyDescent="0.25">
      <c r="A828" t="s">
        <v>831</v>
      </c>
    </row>
    <row r="829" spans="1:1" x14ac:dyDescent="0.25">
      <c r="A829" t="s">
        <v>832</v>
      </c>
    </row>
    <row r="830" spans="1:1" x14ac:dyDescent="0.25">
      <c r="A830" t="s">
        <v>833</v>
      </c>
    </row>
    <row r="831" spans="1:1" x14ac:dyDescent="0.25">
      <c r="A831" t="s">
        <v>834</v>
      </c>
    </row>
    <row r="832" spans="1:1" x14ac:dyDescent="0.25">
      <c r="A832" t="s">
        <v>835</v>
      </c>
    </row>
    <row r="833" spans="1:1" x14ac:dyDescent="0.25">
      <c r="A833" t="s">
        <v>836</v>
      </c>
    </row>
    <row r="834" spans="1:1" x14ac:dyDescent="0.25">
      <c r="A834" t="s">
        <v>837</v>
      </c>
    </row>
    <row r="835" spans="1:1" x14ac:dyDescent="0.25">
      <c r="A835" t="s">
        <v>838</v>
      </c>
    </row>
    <row r="836" spans="1:1" x14ac:dyDescent="0.25">
      <c r="A836" t="s">
        <v>839</v>
      </c>
    </row>
    <row r="837" spans="1:1" x14ac:dyDescent="0.25">
      <c r="A837" t="s">
        <v>840</v>
      </c>
    </row>
    <row r="838" spans="1:1" x14ac:dyDescent="0.25">
      <c r="A838" t="s">
        <v>841</v>
      </c>
    </row>
    <row r="839" spans="1:1" x14ac:dyDescent="0.25">
      <c r="A839" t="s">
        <v>842</v>
      </c>
    </row>
    <row r="840" spans="1:1" x14ac:dyDescent="0.25">
      <c r="A840" t="s">
        <v>843</v>
      </c>
    </row>
    <row r="841" spans="1:1" x14ac:dyDescent="0.25">
      <c r="A841" t="s">
        <v>844</v>
      </c>
    </row>
    <row r="842" spans="1:1" x14ac:dyDescent="0.25">
      <c r="A842" t="s">
        <v>845</v>
      </c>
    </row>
    <row r="843" spans="1:1" x14ac:dyDescent="0.25">
      <c r="A843" t="s">
        <v>846</v>
      </c>
    </row>
    <row r="844" spans="1:1" x14ac:dyDescent="0.25">
      <c r="A844" t="s">
        <v>847</v>
      </c>
    </row>
    <row r="845" spans="1:1" x14ac:dyDescent="0.25">
      <c r="A845" t="s">
        <v>848</v>
      </c>
    </row>
    <row r="846" spans="1:1" x14ac:dyDescent="0.25">
      <c r="A846" t="s">
        <v>849</v>
      </c>
    </row>
    <row r="847" spans="1:1" x14ac:dyDescent="0.25">
      <c r="A847" t="s">
        <v>850</v>
      </c>
    </row>
    <row r="848" spans="1:1" x14ac:dyDescent="0.25">
      <c r="A848" t="s">
        <v>851</v>
      </c>
    </row>
    <row r="849" spans="1:1" x14ac:dyDescent="0.25">
      <c r="A849" t="s">
        <v>852</v>
      </c>
    </row>
    <row r="850" spans="1:1" x14ac:dyDescent="0.25">
      <c r="A850" t="s">
        <v>853</v>
      </c>
    </row>
    <row r="851" spans="1:1" x14ac:dyDescent="0.25">
      <c r="A851" t="s">
        <v>854</v>
      </c>
    </row>
    <row r="852" spans="1:1" x14ac:dyDescent="0.25">
      <c r="A852" t="s">
        <v>855</v>
      </c>
    </row>
    <row r="853" spans="1:1" x14ac:dyDescent="0.25">
      <c r="A853" t="s">
        <v>856</v>
      </c>
    </row>
    <row r="854" spans="1:1" x14ac:dyDescent="0.25">
      <c r="A854" t="s">
        <v>857</v>
      </c>
    </row>
    <row r="855" spans="1:1" x14ac:dyDescent="0.25">
      <c r="A855" t="s">
        <v>858</v>
      </c>
    </row>
    <row r="856" spans="1:1" x14ac:dyDescent="0.25">
      <c r="A856" t="s">
        <v>859</v>
      </c>
    </row>
    <row r="857" spans="1:1" x14ac:dyDescent="0.25">
      <c r="A857" t="s">
        <v>860</v>
      </c>
    </row>
    <row r="858" spans="1:1" x14ac:dyDescent="0.25">
      <c r="A858" t="s">
        <v>861</v>
      </c>
    </row>
    <row r="859" spans="1:1" x14ac:dyDescent="0.25">
      <c r="A859" t="s">
        <v>862</v>
      </c>
    </row>
    <row r="860" spans="1:1" x14ac:dyDescent="0.25">
      <c r="A860" t="s">
        <v>863</v>
      </c>
    </row>
    <row r="861" spans="1:1" x14ac:dyDescent="0.25">
      <c r="A861" t="s">
        <v>864</v>
      </c>
    </row>
    <row r="862" spans="1:1" x14ac:dyDescent="0.25">
      <c r="A862" t="s">
        <v>865</v>
      </c>
    </row>
    <row r="863" spans="1:1" x14ac:dyDescent="0.25">
      <c r="A863" t="s">
        <v>866</v>
      </c>
    </row>
    <row r="864" spans="1:1" x14ac:dyDescent="0.25">
      <c r="A864" t="s">
        <v>867</v>
      </c>
    </row>
    <row r="865" spans="1:1" x14ac:dyDescent="0.25">
      <c r="A865" t="s">
        <v>868</v>
      </c>
    </row>
    <row r="866" spans="1:1" x14ac:dyDescent="0.25">
      <c r="A866" t="s">
        <v>869</v>
      </c>
    </row>
    <row r="867" spans="1:1" x14ac:dyDescent="0.25">
      <c r="A867" t="s">
        <v>870</v>
      </c>
    </row>
    <row r="868" spans="1:1" x14ac:dyDescent="0.25">
      <c r="A868" t="s">
        <v>871</v>
      </c>
    </row>
    <row r="869" spans="1:1" x14ac:dyDescent="0.25">
      <c r="A869" t="s">
        <v>872</v>
      </c>
    </row>
    <row r="870" spans="1:1" x14ac:dyDescent="0.25">
      <c r="A870" t="s">
        <v>873</v>
      </c>
    </row>
    <row r="871" spans="1:1" x14ac:dyDescent="0.25">
      <c r="A871" t="s">
        <v>874</v>
      </c>
    </row>
    <row r="872" spans="1:1" x14ac:dyDescent="0.25">
      <c r="A872" t="s">
        <v>875</v>
      </c>
    </row>
    <row r="873" spans="1:1" x14ac:dyDescent="0.25">
      <c r="A873" t="s">
        <v>876</v>
      </c>
    </row>
    <row r="874" spans="1:1" x14ac:dyDescent="0.25">
      <c r="A874" t="s">
        <v>877</v>
      </c>
    </row>
    <row r="875" spans="1:1" x14ac:dyDescent="0.25">
      <c r="A875" t="s">
        <v>878</v>
      </c>
    </row>
    <row r="876" spans="1:1" x14ac:dyDescent="0.25">
      <c r="A876" t="s">
        <v>879</v>
      </c>
    </row>
    <row r="877" spans="1:1" x14ac:dyDescent="0.25">
      <c r="A877" t="s">
        <v>880</v>
      </c>
    </row>
    <row r="878" spans="1:1" x14ac:dyDescent="0.25">
      <c r="A878" t="s">
        <v>881</v>
      </c>
    </row>
    <row r="879" spans="1:1" x14ac:dyDescent="0.25">
      <c r="A879" t="s">
        <v>882</v>
      </c>
    </row>
    <row r="880" spans="1:1" x14ac:dyDescent="0.25">
      <c r="A880" t="s">
        <v>883</v>
      </c>
    </row>
    <row r="881" spans="1:1" x14ac:dyDescent="0.25">
      <c r="A881" t="s">
        <v>884</v>
      </c>
    </row>
    <row r="882" spans="1:1" x14ac:dyDescent="0.25">
      <c r="A882" t="s">
        <v>885</v>
      </c>
    </row>
    <row r="883" spans="1:1" x14ac:dyDescent="0.25">
      <c r="A883" t="s">
        <v>886</v>
      </c>
    </row>
    <row r="884" spans="1:1" x14ac:dyDescent="0.25">
      <c r="A884" t="s">
        <v>887</v>
      </c>
    </row>
    <row r="885" spans="1:1" x14ac:dyDescent="0.25">
      <c r="A885" t="s">
        <v>888</v>
      </c>
    </row>
    <row r="886" spans="1:1" x14ac:dyDescent="0.25">
      <c r="A886" t="s">
        <v>889</v>
      </c>
    </row>
    <row r="887" spans="1:1" x14ac:dyDescent="0.25">
      <c r="A887" t="s">
        <v>890</v>
      </c>
    </row>
    <row r="888" spans="1:1" x14ac:dyDescent="0.25">
      <c r="A888" t="s">
        <v>891</v>
      </c>
    </row>
    <row r="889" spans="1:1" x14ac:dyDescent="0.25">
      <c r="A889" t="s">
        <v>892</v>
      </c>
    </row>
    <row r="890" spans="1:1" x14ac:dyDescent="0.25">
      <c r="A890" t="s">
        <v>893</v>
      </c>
    </row>
    <row r="891" spans="1:1" x14ac:dyDescent="0.25">
      <c r="A891" t="s">
        <v>894</v>
      </c>
    </row>
    <row r="892" spans="1:1" x14ac:dyDescent="0.25">
      <c r="A892" t="s">
        <v>895</v>
      </c>
    </row>
    <row r="893" spans="1:1" x14ac:dyDescent="0.25">
      <c r="A893" t="s">
        <v>896</v>
      </c>
    </row>
    <row r="894" spans="1:1" x14ac:dyDescent="0.25">
      <c r="A894" t="s">
        <v>897</v>
      </c>
    </row>
    <row r="895" spans="1:1" x14ac:dyDescent="0.25">
      <c r="A895" t="s">
        <v>898</v>
      </c>
    </row>
    <row r="896" spans="1:1" x14ac:dyDescent="0.25">
      <c r="A896" t="s">
        <v>899</v>
      </c>
    </row>
    <row r="897" spans="1:1" x14ac:dyDescent="0.25">
      <c r="A897" t="s">
        <v>900</v>
      </c>
    </row>
    <row r="898" spans="1:1" x14ac:dyDescent="0.25">
      <c r="A898" t="s">
        <v>901</v>
      </c>
    </row>
    <row r="899" spans="1:1" x14ac:dyDescent="0.25">
      <c r="A899" t="s">
        <v>902</v>
      </c>
    </row>
    <row r="900" spans="1:1" x14ac:dyDescent="0.25">
      <c r="A900" t="s">
        <v>903</v>
      </c>
    </row>
    <row r="901" spans="1:1" x14ac:dyDescent="0.25">
      <c r="A901" t="s">
        <v>904</v>
      </c>
    </row>
    <row r="902" spans="1:1" x14ac:dyDescent="0.25">
      <c r="A902" t="s">
        <v>905</v>
      </c>
    </row>
    <row r="903" spans="1:1" x14ac:dyDescent="0.25">
      <c r="A903" t="s">
        <v>906</v>
      </c>
    </row>
    <row r="904" spans="1:1" x14ac:dyDescent="0.25">
      <c r="A904" t="s">
        <v>907</v>
      </c>
    </row>
    <row r="905" spans="1:1" x14ac:dyDescent="0.25">
      <c r="A905" t="s">
        <v>908</v>
      </c>
    </row>
    <row r="906" spans="1:1" x14ac:dyDescent="0.25">
      <c r="A906" t="s">
        <v>909</v>
      </c>
    </row>
    <row r="907" spans="1:1" x14ac:dyDescent="0.25">
      <c r="A907" t="s">
        <v>910</v>
      </c>
    </row>
    <row r="908" spans="1:1" x14ac:dyDescent="0.25">
      <c r="A908" t="s">
        <v>911</v>
      </c>
    </row>
    <row r="909" spans="1:1" x14ac:dyDescent="0.25">
      <c r="A909" t="s">
        <v>912</v>
      </c>
    </row>
    <row r="910" spans="1:1" x14ac:dyDescent="0.25">
      <c r="A910" t="s">
        <v>913</v>
      </c>
    </row>
    <row r="911" spans="1:1" x14ac:dyDescent="0.25">
      <c r="A911" t="s">
        <v>914</v>
      </c>
    </row>
    <row r="912" spans="1:1" x14ac:dyDescent="0.25">
      <c r="A912" t="s">
        <v>915</v>
      </c>
    </row>
    <row r="913" spans="1:1" x14ac:dyDescent="0.25">
      <c r="A913" t="s">
        <v>916</v>
      </c>
    </row>
    <row r="914" spans="1:1" x14ac:dyDescent="0.25">
      <c r="A914" t="s">
        <v>917</v>
      </c>
    </row>
    <row r="915" spans="1:1" x14ac:dyDescent="0.25">
      <c r="A915" t="s">
        <v>918</v>
      </c>
    </row>
    <row r="916" spans="1:1" x14ac:dyDescent="0.25">
      <c r="A916" t="s">
        <v>919</v>
      </c>
    </row>
    <row r="917" spans="1:1" x14ac:dyDescent="0.25">
      <c r="A917" t="s">
        <v>920</v>
      </c>
    </row>
    <row r="918" spans="1:1" x14ac:dyDescent="0.25">
      <c r="A918" t="s">
        <v>921</v>
      </c>
    </row>
    <row r="919" spans="1:1" x14ac:dyDescent="0.25">
      <c r="A919" t="s">
        <v>922</v>
      </c>
    </row>
    <row r="920" spans="1:1" x14ac:dyDescent="0.25">
      <c r="A920" t="s">
        <v>923</v>
      </c>
    </row>
    <row r="921" spans="1:1" x14ac:dyDescent="0.25">
      <c r="A921" t="s">
        <v>924</v>
      </c>
    </row>
    <row r="922" spans="1:1" x14ac:dyDescent="0.25">
      <c r="A922" t="s">
        <v>925</v>
      </c>
    </row>
    <row r="923" spans="1:1" x14ac:dyDescent="0.25">
      <c r="A923" t="s">
        <v>926</v>
      </c>
    </row>
    <row r="924" spans="1:1" x14ac:dyDescent="0.25">
      <c r="A924" t="s">
        <v>927</v>
      </c>
    </row>
    <row r="925" spans="1:1" x14ac:dyDescent="0.25">
      <c r="A925" t="s">
        <v>928</v>
      </c>
    </row>
    <row r="926" spans="1:1" x14ac:dyDescent="0.25">
      <c r="A926" t="s">
        <v>929</v>
      </c>
    </row>
    <row r="927" spans="1:1" x14ac:dyDescent="0.25">
      <c r="A927" t="s">
        <v>930</v>
      </c>
    </row>
    <row r="928" spans="1:1" x14ac:dyDescent="0.25">
      <c r="A928" t="s">
        <v>931</v>
      </c>
    </row>
    <row r="929" spans="1:1" x14ac:dyDescent="0.25">
      <c r="A929" t="s">
        <v>932</v>
      </c>
    </row>
    <row r="930" spans="1:1" x14ac:dyDescent="0.25">
      <c r="A930" t="s">
        <v>933</v>
      </c>
    </row>
    <row r="931" spans="1:1" x14ac:dyDescent="0.25">
      <c r="A931" t="s">
        <v>934</v>
      </c>
    </row>
    <row r="932" spans="1:1" x14ac:dyDescent="0.25">
      <c r="A932" t="s">
        <v>935</v>
      </c>
    </row>
    <row r="933" spans="1:1" x14ac:dyDescent="0.25">
      <c r="A933" t="s">
        <v>936</v>
      </c>
    </row>
    <row r="934" spans="1:1" x14ac:dyDescent="0.25">
      <c r="A934" t="s">
        <v>937</v>
      </c>
    </row>
    <row r="935" spans="1:1" x14ac:dyDescent="0.25">
      <c r="A935" t="s">
        <v>938</v>
      </c>
    </row>
    <row r="936" spans="1:1" x14ac:dyDescent="0.25">
      <c r="A936" t="s">
        <v>939</v>
      </c>
    </row>
    <row r="937" spans="1:1" x14ac:dyDescent="0.25">
      <c r="A937" t="s">
        <v>940</v>
      </c>
    </row>
    <row r="938" spans="1:1" x14ac:dyDescent="0.25">
      <c r="A938" t="s">
        <v>941</v>
      </c>
    </row>
    <row r="939" spans="1:1" x14ac:dyDescent="0.25">
      <c r="A939" t="s">
        <v>942</v>
      </c>
    </row>
    <row r="940" spans="1:1" x14ac:dyDescent="0.25">
      <c r="A940" t="s">
        <v>943</v>
      </c>
    </row>
    <row r="941" spans="1:1" x14ac:dyDescent="0.25">
      <c r="A941" t="s">
        <v>944</v>
      </c>
    </row>
    <row r="942" spans="1:1" x14ac:dyDescent="0.25">
      <c r="A942" t="s">
        <v>945</v>
      </c>
    </row>
    <row r="943" spans="1:1" x14ac:dyDescent="0.25">
      <c r="A943" t="s">
        <v>946</v>
      </c>
    </row>
    <row r="944" spans="1:1" x14ac:dyDescent="0.25">
      <c r="A944" t="s">
        <v>947</v>
      </c>
    </row>
    <row r="945" spans="1:1" x14ac:dyDescent="0.25">
      <c r="A945" t="s">
        <v>948</v>
      </c>
    </row>
    <row r="946" spans="1:1" x14ac:dyDescent="0.25">
      <c r="A946" t="s">
        <v>949</v>
      </c>
    </row>
    <row r="947" spans="1:1" x14ac:dyDescent="0.25">
      <c r="A947" t="s">
        <v>950</v>
      </c>
    </row>
    <row r="948" spans="1:1" x14ac:dyDescent="0.25">
      <c r="A948" t="s">
        <v>951</v>
      </c>
    </row>
    <row r="949" spans="1:1" x14ac:dyDescent="0.25">
      <c r="A949" t="s">
        <v>952</v>
      </c>
    </row>
    <row r="950" spans="1:1" x14ac:dyDescent="0.25">
      <c r="A950" t="s">
        <v>953</v>
      </c>
    </row>
    <row r="951" spans="1:1" x14ac:dyDescent="0.25">
      <c r="A951" t="s">
        <v>954</v>
      </c>
    </row>
    <row r="952" spans="1:1" x14ac:dyDescent="0.25">
      <c r="A952" t="s">
        <v>955</v>
      </c>
    </row>
    <row r="953" spans="1:1" x14ac:dyDescent="0.25">
      <c r="A953" t="s">
        <v>956</v>
      </c>
    </row>
    <row r="954" spans="1:1" x14ac:dyDescent="0.25">
      <c r="A954" t="s">
        <v>957</v>
      </c>
    </row>
    <row r="955" spans="1:1" x14ac:dyDescent="0.25">
      <c r="A955" t="s">
        <v>958</v>
      </c>
    </row>
    <row r="956" spans="1:1" x14ac:dyDescent="0.25">
      <c r="A956" t="s">
        <v>959</v>
      </c>
    </row>
    <row r="957" spans="1:1" x14ac:dyDescent="0.25">
      <c r="A957" t="s">
        <v>960</v>
      </c>
    </row>
    <row r="958" spans="1:1" x14ac:dyDescent="0.25">
      <c r="A958" t="s">
        <v>961</v>
      </c>
    </row>
    <row r="959" spans="1:1" x14ac:dyDescent="0.25">
      <c r="A959" t="s">
        <v>962</v>
      </c>
    </row>
    <row r="960" spans="1:1" x14ac:dyDescent="0.25">
      <c r="A960" t="s">
        <v>963</v>
      </c>
    </row>
    <row r="961" spans="1:1" x14ac:dyDescent="0.25">
      <c r="A961" t="s">
        <v>964</v>
      </c>
    </row>
    <row r="962" spans="1:1" x14ac:dyDescent="0.25">
      <c r="A962" t="s">
        <v>965</v>
      </c>
    </row>
    <row r="963" spans="1:1" x14ac:dyDescent="0.25">
      <c r="A963" t="s">
        <v>966</v>
      </c>
    </row>
    <row r="964" spans="1:1" x14ac:dyDescent="0.25">
      <c r="A964" t="s">
        <v>967</v>
      </c>
    </row>
    <row r="965" spans="1:1" x14ac:dyDescent="0.25">
      <c r="A965" t="s">
        <v>968</v>
      </c>
    </row>
    <row r="966" spans="1:1" x14ac:dyDescent="0.25">
      <c r="A966" t="s">
        <v>969</v>
      </c>
    </row>
    <row r="967" spans="1:1" x14ac:dyDescent="0.25">
      <c r="A967" t="s">
        <v>970</v>
      </c>
    </row>
    <row r="968" spans="1:1" x14ac:dyDescent="0.25">
      <c r="A968" t="s">
        <v>971</v>
      </c>
    </row>
    <row r="969" spans="1:1" x14ac:dyDescent="0.25">
      <c r="A969" t="s">
        <v>972</v>
      </c>
    </row>
    <row r="970" spans="1:1" x14ac:dyDescent="0.25">
      <c r="A970" t="s">
        <v>973</v>
      </c>
    </row>
    <row r="971" spans="1:1" x14ac:dyDescent="0.25">
      <c r="A971" t="s">
        <v>974</v>
      </c>
    </row>
    <row r="972" spans="1:1" x14ac:dyDescent="0.25">
      <c r="A972" t="s">
        <v>975</v>
      </c>
    </row>
    <row r="973" spans="1:1" x14ac:dyDescent="0.25">
      <c r="A973" t="s">
        <v>976</v>
      </c>
    </row>
    <row r="974" spans="1:1" x14ac:dyDescent="0.25">
      <c r="A974" t="s">
        <v>977</v>
      </c>
    </row>
    <row r="975" spans="1:1" x14ac:dyDescent="0.25">
      <c r="A975" t="s">
        <v>978</v>
      </c>
    </row>
    <row r="976" spans="1:1" x14ac:dyDescent="0.25">
      <c r="A976" t="s">
        <v>979</v>
      </c>
    </row>
    <row r="977" spans="1:1" x14ac:dyDescent="0.25">
      <c r="A977" t="s">
        <v>980</v>
      </c>
    </row>
    <row r="978" spans="1:1" x14ac:dyDescent="0.25">
      <c r="A978" t="s">
        <v>981</v>
      </c>
    </row>
    <row r="979" spans="1:1" x14ac:dyDescent="0.25">
      <c r="A979" t="s">
        <v>982</v>
      </c>
    </row>
    <row r="980" spans="1:1" x14ac:dyDescent="0.25">
      <c r="A980" t="s">
        <v>983</v>
      </c>
    </row>
    <row r="981" spans="1:1" x14ac:dyDescent="0.25">
      <c r="A981" t="s">
        <v>984</v>
      </c>
    </row>
    <row r="982" spans="1:1" x14ac:dyDescent="0.25">
      <c r="A982" t="s">
        <v>985</v>
      </c>
    </row>
    <row r="983" spans="1:1" x14ac:dyDescent="0.25">
      <c r="A983" t="s">
        <v>986</v>
      </c>
    </row>
    <row r="984" spans="1:1" x14ac:dyDescent="0.25">
      <c r="A984" t="s">
        <v>987</v>
      </c>
    </row>
    <row r="985" spans="1:1" x14ac:dyDescent="0.25">
      <c r="A985" t="s">
        <v>988</v>
      </c>
    </row>
    <row r="986" spans="1:1" x14ac:dyDescent="0.25">
      <c r="A986" t="s">
        <v>989</v>
      </c>
    </row>
    <row r="987" spans="1:1" x14ac:dyDescent="0.25">
      <c r="A987" t="s">
        <v>990</v>
      </c>
    </row>
    <row r="988" spans="1:1" x14ac:dyDescent="0.25">
      <c r="A988" t="s">
        <v>991</v>
      </c>
    </row>
    <row r="989" spans="1:1" x14ac:dyDescent="0.25">
      <c r="A989" t="s">
        <v>992</v>
      </c>
    </row>
    <row r="990" spans="1:1" x14ac:dyDescent="0.25">
      <c r="A990" t="s">
        <v>993</v>
      </c>
    </row>
    <row r="991" spans="1:1" x14ac:dyDescent="0.25">
      <c r="A991" t="s">
        <v>994</v>
      </c>
    </row>
    <row r="992" spans="1:1" x14ac:dyDescent="0.25">
      <c r="A992" t="s">
        <v>995</v>
      </c>
    </row>
    <row r="993" spans="1:1" x14ac:dyDescent="0.25">
      <c r="A993" t="s">
        <v>996</v>
      </c>
    </row>
    <row r="994" spans="1:1" x14ac:dyDescent="0.25">
      <c r="A994" t="s">
        <v>997</v>
      </c>
    </row>
    <row r="995" spans="1:1" x14ac:dyDescent="0.25">
      <c r="A995" t="s">
        <v>998</v>
      </c>
    </row>
    <row r="996" spans="1:1" x14ac:dyDescent="0.25">
      <c r="A996" t="s">
        <v>999</v>
      </c>
    </row>
    <row r="997" spans="1:1" x14ac:dyDescent="0.25">
      <c r="A997" t="s">
        <v>1000</v>
      </c>
    </row>
    <row r="998" spans="1:1" x14ac:dyDescent="0.25">
      <c r="A998" t="s">
        <v>1001</v>
      </c>
    </row>
    <row r="999" spans="1:1" x14ac:dyDescent="0.25">
      <c r="A999" t="s">
        <v>1002</v>
      </c>
    </row>
    <row r="1000" spans="1:1" x14ac:dyDescent="0.25">
      <c r="A1000" t="s">
        <v>1003</v>
      </c>
    </row>
    <row r="1001" spans="1:1" x14ac:dyDescent="0.25">
      <c r="A1001" t="s">
        <v>1004</v>
      </c>
    </row>
    <row r="1002" spans="1:1" x14ac:dyDescent="0.25">
      <c r="A1002" t="s">
        <v>1005</v>
      </c>
    </row>
    <row r="1003" spans="1:1" x14ac:dyDescent="0.25">
      <c r="A1003" t="s">
        <v>1006</v>
      </c>
    </row>
    <row r="1004" spans="1:1" x14ac:dyDescent="0.25">
      <c r="A1004" t="s">
        <v>1007</v>
      </c>
    </row>
    <row r="1005" spans="1:1" x14ac:dyDescent="0.25">
      <c r="A1005" t="s">
        <v>1008</v>
      </c>
    </row>
    <row r="1006" spans="1:1" x14ac:dyDescent="0.25">
      <c r="A1006" t="s">
        <v>1009</v>
      </c>
    </row>
    <row r="1007" spans="1:1" x14ac:dyDescent="0.25">
      <c r="A1007" t="s">
        <v>1010</v>
      </c>
    </row>
    <row r="1008" spans="1:1" x14ac:dyDescent="0.25">
      <c r="A1008" t="s">
        <v>1011</v>
      </c>
    </row>
    <row r="1009" spans="1:1" x14ac:dyDescent="0.25">
      <c r="A1009" t="s">
        <v>1012</v>
      </c>
    </row>
    <row r="1010" spans="1:1" x14ac:dyDescent="0.25">
      <c r="A1010" t="s">
        <v>1013</v>
      </c>
    </row>
    <row r="1011" spans="1:1" x14ac:dyDescent="0.25">
      <c r="A1011" t="s">
        <v>1014</v>
      </c>
    </row>
    <row r="1012" spans="1:1" x14ac:dyDescent="0.25">
      <c r="A1012" t="s">
        <v>1015</v>
      </c>
    </row>
    <row r="1013" spans="1:1" x14ac:dyDescent="0.25">
      <c r="A1013" t="s">
        <v>1016</v>
      </c>
    </row>
    <row r="1014" spans="1:1" x14ac:dyDescent="0.25">
      <c r="A1014" t="s">
        <v>1017</v>
      </c>
    </row>
    <row r="1015" spans="1:1" x14ac:dyDescent="0.25">
      <c r="A1015" t="s">
        <v>1018</v>
      </c>
    </row>
    <row r="1016" spans="1:1" x14ac:dyDescent="0.25">
      <c r="A1016" t="s">
        <v>1019</v>
      </c>
    </row>
    <row r="1017" spans="1:1" x14ac:dyDescent="0.25">
      <c r="A1017" t="s">
        <v>1020</v>
      </c>
    </row>
    <row r="1018" spans="1:1" x14ac:dyDescent="0.25">
      <c r="A1018" t="s">
        <v>1021</v>
      </c>
    </row>
    <row r="1019" spans="1:1" x14ac:dyDescent="0.25">
      <c r="A1019" t="s">
        <v>1022</v>
      </c>
    </row>
    <row r="1020" spans="1:1" x14ac:dyDescent="0.25">
      <c r="A1020" t="s">
        <v>1023</v>
      </c>
    </row>
    <row r="1021" spans="1:1" x14ac:dyDescent="0.25">
      <c r="A1021" t="s">
        <v>1024</v>
      </c>
    </row>
    <row r="1022" spans="1:1" x14ac:dyDescent="0.25">
      <c r="A1022" t="s">
        <v>1025</v>
      </c>
    </row>
    <row r="1023" spans="1:1" x14ac:dyDescent="0.25">
      <c r="A1023" t="s">
        <v>1026</v>
      </c>
    </row>
    <row r="1024" spans="1:1" x14ac:dyDescent="0.25">
      <c r="A1024" t="s">
        <v>1027</v>
      </c>
    </row>
    <row r="1025" spans="1:1" x14ac:dyDescent="0.25">
      <c r="A1025" t="s">
        <v>1028</v>
      </c>
    </row>
    <row r="1026" spans="1:1" x14ac:dyDescent="0.25">
      <c r="A1026" t="s">
        <v>1029</v>
      </c>
    </row>
    <row r="1027" spans="1:1" x14ac:dyDescent="0.25">
      <c r="A1027" t="s">
        <v>1030</v>
      </c>
    </row>
    <row r="1028" spans="1:1" x14ac:dyDescent="0.25">
      <c r="A1028" t="s">
        <v>1031</v>
      </c>
    </row>
    <row r="1029" spans="1:1" x14ac:dyDescent="0.25">
      <c r="A1029" t="s">
        <v>1032</v>
      </c>
    </row>
    <row r="1030" spans="1:1" x14ac:dyDescent="0.25">
      <c r="A1030" t="s">
        <v>1033</v>
      </c>
    </row>
    <row r="1031" spans="1:1" x14ac:dyDescent="0.25">
      <c r="A1031" t="s">
        <v>1034</v>
      </c>
    </row>
    <row r="1032" spans="1:1" x14ac:dyDescent="0.25">
      <c r="A1032" t="s">
        <v>1035</v>
      </c>
    </row>
    <row r="1033" spans="1:1" x14ac:dyDescent="0.25">
      <c r="A1033" t="s">
        <v>1036</v>
      </c>
    </row>
    <row r="1034" spans="1:1" x14ac:dyDescent="0.25">
      <c r="A1034" t="s">
        <v>1037</v>
      </c>
    </row>
    <row r="1035" spans="1:1" x14ac:dyDescent="0.25">
      <c r="A1035" t="s">
        <v>1038</v>
      </c>
    </row>
    <row r="1036" spans="1:1" x14ac:dyDescent="0.25">
      <c r="A1036" t="s">
        <v>1039</v>
      </c>
    </row>
    <row r="1037" spans="1:1" x14ac:dyDescent="0.25">
      <c r="A1037" t="s">
        <v>1040</v>
      </c>
    </row>
    <row r="1038" spans="1:1" x14ac:dyDescent="0.25">
      <c r="A1038" t="s">
        <v>1041</v>
      </c>
    </row>
    <row r="1039" spans="1:1" x14ac:dyDescent="0.25">
      <c r="A1039" t="s">
        <v>1042</v>
      </c>
    </row>
    <row r="1040" spans="1:1" x14ac:dyDescent="0.25">
      <c r="A1040" t="s">
        <v>1043</v>
      </c>
    </row>
    <row r="1041" spans="1:1" x14ac:dyDescent="0.25">
      <c r="A1041" t="s">
        <v>1044</v>
      </c>
    </row>
    <row r="1042" spans="1:1" x14ac:dyDescent="0.25">
      <c r="A1042" t="s">
        <v>1045</v>
      </c>
    </row>
    <row r="1043" spans="1:1" x14ac:dyDescent="0.25">
      <c r="A1043" t="s">
        <v>1046</v>
      </c>
    </row>
    <row r="1044" spans="1:1" x14ac:dyDescent="0.25">
      <c r="A1044" t="s">
        <v>1047</v>
      </c>
    </row>
    <row r="1045" spans="1:1" x14ac:dyDescent="0.25">
      <c r="A1045" t="s">
        <v>1048</v>
      </c>
    </row>
    <row r="1046" spans="1:1" x14ac:dyDescent="0.25">
      <c r="A1046" t="s">
        <v>1049</v>
      </c>
    </row>
    <row r="1047" spans="1:1" x14ac:dyDescent="0.25">
      <c r="A1047" t="s">
        <v>1050</v>
      </c>
    </row>
    <row r="1048" spans="1:1" x14ac:dyDescent="0.25">
      <c r="A1048" t="s">
        <v>1051</v>
      </c>
    </row>
    <row r="1049" spans="1:1" x14ac:dyDescent="0.25">
      <c r="A1049" t="s">
        <v>1052</v>
      </c>
    </row>
    <row r="1050" spans="1:1" x14ac:dyDescent="0.25">
      <c r="A1050" t="s">
        <v>1053</v>
      </c>
    </row>
    <row r="1051" spans="1:1" x14ac:dyDescent="0.25">
      <c r="A1051" t="s">
        <v>1054</v>
      </c>
    </row>
    <row r="1052" spans="1:1" x14ac:dyDescent="0.25">
      <c r="A1052" t="s">
        <v>1055</v>
      </c>
    </row>
    <row r="1053" spans="1:1" x14ac:dyDescent="0.25">
      <c r="A1053" t="s">
        <v>1056</v>
      </c>
    </row>
    <row r="1054" spans="1:1" x14ac:dyDescent="0.25">
      <c r="A1054" t="s">
        <v>1057</v>
      </c>
    </row>
    <row r="1055" spans="1:1" x14ac:dyDescent="0.25">
      <c r="A1055" t="s">
        <v>1058</v>
      </c>
    </row>
    <row r="1056" spans="1:1" x14ac:dyDescent="0.25">
      <c r="A1056" t="s">
        <v>1059</v>
      </c>
    </row>
    <row r="1057" spans="1:1" x14ac:dyDescent="0.25">
      <c r="A1057" t="s">
        <v>1060</v>
      </c>
    </row>
    <row r="1058" spans="1:1" x14ac:dyDescent="0.25">
      <c r="A1058" t="s">
        <v>1061</v>
      </c>
    </row>
    <row r="1059" spans="1:1" x14ac:dyDescent="0.25">
      <c r="A1059" t="s">
        <v>1062</v>
      </c>
    </row>
    <row r="1060" spans="1:1" x14ac:dyDescent="0.25">
      <c r="A1060" t="s">
        <v>1063</v>
      </c>
    </row>
    <row r="1061" spans="1:1" x14ac:dyDescent="0.25">
      <c r="A1061" t="s">
        <v>1064</v>
      </c>
    </row>
    <row r="1062" spans="1:1" x14ac:dyDescent="0.25">
      <c r="A1062" t="s">
        <v>1065</v>
      </c>
    </row>
    <row r="1063" spans="1:1" x14ac:dyDescent="0.25">
      <c r="A1063" t="s">
        <v>1066</v>
      </c>
    </row>
    <row r="1064" spans="1:1" x14ac:dyDescent="0.25">
      <c r="A1064" t="s">
        <v>1067</v>
      </c>
    </row>
    <row r="1065" spans="1:1" x14ac:dyDescent="0.25">
      <c r="A1065" t="s">
        <v>1068</v>
      </c>
    </row>
    <row r="1066" spans="1:1" x14ac:dyDescent="0.25">
      <c r="A1066" t="s">
        <v>1069</v>
      </c>
    </row>
    <row r="1067" spans="1:1" x14ac:dyDescent="0.25">
      <c r="A1067" t="s">
        <v>1070</v>
      </c>
    </row>
    <row r="1068" spans="1:1" x14ac:dyDescent="0.25">
      <c r="A1068" t="s">
        <v>1071</v>
      </c>
    </row>
    <row r="1069" spans="1:1" x14ac:dyDescent="0.25">
      <c r="A1069" t="s">
        <v>1072</v>
      </c>
    </row>
    <row r="1070" spans="1:1" x14ac:dyDescent="0.25">
      <c r="A1070" t="s">
        <v>1073</v>
      </c>
    </row>
    <row r="1071" spans="1:1" x14ac:dyDescent="0.25">
      <c r="A1071" t="s">
        <v>1074</v>
      </c>
    </row>
    <row r="1072" spans="1:1" x14ac:dyDescent="0.25">
      <c r="A1072" t="s">
        <v>1075</v>
      </c>
    </row>
    <row r="1073" spans="1:1" x14ac:dyDescent="0.25">
      <c r="A1073" t="s">
        <v>1076</v>
      </c>
    </row>
    <row r="1074" spans="1:1" x14ac:dyDescent="0.25">
      <c r="A1074" t="s">
        <v>1077</v>
      </c>
    </row>
    <row r="1075" spans="1:1" x14ac:dyDescent="0.25">
      <c r="A1075" t="s">
        <v>1078</v>
      </c>
    </row>
    <row r="1076" spans="1:1" x14ac:dyDescent="0.25">
      <c r="A1076" t="s">
        <v>1079</v>
      </c>
    </row>
    <row r="1077" spans="1:1" x14ac:dyDescent="0.25">
      <c r="A1077" t="s">
        <v>1080</v>
      </c>
    </row>
    <row r="1078" spans="1:1" x14ac:dyDescent="0.25">
      <c r="A1078" t="s">
        <v>1081</v>
      </c>
    </row>
    <row r="1079" spans="1:1" x14ac:dyDescent="0.25">
      <c r="A1079" t="s">
        <v>1082</v>
      </c>
    </row>
    <row r="1080" spans="1:1" x14ac:dyDescent="0.25">
      <c r="A1080" t="s">
        <v>1083</v>
      </c>
    </row>
    <row r="1081" spans="1:1" x14ac:dyDescent="0.25">
      <c r="A1081" t="s">
        <v>1084</v>
      </c>
    </row>
    <row r="1082" spans="1:1" x14ac:dyDescent="0.25">
      <c r="A1082" t="s">
        <v>1085</v>
      </c>
    </row>
    <row r="1083" spans="1:1" x14ac:dyDescent="0.25">
      <c r="A1083" t="s">
        <v>1086</v>
      </c>
    </row>
    <row r="1084" spans="1:1" x14ac:dyDescent="0.25">
      <c r="A1084" t="s">
        <v>1087</v>
      </c>
    </row>
    <row r="1085" spans="1:1" x14ac:dyDescent="0.25">
      <c r="A1085" t="s">
        <v>1088</v>
      </c>
    </row>
    <row r="1086" spans="1:1" x14ac:dyDescent="0.25">
      <c r="A1086" t="s">
        <v>1089</v>
      </c>
    </row>
    <row r="1087" spans="1:1" x14ac:dyDescent="0.25">
      <c r="A1087" t="s">
        <v>1090</v>
      </c>
    </row>
    <row r="1088" spans="1:1" x14ac:dyDescent="0.25">
      <c r="A1088" t="s">
        <v>1091</v>
      </c>
    </row>
    <row r="1089" spans="1:1" x14ac:dyDescent="0.25">
      <c r="A1089" t="s">
        <v>1092</v>
      </c>
    </row>
    <row r="1090" spans="1:1" x14ac:dyDescent="0.25">
      <c r="A1090" t="s">
        <v>1093</v>
      </c>
    </row>
    <row r="1091" spans="1:1" x14ac:dyDescent="0.25">
      <c r="A1091" t="s">
        <v>1094</v>
      </c>
    </row>
    <row r="1092" spans="1:1" x14ac:dyDescent="0.25">
      <c r="A1092" t="s">
        <v>1095</v>
      </c>
    </row>
    <row r="1093" spans="1:1" x14ac:dyDescent="0.25">
      <c r="A1093" t="s">
        <v>1096</v>
      </c>
    </row>
    <row r="1094" spans="1:1" x14ac:dyDescent="0.25">
      <c r="A1094" t="s">
        <v>1097</v>
      </c>
    </row>
    <row r="1095" spans="1:1" x14ac:dyDescent="0.25">
      <c r="A1095" t="s">
        <v>1098</v>
      </c>
    </row>
    <row r="1096" spans="1:1" x14ac:dyDescent="0.25">
      <c r="A1096" t="s">
        <v>1099</v>
      </c>
    </row>
    <row r="1097" spans="1:1" x14ac:dyDescent="0.25">
      <c r="A1097" t="s">
        <v>1100</v>
      </c>
    </row>
    <row r="1098" spans="1:1" x14ac:dyDescent="0.25">
      <c r="A1098" t="s">
        <v>1101</v>
      </c>
    </row>
    <row r="1099" spans="1:1" x14ac:dyDescent="0.25">
      <c r="A1099" t="s">
        <v>1102</v>
      </c>
    </row>
    <row r="1100" spans="1:1" x14ac:dyDescent="0.25">
      <c r="A1100" t="s">
        <v>1103</v>
      </c>
    </row>
    <row r="1101" spans="1:1" x14ac:dyDescent="0.25">
      <c r="A1101" t="s">
        <v>1104</v>
      </c>
    </row>
    <row r="1102" spans="1:1" x14ac:dyDescent="0.25">
      <c r="A1102" t="s">
        <v>1105</v>
      </c>
    </row>
    <row r="1103" spans="1:1" x14ac:dyDescent="0.25">
      <c r="A1103" t="s">
        <v>1106</v>
      </c>
    </row>
    <row r="1104" spans="1:1" x14ac:dyDescent="0.25">
      <c r="A1104" t="s">
        <v>1107</v>
      </c>
    </row>
    <row r="1105" spans="1:1" x14ac:dyDescent="0.25">
      <c r="A1105" t="s">
        <v>1108</v>
      </c>
    </row>
    <row r="1106" spans="1:1" x14ac:dyDescent="0.25">
      <c r="A1106" t="s">
        <v>1109</v>
      </c>
    </row>
    <row r="1107" spans="1:1" x14ac:dyDescent="0.25">
      <c r="A1107" t="s">
        <v>1110</v>
      </c>
    </row>
    <row r="1108" spans="1:1" x14ac:dyDescent="0.25">
      <c r="A1108" t="s">
        <v>1111</v>
      </c>
    </row>
    <row r="1109" spans="1:1" x14ac:dyDescent="0.25">
      <c r="A1109" t="s">
        <v>1112</v>
      </c>
    </row>
    <row r="1110" spans="1:1" x14ac:dyDescent="0.25">
      <c r="A1110" t="s">
        <v>1113</v>
      </c>
    </row>
    <row r="1111" spans="1:1" x14ac:dyDescent="0.25">
      <c r="A1111" t="s">
        <v>1114</v>
      </c>
    </row>
    <row r="1112" spans="1:1" x14ac:dyDescent="0.25">
      <c r="A1112" t="s">
        <v>1115</v>
      </c>
    </row>
    <row r="1113" spans="1:1" x14ac:dyDescent="0.25">
      <c r="A1113" t="s">
        <v>1116</v>
      </c>
    </row>
    <row r="1114" spans="1:1" x14ac:dyDescent="0.25">
      <c r="A1114" t="s">
        <v>1117</v>
      </c>
    </row>
    <row r="1115" spans="1:1" x14ac:dyDescent="0.25">
      <c r="A1115" t="s">
        <v>1118</v>
      </c>
    </row>
    <row r="1116" spans="1:1" x14ac:dyDescent="0.25">
      <c r="A1116" t="s">
        <v>1119</v>
      </c>
    </row>
    <row r="1117" spans="1:1" x14ac:dyDescent="0.25">
      <c r="A1117" t="s">
        <v>1120</v>
      </c>
    </row>
    <row r="1118" spans="1:1" x14ac:dyDescent="0.25">
      <c r="A1118" t="s">
        <v>1121</v>
      </c>
    </row>
    <row r="1119" spans="1:1" x14ac:dyDescent="0.25">
      <c r="A1119" t="s">
        <v>1122</v>
      </c>
    </row>
    <row r="1120" spans="1:1" x14ac:dyDescent="0.25">
      <c r="A1120" t="s">
        <v>1123</v>
      </c>
    </row>
    <row r="1121" spans="1:1" x14ac:dyDescent="0.25">
      <c r="A1121" t="s">
        <v>1124</v>
      </c>
    </row>
    <row r="1122" spans="1:1" x14ac:dyDescent="0.25">
      <c r="A1122" t="s">
        <v>1125</v>
      </c>
    </row>
    <row r="1123" spans="1:1" x14ac:dyDescent="0.25">
      <c r="A1123" t="s">
        <v>1126</v>
      </c>
    </row>
    <row r="1124" spans="1:1" x14ac:dyDescent="0.25">
      <c r="A1124" t="s">
        <v>1127</v>
      </c>
    </row>
    <row r="1125" spans="1:1" x14ac:dyDescent="0.25">
      <c r="A1125" t="s">
        <v>1128</v>
      </c>
    </row>
    <row r="1126" spans="1:1" x14ac:dyDescent="0.25">
      <c r="A1126" t="s">
        <v>1129</v>
      </c>
    </row>
    <row r="1127" spans="1:1" x14ac:dyDescent="0.25">
      <c r="A1127" t="s">
        <v>1130</v>
      </c>
    </row>
    <row r="1128" spans="1:1" x14ac:dyDescent="0.25">
      <c r="A1128" t="s">
        <v>1131</v>
      </c>
    </row>
    <row r="1129" spans="1:1" x14ac:dyDescent="0.25">
      <c r="A1129" t="s">
        <v>1132</v>
      </c>
    </row>
    <row r="1130" spans="1:1" x14ac:dyDescent="0.25">
      <c r="A1130" t="s">
        <v>1133</v>
      </c>
    </row>
    <row r="1131" spans="1:1" x14ac:dyDescent="0.25">
      <c r="A1131" t="s">
        <v>1134</v>
      </c>
    </row>
    <row r="1132" spans="1:1" x14ac:dyDescent="0.25">
      <c r="A1132" t="s">
        <v>1135</v>
      </c>
    </row>
    <row r="1133" spans="1:1" x14ac:dyDescent="0.25">
      <c r="A1133" t="s">
        <v>1136</v>
      </c>
    </row>
    <row r="1134" spans="1:1" x14ac:dyDescent="0.25">
      <c r="A1134" t="s">
        <v>1137</v>
      </c>
    </row>
    <row r="1135" spans="1:1" x14ac:dyDescent="0.25">
      <c r="A1135" t="s">
        <v>1138</v>
      </c>
    </row>
    <row r="1136" spans="1:1" x14ac:dyDescent="0.25">
      <c r="A1136" t="s">
        <v>1139</v>
      </c>
    </row>
    <row r="1137" spans="1:1" x14ac:dyDescent="0.25">
      <c r="A1137" t="s">
        <v>1140</v>
      </c>
    </row>
    <row r="1138" spans="1:1" x14ac:dyDescent="0.25">
      <c r="A1138" t="s">
        <v>1141</v>
      </c>
    </row>
    <row r="1139" spans="1:1" x14ac:dyDescent="0.25">
      <c r="A1139" t="s">
        <v>1142</v>
      </c>
    </row>
    <row r="1140" spans="1:1" x14ac:dyDescent="0.25">
      <c r="A1140" t="s">
        <v>1143</v>
      </c>
    </row>
    <row r="1141" spans="1:1" x14ac:dyDescent="0.25">
      <c r="A1141" t="s">
        <v>1144</v>
      </c>
    </row>
    <row r="1142" spans="1:1" x14ac:dyDescent="0.25">
      <c r="A1142" t="s">
        <v>1145</v>
      </c>
    </row>
    <row r="1143" spans="1:1" x14ac:dyDescent="0.25">
      <c r="A1143" t="s">
        <v>1146</v>
      </c>
    </row>
    <row r="1144" spans="1:1" x14ac:dyDescent="0.25">
      <c r="A1144" t="s">
        <v>1147</v>
      </c>
    </row>
    <row r="1145" spans="1:1" x14ac:dyDescent="0.25">
      <c r="A1145" t="s">
        <v>1148</v>
      </c>
    </row>
    <row r="1146" spans="1:1" x14ac:dyDescent="0.25">
      <c r="A1146" t="s">
        <v>1149</v>
      </c>
    </row>
    <row r="1147" spans="1:1" x14ac:dyDescent="0.25">
      <c r="A1147" t="s">
        <v>1150</v>
      </c>
    </row>
    <row r="1148" spans="1:1" x14ac:dyDescent="0.25">
      <c r="A1148" t="s">
        <v>1151</v>
      </c>
    </row>
    <row r="1149" spans="1:1" x14ac:dyDescent="0.25">
      <c r="A1149" t="s">
        <v>1152</v>
      </c>
    </row>
    <row r="1150" spans="1:1" x14ac:dyDescent="0.25">
      <c r="A1150" t="s">
        <v>1153</v>
      </c>
    </row>
    <row r="1151" spans="1:1" x14ac:dyDescent="0.25">
      <c r="A1151" t="s">
        <v>1154</v>
      </c>
    </row>
    <row r="1152" spans="1:1" x14ac:dyDescent="0.25">
      <c r="A1152" t="s">
        <v>1155</v>
      </c>
    </row>
    <row r="1153" spans="1:1" x14ac:dyDescent="0.25">
      <c r="A1153" t="s">
        <v>1156</v>
      </c>
    </row>
    <row r="1154" spans="1:1" x14ac:dyDescent="0.25">
      <c r="A1154" t="s">
        <v>1157</v>
      </c>
    </row>
    <row r="1155" spans="1:1" x14ac:dyDescent="0.25">
      <c r="A1155" t="s">
        <v>1158</v>
      </c>
    </row>
    <row r="1156" spans="1:1" x14ac:dyDescent="0.25">
      <c r="A1156" t="s">
        <v>1159</v>
      </c>
    </row>
    <row r="1157" spans="1:1" x14ac:dyDescent="0.25">
      <c r="A1157" t="s">
        <v>1160</v>
      </c>
    </row>
    <row r="1158" spans="1:1" x14ac:dyDescent="0.25">
      <c r="A1158" t="s">
        <v>1161</v>
      </c>
    </row>
    <row r="1159" spans="1:1" x14ac:dyDescent="0.25">
      <c r="A1159" t="s">
        <v>1162</v>
      </c>
    </row>
    <row r="1160" spans="1:1" x14ac:dyDescent="0.25">
      <c r="A1160" t="s">
        <v>1163</v>
      </c>
    </row>
    <row r="1161" spans="1:1" x14ac:dyDescent="0.25">
      <c r="A1161" t="s">
        <v>1164</v>
      </c>
    </row>
    <row r="1162" spans="1:1" x14ac:dyDescent="0.25">
      <c r="A1162" t="s">
        <v>1165</v>
      </c>
    </row>
    <row r="1163" spans="1:1" x14ac:dyDescent="0.25">
      <c r="A1163" t="s">
        <v>1166</v>
      </c>
    </row>
    <row r="1164" spans="1:1" x14ac:dyDescent="0.25">
      <c r="A1164" t="s">
        <v>1167</v>
      </c>
    </row>
    <row r="1165" spans="1:1" x14ac:dyDescent="0.25">
      <c r="A1165" t="s">
        <v>1168</v>
      </c>
    </row>
    <row r="1166" spans="1:1" x14ac:dyDescent="0.25">
      <c r="A1166" t="s">
        <v>1169</v>
      </c>
    </row>
    <row r="1167" spans="1:1" x14ac:dyDescent="0.25">
      <c r="A1167" t="s">
        <v>1170</v>
      </c>
    </row>
    <row r="1168" spans="1:1" x14ac:dyDescent="0.25">
      <c r="A1168" t="s">
        <v>1171</v>
      </c>
    </row>
    <row r="1169" spans="1:1" x14ac:dyDescent="0.25">
      <c r="A1169" t="s">
        <v>1172</v>
      </c>
    </row>
    <row r="1170" spans="1:1" x14ac:dyDescent="0.25">
      <c r="A1170" t="s">
        <v>1173</v>
      </c>
    </row>
    <row r="1171" spans="1:1" x14ac:dyDescent="0.25">
      <c r="A1171" t="s">
        <v>1174</v>
      </c>
    </row>
    <row r="1172" spans="1:1" x14ac:dyDescent="0.25">
      <c r="A1172" t="s">
        <v>1175</v>
      </c>
    </row>
    <row r="1173" spans="1:1" x14ac:dyDescent="0.25">
      <c r="A1173" t="s">
        <v>1176</v>
      </c>
    </row>
    <row r="1174" spans="1:1" x14ac:dyDescent="0.25">
      <c r="A1174" t="s">
        <v>1177</v>
      </c>
    </row>
    <row r="1175" spans="1:1" x14ac:dyDescent="0.25">
      <c r="A1175" t="s">
        <v>1178</v>
      </c>
    </row>
    <row r="1176" spans="1:1" x14ac:dyDescent="0.25">
      <c r="A1176" t="s">
        <v>1179</v>
      </c>
    </row>
    <row r="1177" spans="1:1" x14ac:dyDescent="0.25">
      <c r="A1177" t="s">
        <v>1180</v>
      </c>
    </row>
    <row r="1178" spans="1:1" x14ac:dyDescent="0.25">
      <c r="A1178" t="s">
        <v>1181</v>
      </c>
    </row>
    <row r="1179" spans="1:1" x14ac:dyDescent="0.25">
      <c r="A1179" t="s">
        <v>1182</v>
      </c>
    </row>
    <row r="1180" spans="1:1" x14ac:dyDescent="0.25">
      <c r="A1180" t="s">
        <v>1183</v>
      </c>
    </row>
    <row r="1181" spans="1:1" x14ac:dyDescent="0.25">
      <c r="A1181" t="s">
        <v>1184</v>
      </c>
    </row>
    <row r="1182" spans="1:1" x14ac:dyDescent="0.25">
      <c r="A1182" t="s">
        <v>1185</v>
      </c>
    </row>
    <row r="1183" spans="1:1" x14ac:dyDescent="0.25">
      <c r="A1183" t="s">
        <v>1186</v>
      </c>
    </row>
    <row r="1184" spans="1:1" x14ac:dyDescent="0.25">
      <c r="A1184" t="s">
        <v>1187</v>
      </c>
    </row>
    <row r="1185" spans="1:1" x14ac:dyDescent="0.25">
      <c r="A1185" t="s">
        <v>1188</v>
      </c>
    </row>
    <row r="1186" spans="1:1" x14ac:dyDescent="0.25">
      <c r="A1186" t="s">
        <v>1189</v>
      </c>
    </row>
    <row r="1187" spans="1:1" x14ac:dyDescent="0.25">
      <c r="A1187" t="s">
        <v>1190</v>
      </c>
    </row>
    <row r="1188" spans="1:1" x14ac:dyDescent="0.25">
      <c r="A1188" t="s">
        <v>1191</v>
      </c>
    </row>
    <row r="1189" spans="1:1" x14ac:dyDescent="0.25">
      <c r="A1189" t="s">
        <v>1192</v>
      </c>
    </row>
    <row r="1190" spans="1:1" x14ac:dyDescent="0.25">
      <c r="A1190" t="s">
        <v>1193</v>
      </c>
    </row>
    <row r="1191" spans="1:1" x14ac:dyDescent="0.25">
      <c r="A1191" t="s">
        <v>1194</v>
      </c>
    </row>
    <row r="1192" spans="1:1" x14ac:dyDescent="0.25">
      <c r="A1192" t="s">
        <v>1195</v>
      </c>
    </row>
    <row r="1193" spans="1:1" x14ac:dyDescent="0.25">
      <c r="A1193" t="s">
        <v>1196</v>
      </c>
    </row>
    <row r="1194" spans="1:1" x14ac:dyDescent="0.25">
      <c r="A1194" t="s">
        <v>1197</v>
      </c>
    </row>
    <row r="1195" spans="1:1" x14ac:dyDescent="0.25">
      <c r="A1195" t="s">
        <v>1198</v>
      </c>
    </row>
    <row r="1196" spans="1:1" x14ac:dyDescent="0.25">
      <c r="A1196" t="s">
        <v>1199</v>
      </c>
    </row>
    <row r="1197" spans="1:1" x14ac:dyDescent="0.25">
      <c r="A1197" t="s">
        <v>1200</v>
      </c>
    </row>
    <row r="1198" spans="1:1" x14ac:dyDescent="0.25">
      <c r="A1198" t="s">
        <v>1201</v>
      </c>
    </row>
    <row r="1199" spans="1:1" x14ac:dyDescent="0.25">
      <c r="A1199" t="s">
        <v>1202</v>
      </c>
    </row>
    <row r="1200" spans="1:1" x14ac:dyDescent="0.25">
      <c r="A1200" t="s">
        <v>1203</v>
      </c>
    </row>
    <row r="1201" spans="1:1" x14ac:dyDescent="0.25">
      <c r="A1201" t="s">
        <v>1204</v>
      </c>
    </row>
    <row r="1202" spans="1:1" x14ac:dyDescent="0.25">
      <c r="A1202" t="s">
        <v>1205</v>
      </c>
    </row>
    <row r="1203" spans="1:1" x14ac:dyDescent="0.25">
      <c r="A1203" t="s">
        <v>1206</v>
      </c>
    </row>
    <row r="1204" spans="1:1" x14ac:dyDescent="0.25">
      <c r="A1204" t="s">
        <v>1207</v>
      </c>
    </row>
    <row r="1205" spans="1:1" x14ac:dyDescent="0.25">
      <c r="A1205" t="s">
        <v>1208</v>
      </c>
    </row>
    <row r="1206" spans="1:1" x14ac:dyDescent="0.25">
      <c r="A1206" t="s">
        <v>1209</v>
      </c>
    </row>
    <row r="1207" spans="1:1" x14ac:dyDescent="0.25">
      <c r="A1207" t="s">
        <v>1210</v>
      </c>
    </row>
    <row r="1208" spans="1:1" x14ac:dyDescent="0.25">
      <c r="A1208" t="s">
        <v>1211</v>
      </c>
    </row>
    <row r="1209" spans="1:1" x14ac:dyDescent="0.25">
      <c r="A1209" t="s">
        <v>1212</v>
      </c>
    </row>
    <row r="1210" spans="1:1" x14ac:dyDescent="0.25">
      <c r="A1210" t="s">
        <v>1213</v>
      </c>
    </row>
    <row r="1211" spans="1:1" x14ac:dyDescent="0.25">
      <c r="A1211" t="s">
        <v>1214</v>
      </c>
    </row>
    <row r="1212" spans="1:1" x14ac:dyDescent="0.25">
      <c r="A1212" t="s">
        <v>1215</v>
      </c>
    </row>
    <row r="1213" spans="1:1" x14ac:dyDescent="0.25">
      <c r="A1213" t="s">
        <v>1216</v>
      </c>
    </row>
    <row r="1214" spans="1:1" x14ac:dyDescent="0.25">
      <c r="A1214" t="s">
        <v>1217</v>
      </c>
    </row>
    <row r="1215" spans="1:1" x14ac:dyDescent="0.25">
      <c r="A1215" t="s">
        <v>1218</v>
      </c>
    </row>
    <row r="1216" spans="1:1" x14ac:dyDescent="0.25">
      <c r="A1216" t="s">
        <v>1219</v>
      </c>
    </row>
    <row r="1217" spans="1:1" x14ac:dyDescent="0.25">
      <c r="A1217" t="s">
        <v>1220</v>
      </c>
    </row>
    <row r="1218" spans="1:1" x14ac:dyDescent="0.25">
      <c r="A1218" t="s">
        <v>1221</v>
      </c>
    </row>
    <row r="1219" spans="1:1" x14ac:dyDescent="0.25">
      <c r="A1219" t="s">
        <v>1222</v>
      </c>
    </row>
    <row r="1220" spans="1:1" x14ac:dyDescent="0.25">
      <c r="A1220" t="s">
        <v>1223</v>
      </c>
    </row>
    <row r="1221" spans="1:1" x14ac:dyDescent="0.25">
      <c r="A1221" t="s">
        <v>1224</v>
      </c>
    </row>
    <row r="1222" spans="1:1" x14ac:dyDescent="0.25">
      <c r="A1222" t="s">
        <v>1225</v>
      </c>
    </row>
    <row r="1223" spans="1:1" x14ac:dyDescent="0.25">
      <c r="A1223" t="s">
        <v>1226</v>
      </c>
    </row>
    <row r="1224" spans="1:1" x14ac:dyDescent="0.25">
      <c r="A1224" t="s">
        <v>1227</v>
      </c>
    </row>
    <row r="1225" spans="1:1" x14ac:dyDescent="0.25">
      <c r="A1225" t="s">
        <v>1228</v>
      </c>
    </row>
    <row r="1226" spans="1:1" x14ac:dyDescent="0.25">
      <c r="A1226" t="s">
        <v>1229</v>
      </c>
    </row>
    <row r="1227" spans="1:1" x14ac:dyDescent="0.25">
      <c r="A1227" t="s">
        <v>1230</v>
      </c>
    </row>
    <row r="1228" spans="1:1" x14ac:dyDescent="0.25">
      <c r="A1228" t="s">
        <v>1231</v>
      </c>
    </row>
    <row r="1229" spans="1:1" x14ac:dyDescent="0.25">
      <c r="A1229" t="s">
        <v>1232</v>
      </c>
    </row>
    <row r="1230" spans="1:1" x14ac:dyDescent="0.25">
      <c r="A1230" t="s">
        <v>1233</v>
      </c>
    </row>
    <row r="1231" spans="1:1" x14ac:dyDescent="0.25">
      <c r="A1231" t="s">
        <v>1234</v>
      </c>
    </row>
    <row r="1232" spans="1:1" x14ac:dyDescent="0.25">
      <c r="A1232" t="s">
        <v>1235</v>
      </c>
    </row>
    <row r="1233" spans="1:1" x14ac:dyDescent="0.25">
      <c r="A1233" t="s">
        <v>1236</v>
      </c>
    </row>
    <row r="1234" spans="1:1" x14ac:dyDescent="0.25">
      <c r="A1234" t="s">
        <v>1237</v>
      </c>
    </row>
    <row r="1235" spans="1:1" x14ac:dyDescent="0.25">
      <c r="A1235" t="s">
        <v>1238</v>
      </c>
    </row>
    <row r="1236" spans="1:1" x14ac:dyDescent="0.25">
      <c r="A1236" t="s">
        <v>1239</v>
      </c>
    </row>
    <row r="1237" spans="1:1" x14ac:dyDescent="0.25">
      <c r="A1237" t="s">
        <v>1240</v>
      </c>
    </row>
    <row r="1238" spans="1:1" x14ac:dyDescent="0.25">
      <c r="A1238" t="s">
        <v>1241</v>
      </c>
    </row>
    <row r="1239" spans="1:1" x14ac:dyDescent="0.25">
      <c r="A1239" t="s">
        <v>1242</v>
      </c>
    </row>
    <row r="1240" spans="1:1" x14ac:dyDescent="0.25">
      <c r="A1240" t="s">
        <v>1243</v>
      </c>
    </row>
    <row r="1241" spans="1:1" x14ac:dyDescent="0.25">
      <c r="A1241" t="s">
        <v>1244</v>
      </c>
    </row>
    <row r="1242" spans="1:1" x14ac:dyDescent="0.25">
      <c r="A1242" t="s">
        <v>1245</v>
      </c>
    </row>
    <row r="1243" spans="1:1" x14ac:dyDescent="0.25">
      <c r="A1243" t="s">
        <v>1246</v>
      </c>
    </row>
    <row r="1244" spans="1:1" x14ac:dyDescent="0.25">
      <c r="A1244" t="s">
        <v>1247</v>
      </c>
    </row>
    <row r="1245" spans="1:1" x14ac:dyDescent="0.25">
      <c r="A1245" t="s">
        <v>1248</v>
      </c>
    </row>
    <row r="1246" spans="1:1" x14ac:dyDescent="0.25">
      <c r="A1246" t="s">
        <v>1249</v>
      </c>
    </row>
    <row r="1247" spans="1:1" x14ac:dyDescent="0.25">
      <c r="A1247" t="s">
        <v>1250</v>
      </c>
    </row>
    <row r="1248" spans="1:1" x14ac:dyDescent="0.25">
      <c r="A1248" t="s">
        <v>1251</v>
      </c>
    </row>
    <row r="1249" spans="1:1" x14ac:dyDescent="0.25">
      <c r="A1249" t="s">
        <v>1252</v>
      </c>
    </row>
    <row r="1250" spans="1:1" x14ac:dyDescent="0.25">
      <c r="A1250" t="s">
        <v>1253</v>
      </c>
    </row>
    <row r="1251" spans="1:1" x14ac:dyDescent="0.25">
      <c r="A1251" t="s">
        <v>1254</v>
      </c>
    </row>
    <row r="1252" spans="1:1" x14ac:dyDescent="0.25">
      <c r="A1252" t="s">
        <v>1255</v>
      </c>
    </row>
    <row r="1253" spans="1:1" x14ac:dyDescent="0.25">
      <c r="A1253" t="s">
        <v>1256</v>
      </c>
    </row>
    <row r="1254" spans="1:1" x14ac:dyDescent="0.25">
      <c r="A1254" t="s">
        <v>1257</v>
      </c>
    </row>
    <row r="1255" spans="1:1" x14ac:dyDescent="0.25">
      <c r="A1255" t="s">
        <v>1258</v>
      </c>
    </row>
    <row r="1256" spans="1:1" x14ac:dyDescent="0.25">
      <c r="A1256" t="s">
        <v>1259</v>
      </c>
    </row>
    <row r="1257" spans="1:1" x14ac:dyDescent="0.25">
      <c r="A1257" t="s">
        <v>1260</v>
      </c>
    </row>
    <row r="1258" spans="1:1" x14ac:dyDescent="0.25">
      <c r="A1258" t="s">
        <v>1261</v>
      </c>
    </row>
    <row r="1259" spans="1:1" x14ac:dyDescent="0.25">
      <c r="A1259" t="s">
        <v>1262</v>
      </c>
    </row>
    <row r="1260" spans="1:1" x14ac:dyDescent="0.25">
      <c r="A1260" t="s">
        <v>1263</v>
      </c>
    </row>
    <row r="1261" spans="1:1" x14ac:dyDescent="0.25">
      <c r="A1261" t="s">
        <v>1264</v>
      </c>
    </row>
    <row r="1262" spans="1:1" x14ac:dyDescent="0.25">
      <c r="A1262" t="s">
        <v>1265</v>
      </c>
    </row>
    <row r="1263" spans="1:1" x14ac:dyDescent="0.25">
      <c r="A1263" t="s">
        <v>1266</v>
      </c>
    </row>
    <row r="1264" spans="1:1" x14ac:dyDescent="0.25">
      <c r="A1264" t="s">
        <v>1267</v>
      </c>
    </row>
    <row r="1265" spans="1:1" x14ac:dyDescent="0.25">
      <c r="A1265" t="s">
        <v>1268</v>
      </c>
    </row>
    <row r="1266" spans="1:1" x14ac:dyDescent="0.25">
      <c r="A1266" t="s">
        <v>1269</v>
      </c>
    </row>
    <row r="1267" spans="1:1" x14ac:dyDescent="0.25">
      <c r="A1267" t="s">
        <v>1270</v>
      </c>
    </row>
    <row r="1268" spans="1:1" x14ac:dyDescent="0.25">
      <c r="A1268" t="s">
        <v>1271</v>
      </c>
    </row>
    <row r="1269" spans="1:1" x14ac:dyDescent="0.25">
      <c r="A1269" t="s">
        <v>1272</v>
      </c>
    </row>
    <row r="1270" spans="1:1" x14ac:dyDescent="0.25">
      <c r="A1270" t="s">
        <v>1273</v>
      </c>
    </row>
    <row r="1271" spans="1:1" x14ac:dyDescent="0.25">
      <c r="A1271" t="s">
        <v>1274</v>
      </c>
    </row>
    <row r="1272" spans="1:1" x14ac:dyDescent="0.25">
      <c r="A1272" t="s">
        <v>1275</v>
      </c>
    </row>
    <row r="1273" spans="1:1" x14ac:dyDescent="0.25">
      <c r="A1273" t="s">
        <v>1276</v>
      </c>
    </row>
    <row r="1274" spans="1:1" x14ac:dyDescent="0.25">
      <c r="A1274" t="s">
        <v>1277</v>
      </c>
    </row>
    <row r="1275" spans="1:1" x14ac:dyDescent="0.25">
      <c r="A1275" t="s">
        <v>1278</v>
      </c>
    </row>
    <row r="1276" spans="1:1" x14ac:dyDescent="0.25">
      <c r="A1276" t="s">
        <v>1279</v>
      </c>
    </row>
    <row r="1277" spans="1:1" x14ac:dyDescent="0.25">
      <c r="A1277" t="s">
        <v>1280</v>
      </c>
    </row>
    <row r="1278" spans="1:1" x14ac:dyDescent="0.25">
      <c r="A1278" t="s">
        <v>1281</v>
      </c>
    </row>
    <row r="1279" spans="1:1" x14ac:dyDescent="0.25">
      <c r="A1279" t="s">
        <v>1282</v>
      </c>
    </row>
    <row r="1280" spans="1:1" x14ac:dyDescent="0.25">
      <c r="A1280" t="s">
        <v>1283</v>
      </c>
    </row>
    <row r="1281" spans="1:1" x14ac:dyDescent="0.25">
      <c r="A1281" t="s">
        <v>1284</v>
      </c>
    </row>
    <row r="1282" spans="1:1" x14ac:dyDescent="0.25">
      <c r="A1282" t="s">
        <v>1285</v>
      </c>
    </row>
    <row r="1283" spans="1:1" x14ac:dyDescent="0.25">
      <c r="A1283" t="s">
        <v>1286</v>
      </c>
    </row>
    <row r="1284" spans="1:1" x14ac:dyDescent="0.25">
      <c r="A1284" t="s">
        <v>1287</v>
      </c>
    </row>
    <row r="1285" spans="1:1" x14ac:dyDescent="0.25">
      <c r="A1285" t="s">
        <v>1288</v>
      </c>
    </row>
    <row r="1286" spans="1:1" x14ac:dyDescent="0.25">
      <c r="A1286" t="s">
        <v>1289</v>
      </c>
    </row>
    <row r="1287" spans="1:1" x14ac:dyDescent="0.25">
      <c r="A1287" t="s">
        <v>1290</v>
      </c>
    </row>
    <row r="1288" spans="1:1" x14ac:dyDescent="0.25">
      <c r="A1288" t="s">
        <v>1291</v>
      </c>
    </row>
    <row r="1289" spans="1:1" x14ac:dyDescent="0.25">
      <c r="A1289" t="s">
        <v>1292</v>
      </c>
    </row>
    <row r="1290" spans="1:1" x14ac:dyDescent="0.25">
      <c r="A1290" t="s">
        <v>1293</v>
      </c>
    </row>
    <row r="1291" spans="1:1" x14ac:dyDescent="0.25">
      <c r="A1291" t="s">
        <v>1294</v>
      </c>
    </row>
    <row r="1292" spans="1:1" x14ac:dyDescent="0.25">
      <c r="A1292" t="s">
        <v>1295</v>
      </c>
    </row>
    <row r="1293" spans="1:1" x14ac:dyDescent="0.25">
      <c r="A1293" t="s">
        <v>1296</v>
      </c>
    </row>
    <row r="1294" spans="1:1" x14ac:dyDescent="0.25">
      <c r="A1294" t="s">
        <v>1297</v>
      </c>
    </row>
    <row r="1295" spans="1:1" x14ac:dyDescent="0.25">
      <c r="A1295" t="s">
        <v>1298</v>
      </c>
    </row>
    <row r="1296" spans="1:1" x14ac:dyDescent="0.25">
      <c r="A1296" t="s">
        <v>1299</v>
      </c>
    </row>
    <row r="1297" spans="1:1" x14ac:dyDescent="0.25">
      <c r="A1297" t="s">
        <v>1300</v>
      </c>
    </row>
    <row r="1298" spans="1:1" x14ac:dyDescent="0.25">
      <c r="A1298" t="s">
        <v>1301</v>
      </c>
    </row>
    <row r="1299" spans="1:1" x14ac:dyDescent="0.25">
      <c r="A1299" t="s">
        <v>1302</v>
      </c>
    </row>
    <row r="1300" spans="1:1" x14ac:dyDescent="0.25">
      <c r="A1300" t="s">
        <v>1303</v>
      </c>
    </row>
    <row r="1301" spans="1:1" x14ac:dyDescent="0.25">
      <c r="A1301" t="s">
        <v>1304</v>
      </c>
    </row>
    <row r="1302" spans="1:1" x14ac:dyDescent="0.25">
      <c r="A1302" t="s">
        <v>1305</v>
      </c>
    </row>
    <row r="1303" spans="1:1" x14ac:dyDescent="0.25">
      <c r="A1303" t="s">
        <v>1306</v>
      </c>
    </row>
    <row r="1304" spans="1:1" x14ac:dyDescent="0.25">
      <c r="A1304" t="s">
        <v>1307</v>
      </c>
    </row>
    <row r="1305" spans="1:1" x14ac:dyDescent="0.25">
      <c r="A1305" t="s">
        <v>1308</v>
      </c>
    </row>
    <row r="1306" spans="1:1" x14ac:dyDescent="0.25">
      <c r="A1306" t="s">
        <v>1309</v>
      </c>
    </row>
    <row r="1307" spans="1:1" x14ac:dyDescent="0.25">
      <c r="A1307" t="s">
        <v>1310</v>
      </c>
    </row>
    <row r="1308" spans="1:1" x14ac:dyDescent="0.25">
      <c r="A1308" t="s">
        <v>1311</v>
      </c>
    </row>
    <row r="1309" spans="1:1" x14ac:dyDescent="0.25">
      <c r="A1309" t="s">
        <v>1312</v>
      </c>
    </row>
    <row r="1310" spans="1:1" x14ac:dyDescent="0.25">
      <c r="A1310" t="s">
        <v>1313</v>
      </c>
    </row>
    <row r="1311" spans="1:1" x14ac:dyDescent="0.25">
      <c r="A1311" t="s">
        <v>1314</v>
      </c>
    </row>
    <row r="1312" spans="1:1" x14ac:dyDescent="0.25">
      <c r="A1312" t="s">
        <v>1315</v>
      </c>
    </row>
    <row r="1313" spans="1:1" x14ac:dyDescent="0.25">
      <c r="A1313" t="s">
        <v>1316</v>
      </c>
    </row>
    <row r="1314" spans="1:1" x14ac:dyDescent="0.25">
      <c r="A1314" t="s">
        <v>1317</v>
      </c>
    </row>
    <row r="1315" spans="1:1" x14ac:dyDescent="0.25">
      <c r="A1315" t="s">
        <v>1318</v>
      </c>
    </row>
    <row r="1316" spans="1:1" x14ac:dyDescent="0.25">
      <c r="A1316" t="s">
        <v>1319</v>
      </c>
    </row>
    <row r="1317" spans="1:1" x14ac:dyDescent="0.25">
      <c r="A1317" t="s">
        <v>1320</v>
      </c>
    </row>
    <row r="1318" spans="1:1" x14ac:dyDescent="0.25">
      <c r="A1318" t="s">
        <v>1321</v>
      </c>
    </row>
    <row r="1319" spans="1:1" x14ac:dyDescent="0.25">
      <c r="A1319" t="s">
        <v>1322</v>
      </c>
    </row>
    <row r="1320" spans="1:1" x14ac:dyDescent="0.25">
      <c r="A1320" t="s">
        <v>1323</v>
      </c>
    </row>
    <row r="1321" spans="1:1" x14ac:dyDescent="0.25">
      <c r="A1321" t="s">
        <v>1324</v>
      </c>
    </row>
    <row r="1322" spans="1:1" x14ac:dyDescent="0.25">
      <c r="A1322" t="s">
        <v>1325</v>
      </c>
    </row>
    <row r="1323" spans="1:1" x14ac:dyDescent="0.25">
      <c r="A1323" t="s">
        <v>1326</v>
      </c>
    </row>
    <row r="1324" spans="1:1" x14ac:dyDescent="0.25">
      <c r="A1324" t="s">
        <v>1327</v>
      </c>
    </row>
    <row r="1325" spans="1:1" x14ac:dyDescent="0.25">
      <c r="A1325" t="s">
        <v>1328</v>
      </c>
    </row>
    <row r="1326" spans="1:1" x14ac:dyDescent="0.25">
      <c r="A1326" t="s">
        <v>1329</v>
      </c>
    </row>
    <row r="1327" spans="1:1" x14ac:dyDescent="0.25">
      <c r="A1327" t="s">
        <v>1330</v>
      </c>
    </row>
    <row r="1328" spans="1:1" x14ac:dyDescent="0.25">
      <c r="A1328" t="s">
        <v>1331</v>
      </c>
    </row>
    <row r="1329" spans="1:1" x14ac:dyDescent="0.25">
      <c r="A1329" t="s">
        <v>1332</v>
      </c>
    </row>
    <row r="1330" spans="1:1" x14ac:dyDescent="0.25">
      <c r="A1330" t="s">
        <v>1333</v>
      </c>
    </row>
    <row r="1331" spans="1:1" x14ac:dyDescent="0.25">
      <c r="A1331" t="s">
        <v>1334</v>
      </c>
    </row>
    <row r="1332" spans="1:1" x14ac:dyDescent="0.25">
      <c r="A1332" t="s">
        <v>1335</v>
      </c>
    </row>
    <row r="1333" spans="1:1" x14ac:dyDescent="0.25">
      <c r="A1333" t="s">
        <v>1336</v>
      </c>
    </row>
    <row r="1334" spans="1:1" x14ac:dyDescent="0.25">
      <c r="A1334" t="s">
        <v>1337</v>
      </c>
    </row>
    <row r="1335" spans="1:1" x14ac:dyDescent="0.25">
      <c r="A1335" t="s">
        <v>1338</v>
      </c>
    </row>
    <row r="1336" spans="1:1" x14ac:dyDescent="0.25">
      <c r="A1336" t="s">
        <v>1339</v>
      </c>
    </row>
    <row r="1337" spans="1:1" x14ac:dyDescent="0.25">
      <c r="A1337" t="s">
        <v>1340</v>
      </c>
    </row>
    <row r="1338" spans="1:1" x14ac:dyDescent="0.25">
      <c r="A1338" t="s">
        <v>1341</v>
      </c>
    </row>
    <row r="1339" spans="1:1" x14ac:dyDescent="0.25">
      <c r="A1339" t="s">
        <v>1342</v>
      </c>
    </row>
    <row r="1340" spans="1:1" x14ac:dyDescent="0.25">
      <c r="A1340" t="s">
        <v>1343</v>
      </c>
    </row>
    <row r="1341" spans="1:1" x14ac:dyDescent="0.25">
      <c r="A1341" t="s">
        <v>1344</v>
      </c>
    </row>
    <row r="1342" spans="1:1" x14ac:dyDescent="0.25">
      <c r="A1342" t="s">
        <v>1345</v>
      </c>
    </row>
    <row r="1343" spans="1:1" x14ac:dyDescent="0.25">
      <c r="A1343" t="s">
        <v>1346</v>
      </c>
    </row>
    <row r="1344" spans="1:1" x14ac:dyDescent="0.25">
      <c r="A1344" t="s">
        <v>1347</v>
      </c>
    </row>
    <row r="1345" spans="1:1" x14ac:dyDescent="0.25">
      <c r="A1345" t="s">
        <v>1348</v>
      </c>
    </row>
    <row r="1346" spans="1:1" x14ac:dyDescent="0.25">
      <c r="A1346" t="s">
        <v>1349</v>
      </c>
    </row>
    <row r="1347" spans="1:1" x14ac:dyDescent="0.25">
      <c r="A1347" t="s">
        <v>1350</v>
      </c>
    </row>
    <row r="1348" spans="1:1" x14ac:dyDescent="0.25">
      <c r="A1348" t="s">
        <v>1351</v>
      </c>
    </row>
    <row r="1349" spans="1:1" x14ac:dyDescent="0.25">
      <c r="A1349" t="s">
        <v>1352</v>
      </c>
    </row>
    <row r="1350" spans="1:1" x14ac:dyDescent="0.25">
      <c r="A1350" t="s">
        <v>1353</v>
      </c>
    </row>
    <row r="1351" spans="1:1" x14ac:dyDescent="0.25">
      <c r="A1351" t="s">
        <v>1354</v>
      </c>
    </row>
    <row r="1352" spans="1:1" x14ac:dyDescent="0.25">
      <c r="A1352" t="s">
        <v>1355</v>
      </c>
    </row>
    <row r="1353" spans="1:1" x14ac:dyDescent="0.25">
      <c r="A1353" t="s">
        <v>1356</v>
      </c>
    </row>
    <row r="1354" spans="1:1" x14ac:dyDescent="0.25">
      <c r="A1354" t="s">
        <v>1357</v>
      </c>
    </row>
    <row r="1355" spans="1:1" x14ac:dyDescent="0.25">
      <c r="A1355" t="s">
        <v>1358</v>
      </c>
    </row>
    <row r="1356" spans="1:1" x14ac:dyDescent="0.25">
      <c r="A1356" t="s">
        <v>1359</v>
      </c>
    </row>
    <row r="1357" spans="1:1" x14ac:dyDescent="0.25">
      <c r="A1357" t="s">
        <v>1360</v>
      </c>
    </row>
    <row r="1358" spans="1:1" x14ac:dyDescent="0.25">
      <c r="A1358" t="s">
        <v>1361</v>
      </c>
    </row>
    <row r="1359" spans="1:1" x14ac:dyDescent="0.25">
      <c r="A1359" t="s">
        <v>1362</v>
      </c>
    </row>
    <row r="1360" spans="1:1" x14ac:dyDescent="0.25">
      <c r="A1360" t="s">
        <v>1363</v>
      </c>
    </row>
    <row r="1361" spans="1:1" x14ac:dyDescent="0.25">
      <c r="A1361" t="s">
        <v>1364</v>
      </c>
    </row>
    <row r="1362" spans="1:1" x14ac:dyDescent="0.25">
      <c r="A1362" t="s">
        <v>1365</v>
      </c>
    </row>
    <row r="1363" spans="1:1" x14ac:dyDescent="0.25">
      <c r="A1363" t="s">
        <v>1366</v>
      </c>
    </row>
    <row r="1364" spans="1:1" x14ac:dyDescent="0.25">
      <c r="A1364" t="s">
        <v>1367</v>
      </c>
    </row>
    <row r="1365" spans="1:1" x14ac:dyDescent="0.25">
      <c r="A1365" t="s">
        <v>1368</v>
      </c>
    </row>
    <row r="1366" spans="1:1" x14ac:dyDescent="0.25">
      <c r="A1366" t="s">
        <v>1369</v>
      </c>
    </row>
    <row r="1367" spans="1:1" x14ac:dyDescent="0.25">
      <c r="A1367" t="s">
        <v>1370</v>
      </c>
    </row>
    <row r="1368" spans="1:1" x14ac:dyDescent="0.25">
      <c r="A1368" t="s">
        <v>1371</v>
      </c>
    </row>
    <row r="1369" spans="1:1" x14ac:dyDescent="0.25">
      <c r="A1369" t="s">
        <v>1372</v>
      </c>
    </row>
    <row r="1370" spans="1:1" x14ac:dyDescent="0.25">
      <c r="A1370" t="s">
        <v>1373</v>
      </c>
    </row>
    <row r="1371" spans="1:1" x14ac:dyDescent="0.25">
      <c r="A1371" t="s">
        <v>1374</v>
      </c>
    </row>
    <row r="1372" spans="1:1" x14ac:dyDescent="0.25">
      <c r="A1372" t="s">
        <v>1375</v>
      </c>
    </row>
    <row r="1373" spans="1:1" x14ac:dyDescent="0.25">
      <c r="A1373" t="s">
        <v>1376</v>
      </c>
    </row>
    <row r="1374" spans="1:1" x14ac:dyDescent="0.25">
      <c r="A1374" t="s">
        <v>1377</v>
      </c>
    </row>
    <row r="1375" spans="1:1" x14ac:dyDescent="0.25">
      <c r="A1375" t="s">
        <v>1378</v>
      </c>
    </row>
    <row r="1376" spans="1:1" x14ac:dyDescent="0.25">
      <c r="A1376" t="s">
        <v>1379</v>
      </c>
    </row>
    <row r="1377" spans="1:1" x14ac:dyDescent="0.25">
      <c r="A1377" t="s">
        <v>1380</v>
      </c>
    </row>
    <row r="1378" spans="1:1" x14ac:dyDescent="0.25">
      <c r="A1378" t="s">
        <v>1381</v>
      </c>
    </row>
    <row r="1379" spans="1:1" x14ac:dyDescent="0.25">
      <c r="A1379" t="s">
        <v>1382</v>
      </c>
    </row>
    <row r="1380" spans="1:1" x14ac:dyDescent="0.25">
      <c r="A1380" t="s">
        <v>1383</v>
      </c>
    </row>
    <row r="1381" spans="1:1" x14ac:dyDescent="0.25">
      <c r="A1381" t="s">
        <v>1384</v>
      </c>
    </row>
    <row r="1382" spans="1:1" x14ac:dyDescent="0.25">
      <c r="A1382" t="s">
        <v>1385</v>
      </c>
    </row>
    <row r="1383" spans="1:1" x14ac:dyDescent="0.25">
      <c r="A1383" t="s">
        <v>1386</v>
      </c>
    </row>
    <row r="1384" spans="1:1" x14ac:dyDescent="0.25">
      <c r="A1384" t="s">
        <v>1387</v>
      </c>
    </row>
    <row r="1385" spans="1:1" x14ac:dyDescent="0.25">
      <c r="A1385" t="s">
        <v>1388</v>
      </c>
    </row>
    <row r="1386" spans="1:1" x14ac:dyDescent="0.25">
      <c r="A1386" t="s">
        <v>1389</v>
      </c>
    </row>
    <row r="1387" spans="1:1" x14ac:dyDescent="0.25">
      <c r="A1387" t="s">
        <v>1390</v>
      </c>
    </row>
    <row r="1388" spans="1:1" x14ac:dyDescent="0.25">
      <c r="A1388" t="s">
        <v>1391</v>
      </c>
    </row>
    <row r="1389" spans="1:1" x14ac:dyDescent="0.25">
      <c r="A1389" t="s">
        <v>1392</v>
      </c>
    </row>
    <row r="1390" spans="1:1" x14ac:dyDescent="0.25">
      <c r="A1390" t="s">
        <v>1393</v>
      </c>
    </row>
    <row r="1391" spans="1:1" x14ac:dyDescent="0.25">
      <c r="A1391" t="s">
        <v>1394</v>
      </c>
    </row>
    <row r="1392" spans="1:1" x14ac:dyDescent="0.25">
      <c r="A1392" t="s">
        <v>1395</v>
      </c>
    </row>
    <row r="1393" spans="1:1" x14ac:dyDescent="0.25">
      <c r="A1393" t="s">
        <v>1396</v>
      </c>
    </row>
    <row r="1394" spans="1:1" x14ac:dyDescent="0.25">
      <c r="A1394" t="s">
        <v>1397</v>
      </c>
    </row>
    <row r="1395" spans="1:1" x14ac:dyDescent="0.25">
      <c r="A1395" t="s">
        <v>1398</v>
      </c>
    </row>
    <row r="1396" spans="1:1" x14ac:dyDescent="0.25">
      <c r="A1396" t="s">
        <v>1399</v>
      </c>
    </row>
    <row r="1397" spans="1:1" x14ac:dyDescent="0.25">
      <c r="A1397" t="s">
        <v>1400</v>
      </c>
    </row>
    <row r="1398" spans="1:1" x14ac:dyDescent="0.25">
      <c r="A1398" t="s">
        <v>1401</v>
      </c>
    </row>
    <row r="1399" spans="1:1" x14ac:dyDescent="0.25">
      <c r="A1399" t="s">
        <v>1402</v>
      </c>
    </row>
    <row r="1400" spans="1:1" x14ac:dyDescent="0.25">
      <c r="A1400" t="s">
        <v>1403</v>
      </c>
    </row>
    <row r="1401" spans="1:1" x14ac:dyDescent="0.25">
      <c r="A1401" t="s">
        <v>1404</v>
      </c>
    </row>
    <row r="1402" spans="1:1" x14ac:dyDescent="0.25">
      <c r="A1402" t="s">
        <v>1405</v>
      </c>
    </row>
    <row r="1403" spans="1:1" x14ac:dyDescent="0.25">
      <c r="A1403" t="s">
        <v>1406</v>
      </c>
    </row>
    <row r="1404" spans="1:1" x14ac:dyDescent="0.25">
      <c r="A1404" t="s">
        <v>1407</v>
      </c>
    </row>
    <row r="1405" spans="1:1" x14ac:dyDescent="0.25">
      <c r="A1405" t="s">
        <v>1408</v>
      </c>
    </row>
    <row r="1406" spans="1:1" x14ac:dyDescent="0.25">
      <c r="A1406" t="s">
        <v>1409</v>
      </c>
    </row>
    <row r="1407" spans="1:1" x14ac:dyDescent="0.25">
      <c r="A1407" t="s">
        <v>1410</v>
      </c>
    </row>
    <row r="1408" spans="1:1" x14ac:dyDescent="0.25">
      <c r="A1408" t="s">
        <v>1411</v>
      </c>
    </row>
    <row r="1409" spans="1:1" x14ac:dyDescent="0.25">
      <c r="A1409" t="s">
        <v>1412</v>
      </c>
    </row>
    <row r="1410" spans="1:1" x14ac:dyDescent="0.25">
      <c r="A1410" t="s">
        <v>1413</v>
      </c>
    </row>
    <row r="1411" spans="1:1" x14ac:dyDescent="0.25">
      <c r="A1411" t="s">
        <v>1414</v>
      </c>
    </row>
    <row r="1412" spans="1:1" x14ac:dyDescent="0.25">
      <c r="A1412" t="s">
        <v>1415</v>
      </c>
    </row>
    <row r="1413" spans="1:1" x14ac:dyDescent="0.25">
      <c r="A1413" t="s">
        <v>1416</v>
      </c>
    </row>
    <row r="1414" spans="1:1" x14ac:dyDescent="0.25">
      <c r="A1414" t="s">
        <v>1417</v>
      </c>
    </row>
    <row r="1415" spans="1:1" x14ac:dyDescent="0.25">
      <c r="A1415" t="s">
        <v>1418</v>
      </c>
    </row>
    <row r="1416" spans="1:1" x14ac:dyDescent="0.25">
      <c r="A1416" t="s">
        <v>1419</v>
      </c>
    </row>
    <row r="1417" spans="1:1" x14ac:dyDescent="0.25">
      <c r="A1417" t="s">
        <v>1420</v>
      </c>
    </row>
    <row r="1418" spans="1:1" x14ac:dyDescent="0.25">
      <c r="A1418" t="s">
        <v>1421</v>
      </c>
    </row>
    <row r="1419" spans="1:1" x14ac:dyDescent="0.25">
      <c r="A1419" t="s">
        <v>1422</v>
      </c>
    </row>
    <row r="1420" spans="1:1" x14ac:dyDescent="0.25">
      <c r="A1420" t="s">
        <v>1423</v>
      </c>
    </row>
    <row r="1421" spans="1:1" x14ac:dyDescent="0.25">
      <c r="A1421" t="s">
        <v>1424</v>
      </c>
    </row>
    <row r="1422" spans="1:1" x14ac:dyDescent="0.25">
      <c r="A1422" t="s">
        <v>1425</v>
      </c>
    </row>
    <row r="1423" spans="1:1" x14ac:dyDescent="0.25">
      <c r="A1423" t="s">
        <v>1426</v>
      </c>
    </row>
    <row r="1424" spans="1:1" x14ac:dyDescent="0.25">
      <c r="A1424" t="s">
        <v>1427</v>
      </c>
    </row>
    <row r="1425" spans="1:1" x14ac:dyDescent="0.25">
      <c r="A1425" t="s">
        <v>1428</v>
      </c>
    </row>
    <row r="1426" spans="1:1" x14ac:dyDescent="0.25">
      <c r="A1426" t="s">
        <v>1429</v>
      </c>
    </row>
    <row r="1427" spans="1:1" x14ac:dyDescent="0.25">
      <c r="A1427" t="s">
        <v>1430</v>
      </c>
    </row>
    <row r="1428" spans="1:1" x14ac:dyDescent="0.25">
      <c r="A1428" t="s">
        <v>1431</v>
      </c>
    </row>
    <row r="1429" spans="1:1" x14ac:dyDescent="0.25">
      <c r="A1429" t="s">
        <v>1432</v>
      </c>
    </row>
    <row r="1430" spans="1:1" x14ac:dyDescent="0.25">
      <c r="A1430" t="s">
        <v>1433</v>
      </c>
    </row>
    <row r="1431" spans="1:1" x14ac:dyDescent="0.25">
      <c r="A1431" t="s">
        <v>1434</v>
      </c>
    </row>
    <row r="1432" spans="1:1" x14ac:dyDescent="0.25">
      <c r="A1432" t="s">
        <v>1435</v>
      </c>
    </row>
    <row r="1433" spans="1:1" x14ac:dyDescent="0.25">
      <c r="A1433" t="s">
        <v>1436</v>
      </c>
    </row>
    <row r="1434" spans="1:1" x14ac:dyDescent="0.25">
      <c r="A1434" t="s">
        <v>1437</v>
      </c>
    </row>
    <row r="1435" spans="1:1" x14ac:dyDescent="0.25">
      <c r="A1435" t="s">
        <v>1438</v>
      </c>
    </row>
    <row r="1436" spans="1:1" x14ac:dyDescent="0.25">
      <c r="A1436" t="s">
        <v>1439</v>
      </c>
    </row>
    <row r="1437" spans="1:1" x14ac:dyDescent="0.25">
      <c r="A1437" t="s">
        <v>1440</v>
      </c>
    </row>
    <row r="1438" spans="1:1" x14ac:dyDescent="0.25">
      <c r="A1438" t="s">
        <v>1441</v>
      </c>
    </row>
    <row r="1439" spans="1:1" x14ac:dyDescent="0.25">
      <c r="A1439" t="s">
        <v>1442</v>
      </c>
    </row>
    <row r="1440" spans="1:1" x14ac:dyDescent="0.25">
      <c r="A1440" t="s">
        <v>1443</v>
      </c>
    </row>
    <row r="1441" spans="1:1" x14ac:dyDescent="0.25">
      <c r="A1441" t="s">
        <v>1444</v>
      </c>
    </row>
    <row r="1442" spans="1:1" x14ac:dyDescent="0.25">
      <c r="A1442" t="s">
        <v>1445</v>
      </c>
    </row>
    <row r="1443" spans="1:1" x14ac:dyDescent="0.25">
      <c r="A1443" t="s">
        <v>1446</v>
      </c>
    </row>
    <row r="1444" spans="1:1" x14ac:dyDescent="0.25">
      <c r="A1444" t="s">
        <v>1447</v>
      </c>
    </row>
    <row r="1445" spans="1:1" x14ac:dyDescent="0.25">
      <c r="A1445" t="s">
        <v>1448</v>
      </c>
    </row>
    <row r="1446" spans="1:1" x14ac:dyDescent="0.25">
      <c r="A1446" t="s">
        <v>1449</v>
      </c>
    </row>
    <row r="1447" spans="1:1" x14ac:dyDescent="0.25">
      <c r="A1447" t="s">
        <v>1450</v>
      </c>
    </row>
    <row r="1448" spans="1:1" x14ac:dyDescent="0.25">
      <c r="A1448" t="s">
        <v>1451</v>
      </c>
    </row>
    <row r="1449" spans="1:1" x14ac:dyDescent="0.25">
      <c r="A1449" t="s">
        <v>1452</v>
      </c>
    </row>
    <row r="1450" spans="1:1" x14ac:dyDescent="0.25">
      <c r="A1450" t="s">
        <v>1453</v>
      </c>
    </row>
    <row r="1451" spans="1:1" x14ac:dyDescent="0.25">
      <c r="A1451" t="s">
        <v>1454</v>
      </c>
    </row>
    <row r="1452" spans="1:1" x14ac:dyDescent="0.25">
      <c r="A1452" t="s">
        <v>1455</v>
      </c>
    </row>
    <row r="1453" spans="1:1" x14ac:dyDescent="0.25">
      <c r="A1453" t="s">
        <v>1456</v>
      </c>
    </row>
    <row r="1454" spans="1:1" x14ac:dyDescent="0.25">
      <c r="A1454" t="s">
        <v>1457</v>
      </c>
    </row>
    <row r="1455" spans="1:1" x14ac:dyDescent="0.25">
      <c r="A1455" t="s">
        <v>1458</v>
      </c>
    </row>
    <row r="1456" spans="1:1" x14ac:dyDescent="0.25">
      <c r="A1456" t="s">
        <v>1459</v>
      </c>
    </row>
    <row r="1457" spans="1:1" x14ac:dyDescent="0.25">
      <c r="A1457" t="s">
        <v>1460</v>
      </c>
    </row>
    <row r="1458" spans="1:1" x14ac:dyDescent="0.25">
      <c r="A1458" t="s">
        <v>1461</v>
      </c>
    </row>
    <row r="1459" spans="1:1" x14ac:dyDescent="0.25">
      <c r="A1459" t="s">
        <v>1462</v>
      </c>
    </row>
    <row r="1460" spans="1:1" x14ac:dyDescent="0.25">
      <c r="A1460" t="s">
        <v>1463</v>
      </c>
    </row>
    <row r="1461" spans="1:1" x14ac:dyDescent="0.25">
      <c r="A1461" t="s">
        <v>1464</v>
      </c>
    </row>
    <row r="1462" spans="1:1" x14ac:dyDescent="0.25">
      <c r="A1462" t="s">
        <v>1465</v>
      </c>
    </row>
    <row r="1463" spans="1:1" x14ac:dyDescent="0.25">
      <c r="A1463" t="s">
        <v>1466</v>
      </c>
    </row>
    <row r="1464" spans="1:1" x14ac:dyDescent="0.25">
      <c r="A1464" t="s">
        <v>1467</v>
      </c>
    </row>
    <row r="1465" spans="1:1" x14ac:dyDescent="0.25">
      <c r="A1465" t="s">
        <v>1468</v>
      </c>
    </row>
    <row r="1466" spans="1:1" x14ac:dyDescent="0.25">
      <c r="A1466" t="s">
        <v>1469</v>
      </c>
    </row>
    <row r="1467" spans="1:1" x14ac:dyDescent="0.25">
      <c r="A1467" t="s">
        <v>1470</v>
      </c>
    </row>
    <row r="1468" spans="1:1" x14ac:dyDescent="0.25">
      <c r="A1468" t="s">
        <v>1471</v>
      </c>
    </row>
    <row r="1469" spans="1:1" x14ac:dyDescent="0.25">
      <c r="A1469" t="s">
        <v>1472</v>
      </c>
    </row>
    <row r="1470" spans="1:1" x14ac:dyDescent="0.25">
      <c r="A1470" t="s">
        <v>1473</v>
      </c>
    </row>
    <row r="1471" spans="1:1" x14ac:dyDescent="0.25">
      <c r="A1471" t="s">
        <v>1474</v>
      </c>
    </row>
    <row r="1472" spans="1:1" x14ac:dyDescent="0.25">
      <c r="A1472" t="s">
        <v>1475</v>
      </c>
    </row>
    <row r="1473" spans="1:1" x14ac:dyDescent="0.25">
      <c r="A1473" t="s">
        <v>1476</v>
      </c>
    </row>
    <row r="1474" spans="1:1" x14ac:dyDescent="0.25">
      <c r="A1474" t="s">
        <v>1477</v>
      </c>
    </row>
    <row r="1475" spans="1:1" x14ac:dyDescent="0.25">
      <c r="A1475" t="s">
        <v>1478</v>
      </c>
    </row>
    <row r="1476" spans="1:1" x14ac:dyDescent="0.25">
      <c r="A1476" t="s">
        <v>1479</v>
      </c>
    </row>
    <row r="1477" spans="1:1" x14ac:dyDescent="0.25">
      <c r="A1477" t="s">
        <v>1480</v>
      </c>
    </row>
    <row r="1478" spans="1:1" x14ac:dyDescent="0.25">
      <c r="A1478" t="s">
        <v>1481</v>
      </c>
    </row>
    <row r="1479" spans="1:1" x14ac:dyDescent="0.25">
      <c r="A1479" t="s">
        <v>1482</v>
      </c>
    </row>
    <row r="1480" spans="1:1" x14ac:dyDescent="0.25">
      <c r="A1480" t="s">
        <v>1483</v>
      </c>
    </row>
    <row r="1481" spans="1:1" x14ac:dyDescent="0.25">
      <c r="A1481" t="s">
        <v>1484</v>
      </c>
    </row>
    <row r="1482" spans="1:1" x14ac:dyDescent="0.25">
      <c r="A1482" t="s">
        <v>1485</v>
      </c>
    </row>
    <row r="1483" spans="1:1" x14ac:dyDescent="0.25">
      <c r="A1483" t="s">
        <v>1486</v>
      </c>
    </row>
    <row r="1484" spans="1:1" x14ac:dyDescent="0.25">
      <c r="A1484" t="s">
        <v>1487</v>
      </c>
    </row>
    <row r="1485" spans="1:1" x14ac:dyDescent="0.25">
      <c r="A1485" t="s">
        <v>1488</v>
      </c>
    </row>
    <row r="1486" spans="1:1" x14ac:dyDescent="0.25">
      <c r="A1486" t="s">
        <v>1489</v>
      </c>
    </row>
    <row r="1487" spans="1:1" x14ac:dyDescent="0.25">
      <c r="A1487" t="s">
        <v>1490</v>
      </c>
    </row>
    <row r="1488" spans="1:1" x14ac:dyDescent="0.25">
      <c r="A1488" t="s">
        <v>1491</v>
      </c>
    </row>
    <row r="1489" spans="1:1" x14ac:dyDescent="0.25">
      <c r="A1489" t="s">
        <v>1492</v>
      </c>
    </row>
    <row r="1490" spans="1:1" x14ac:dyDescent="0.25">
      <c r="A1490" t="s">
        <v>1493</v>
      </c>
    </row>
    <row r="1491" spans="1:1" x14ac:dyDescent="0.25">
      <c r="A1491" t="s">
        <v>1494</v>
      </c>
    </row>
    <row r="1492" spans="1:1" x14ac:dyDescent="0.25">
      <c r="A1492" t="s">
        <v>1495</v>
      </c>
    </row>
    <row r="1493" spans="1:1" x14ac:dyDescent="0.25">
      <c r="A1493" t="s">
        <v>1496</v>
      </c>
    </row>
    <row r="1494" spans="1:1" x14ac:dyDescent="0.25">
      <c r="A1494" t="s">
        <v>1497</v>
      </c>
    </row>
    <row r="1495" spans="1:1" x14ac:dyDescent="0.25">
      <c r="A1495" t="s">
        <v>1498</v>
      </c>
    </row>
    <row r="1496" spans="1:1" x14ac:dyDescent="0.25">
      <c r="A1496" t="s">
        <v>1499</v>
      </c>
    </row>
    <row r="1497" spans="1:1" x14ac:dyDescent="0.25">
      <c r="A1497" t="s">
        <v>1500</v>
      </c>
    </row>
    <row r="1498" spans="1:1" x14ac:dyDescent="0.25">
      <c r="A1498" t="s">
        <v>1501</v>
      </c>
    </row>
    <row r="1499" spans="1:1" x14ac:dyDescent="0.25">
      <c r="A1499" t="s">
        <v>1502</v>
      </c>
    </row>
    <row r="1500" spans="1:1" x14ac:dyDescent="0.25">
      <c r="A1500" t="s">
        <v>1503</v>
      </c>
    </row>
    <row r="1501" spans="1:1" x14ac:dyDescent="0.25">
      <c r="A1501" t="s">
        <v>1504</v>
      </c>
    </row>
    <row r="1502" spans="1:1" x14ac:dyDescent="0.25">
      <c r="A1502" t="s">
        <v>1505</v>
      </c>
    </row>
    <row r="1503" spans="1:1" x14ac:dyDescent="0.25">
      <c r="A1503" t="s">
        <v>1506</v>
      </c>
    </row>
    <row r="1504" spans="1:1" x14ac:dyDescent="0.25">
      <c r="A1504" t="s">
        <v>1507</v>
      </c>
    </row>
    <row r="1505" spans="1:1" x14ac:dyDescent="0.25">
      <c r="A1505" t="s">
        <v>1508</v>
      </c>
    </row>
    <row r="1506" spans="1:1" x14ac:dyDescent="0.25">
      <c r="A1506" t="s">
        <v>1509</v>
      </c>
    </row>
    <row r="1507" spans="1:1" x14ac:dyDescent="0.25">
      <c r="A1507" t="s">
        <v>1510</v>
      </c>
    </row>
    <row r="1508" spans="1:1" x14ac:dyDescent="0.25">
      <c r="A1508" t="s">
        <v>1511</v>
      </c>
    </row>
    <row r="1509" spans="1:1" x14ac:dyDescent="0.25">
      <c r="A1509" t="s">
        <v>1512</v>
      </c>
    </row>
    <row r="1510" spans="1:1" x14ac:dyDescent="0.25">
      <c r="A1510" t="s">
        <v>1513</v>
      </c>
    </row>
    <row r="1511" spans="1:1" x14ac:dyDescent="0.25">
      <c r="A1511" t="s">
        <v>1514</v>
      </c>
    </row>
    <row r="1512" spans="1:1" x14ac:dyDescent="0.25">
      <c r="A1512" t="s">
        <v>1515</v>
      </c>
    </row>
    <row r="1513" spans="1:1" x14ac:dyDescent="0.25">
      <c r="A1513" t="s">
        <v>1516</v>
      </c>
    </row>
    <row r="1514" spans="1:1" x14ac:dyDescent="0.25">
      <c r="A1514" t="s">
        <v>1517</v>
      </c>
    </row>
    <row r="1515" spans="1:1" x14ac:dyDescent="0.25">
      <c r="A1515" t="s">
        <v>1518</v>
      </c>
    </row>
    <row r="1516" spans="1:1" x14ac:dyDescent="0.25">
      <c r="A1516" t="s">
        <v>1519</v>
      </c>
    </row>
    <row r="1517" spans="1:1" x14ac:dyDescent="0.25">
      <c r="A1517" t="s">
        <v>1520</v>
      </c>
    </row>
    <row r="1518" spans="1:1" x14ac:dyDescent="0.25">
      <c r="A1518" t="s">
        <v>1521</v>
      </c>
    </row>
    <row r="1519" spans="1:1" x14ac:dyDescent="0.25">
      <c r="A1519" t="s">
        <v>1522</v>
      </c>
    </row>
    <row r="1520" spans="1:1" x14ac:dyDescent="0.25">
      <c r="A1520" t="s">
        <v>1523</v>
      </c>
    </row>
    <row r="1521" spans="1:1" x14ac:dyDescent="0.25">
      <c r="A1521" t="s">
        <v>1524</v>
      </c>
    </row>
    <row r="1522" spans="1:1" x14ac:dyDescent="0.25">
      <c r="A1522" t="s">
        <v>1525</v>
      </c>
    </row>
    <row r="1523" spans="1:1" x14ac:dyDescent="0.25">
      <c r="A1523" t="s">
        <v>1526</v>
      </c>
    </row>
    <row r="1524" spans="1:1" x14ac:dyDescent="0.25">
      <c r="A1524" t="s">
        <v>1527</v>
      </c>
    </row>
    <row r="1525" spans="1:1" x14ac:dyDescent="0.25">
      <c r="A1525" t="s">
        <v>1528</v>
      </c>
    </row>
    <row r="1526" spans="1:1" x14ac:dyDescent="0.25">
      <c r="A1526" t="s">
        <v>1529</v>
      </c>
    </row>
    <row r="1527" spans="1:1" x14ac:dyDescent="0.25">
      <c r="A1527" t="s">
        <v>1530</v>
      </c>
    </row>
    <row r="1528" spans="1:1" x14ac:dyDescent="0.25">
      <c r="A1528" t="s">
        <v>1531</v>
      </c>
    </row>
    <row r="1529" spans="1:1" x14ac:dyDescent="0.25">
      <c r="A1529" t="s">
        <v>1532</v>
      </c>
    </row>
    <row r="1530" spans="1:1" x14ac:dyDescent="0.25">
      <c r="A1530" t="s">
        <v>1533</v>
      </c>
    </row>
    <row r="1531" spans="1:1" x14ac:dyDescent="0.25">
      <c r="A1531" t="s">
        <v>1534</v>
      </c>
    </row>
    <row r="1532" spans="1:1" x14ac:dyDescent="0.25">
      <c r="A1532" t="s">
        <v>1535</v>
      </c>
    </row>
    <row r="1533" spans="1:1" x14ac:dyDescent="0.25">
      <c r="A1533" t="s">
        <v>1536</v>
      </c>
    </row>
    <row r="1534" spans="1:1" x14ac:dyDescent="0.25">
      <c r="A1534" t="s">
        <v>1537</v>
      </c>
    </row>
    <row r="1535" spans="1:1" x14ac:dyDescent="0.25">
      <c r="A1535" t="s">
        <v>1538</v>
      </c>
    </row>
    <row r="1536" spans="1:1" x14ac:dyDescent="0.25">
      <c r="A1536" t="s">
        <v>1539</v>
      </c>
    </row>
    <row r="1537" spans="1:1" x14ac:dyDescent="0.25">
      <c r="A1537" t="s">
        <v>1540</v>
      </c>
    </row>
    <row r="1538" spans="1:1" x14ac:dyDescent="0.25">
      <c r="A1538" t="s">
        <v>1541</v>
      </c>
    </row>
    <row r="1539" spans="1:1" x14ac:dyDescent="0.25">
      <c r="A1539" t="s">
        <v>1542</v>
      </c>
    </row>
    <row r="1540" spans="1:1" x14ac:dyDescent="0.25">
      <c r="A1540" t="s">
        <v>1543</v>
      </c>
    </row>
    <row r="1541" spans="1:1" x14ac:dyDescent="0.25">
      <c r="A1541" t="s">
        <v>1544</v>
      </c>
    </row>
    <row r="1542" spans="1:1" x14ac:dyDescent="0.25">
      <c r="A1542" t="s">
        <v>1545</v>
      </c>
    </row>
    <row r="1543" spans="1:1" x14ac:dyDescent="0.25">
      <c r="A1543" t="s">
        <v>1546</v>
      </c>
    </row>
    <row r="1544" spans="1:1" x14ac:dyDescent="0.25">
      <c r="A1544" t="s">
        <v>1547</v>
      </c>
    </row>
    <row r="1545" spans="1:1" x14ac:dyDescent="0.25">
      <c r="A1545" t="s">
        <v>1548</v>
      </c>
    </row>
    <row r="1546" spans="1:1" x14ac:dyDescent="0.25">
      <c r="A1546" t="s">
        <v>1549</v>
      </c>
    </row>
    <row r="1547" spans="1:1" x14ac:dyDescent="0.25">
      <c r="A1547" t="s">
        <v>1550</v>
      </c>
    </row>
    <row r="1548" spans="1:1" x14ac:dyDescent="0.25">
      <c r="A1548" t="s">
        <v>1551</v>
      </c>
    </row>
    <row r="1549" spans="1:1" x14ac:dyDescent="0.25">
      <c r="A1549" t="s">
        <v>1552</v>
      </c>
    </row>
    <row r="1550" spans="1:1" x14ac:dyDescent="0.25">
      <c r="A1550" t="s">
        <v>1553</v>
      </c>
    </row>
    <row r="1551" spans="1:1" x14ac:dyDescent="0.25">
      <c r="A1551" t="s">
        <v>1554</v>
      </c>
    </row>
    <row r="1552" spans="1:1" x14ac:dyDescent="0.25">
      <c r="A1552" t="s">
        <v>1555</v>
      </c>
    </row>
    <row r="1553" spans="1:1" x14ac:dyDescent="0.25">
      <c r="A1553" t="s">
        <v>1556</v>
      </c>
    </row>
    <row r="1554" spans="1:1" x14ac:dyDescent="0.25">
      <c r="A1554" t="s">
        <v>1557</v>
      </c>
    </row>
    <row r="1555" spans="1:1" x14ac:dyDescent="0.25">
      <c r="A1555" t="s">
        <v>1558</v>
      </c>
    </row>
    <row r="1556" spans="1:1" x14ac:dyDescent="0.25">
      <c r="A1556" t="s">
        <v>1559</v>
      </c>
    </row>
    <row r="1557" spans="1:1" x14ac:dyDescent="0.25">
      <c r="A1557" t="s">
        <v>1560</v>
      </c>
    </row>
    <row r="1558" spans="1:1" x14ac:dyDescent="0.25">
      <c r="A1558" t="s">
        <v>1561</v>
      </c>
    </row>
    <row r="1559" spans="1:1" x14ac:dyDescent="0.25">
      <c r="A1559" t="s">
        <v>1562</v>
      </c>
    </row>
    <row r="1560" spans="1:1" x14ac:dyDescent="0.25">
      <c r="A1560" t="s">
        <v>1563</v>
      </c>
    </row>
    <row r="1561" spans="1:1" x14ac:dyDescent="0.25">
      <c r="A1561" t="s">
        <v>1564</v>
      </c>
    </row>
    <row r="1562" spans="1:1" x14ac:dyDescent="0.25">
      <c r="A1562" t="s">
        <v>1565</v>
      </c>
    </row>
    <row r="1563" spans="1:1" x14ac:dyDescent="0.25">
      <c r="A1563" t="s">
        <v>1566</v>
      </c>
    </row>
    <row r="1564" spans="1:1" x14ac:dyDescent="0.25">
      <c r="A1564" t="s">
        <v>1567</v>
      </c>
    </row>
    <row r="1565" spans="1:1" x14ac:dyDescent="0.25">
      <c r="A1565" t="s">
        <v>1568</v>
      </c>
    </row>
    <row r="1566" spans="1:1" x14ac:dyDescent="0.25">
      <c r="A1566" t="s">
        <v>1569</v>
      </c>
    </row>
    <row r="1567" spans="1:1" x14ac:dyDescent="0.25">
      <c r="A1567" t="s">
        <v>1570</v>
      </c>
    </row>
    <row r="1568" spans="1:1" x14ac:dyDescent="0.25">
      <c r="A1568" t="s">
        <v>1571</v>
      </c>
    </row>
    <row r="1569" spans="1:1" x14ac:dyDescent="0.25">
      <c r="A1569" t="s">
        <v>1572</v>
      </c>
    </row>
    <row r="1570" spans="1:1" x14ac:dyDescent="0.25">
      <c r="A1570" t="s">
        <v>1573</v>
      </c>
    </row>
    <row r="1571" spans="1:1" x14ac:dyDescent="0.25">
      <c r="A1571" t="s">
        <v>1574</v>
      </c>
    </row>
    <row r="1572" spans="1:1" x14ac:dyDescent="0.25">
      <c r="A1572" t="s">
        <v>1575</v>
      </c>
    </row>
    <row r="1573" spans="1:1" x14ac:dyDescent="0.25">
      <c r="A1573" t="s">
        <v>1576</v>
      </c>
    </row>
    <row r="1574" spans="1:1" x14ac:dyDescent="0.25">
      <c r="A1574" t="s">
        <v>1577</v>
      </c>
    </row>
    <row r="1575" spans="1:1" x14ac:dyDescent="0.25">
      <c r="A1575" t="s">
        <v>1578</v>
      </c>
    </row>
    <row r="1576" spans="1:1" x14ac:dyDescent="0.25">
      <c r="A1576" t="s">
        <v>1579</v>
      </c>
    </row>
    <row r="1577" spans="1:1" x14ac:dyDescent="0.25">
      <c r="A1577" t="s">
        <v>1580</v>
      </c>
    </row>
    <row r="1578" spans="1:1" x14ac:dyDescent="0.25">
      <c r="A1578" t="s">
        <v>1581</v>
      </c>
    </row>
    <row r="1579" spans="1:1" x14ac:dyDescent="0.25">
      <c r="A1579" t="s">
        <v>1582</v>
      </c>
    </row>
    <row r="1580" spans="1:1" x14ac:dyDescent="0.25">
      <c r="A1580" t="s">
        <v>1583</v>
      </c>
    </row>
    <row r="1581" spans="1:1" x14ac:dyDescent="0.25">
      <c r="A1581" t="s">
        <v>1584</v>
      </c>
    </row>
    <row r="1582" spans="1:1" x14ac:dyDescent="0.25">
      <c r="A1582" t="s">
        <v>1585</v>
      </c>
    </row>
    <row r="1583" spans="1:1" x14ac:dyDescent="0.25">
      <c r="A1583" t="s">
        <v>1586</v>
      </c>
    </row>
    <row r="1584" spans="1:1" x14ac:dyDescent="0.25">
      <c r="A1584" t="s">
        <v>1587</v>
      </c>
    </row>
    <row r="1585" spans="1:1" x14ac:dyDescent="0.25">
      <c r="A1585" t="s">
        <v>1588</v>
      </c>
    </row>
    <row r="1586" spans="1:1" x14ac:dyDescent="0.25">
      <c r="A1586" t="s">
        <v>1589</v>
      </c>
    </row>
    <row r="1587" spans="1:1" x14ac:dyDescent="0.25">
      <c r="A1587" t="s">
        <v>1590</v>
      </c>
    </row>
    <row r="1588" spans="1:1" x14ac:dyDescent="0.25">
      <c r="A1588" t="s">
        <v>1591</v>
      </c>
    </row>
    <row r="1589" spans="1:1" x14ac:dyDescent="0.25">
      <c r="A1589" t="s">
        <v>1592</v>
      </c>
    </row>
    <row r="1590" spans="1:1" x14ac:dyDescent="0.25">
      <c r="A1590" t="s">
        <v>1593</v>
      </c>
    </row>
    <row r="1591" spans="1:1" x14ac:dyDescent="0.25">
      <c r="A1591" t="s">
        <v>1594</v>
      </c>
    </row>
    <row r="1592" spans="1:1" x14ac:dyDescent="0.25">
      <c r="A1592" t="s">
        <v>1595</v>
      </c>
    </row>
    <row r="1593" spans="1:1" x14ac:dyDescent="0.25">
      <c r="A1593" t="s">
        <v>1596</v>
      </c>
    </row>
    <row r="1594" spans="1:1" x14ac:dyDescent="0.25">
      <c r="A1594" t="s">
        <v>1597</v>
      </c>
    </row>
    <row r="1595" spans="1:1" x14ac:dyDescent="0.25">
      <c r="A1595" t="s">
        <v>1598</v>
      </c>
    </row>
    <row r="1596" spans="1:1" x14ac:dyDescent="0.25">
      <c r="A1596" t="s">
        <v>1599</v>
      </c>
    </row>
    <row r="1597" spans="1:1" x14ac:dyDescent="0.25">
      <c r="A1597" t="s">
        <v>1600</v>
      </c>
    </row>
    <row r="1598" spans="1:1" x14ac:dyDescent="0.25">
      <c r="A1598" t="s">
        <v>1601</v>
      </c>
    </row>
    <row r="1599" spans="1:1" x14ac:dyDescent="0.25">
      <c r="A1599" t="s">
        <v>1602</v>
      </c>
    </row>
    <row r="1600" spans="1:1" x14ac:dyDescent="0.25">
      <c r="A1600" t="s">
        <v>1603</v>
      </c>
    </row>
    <row r="1601" spans="1:1" x14ac:dyDescent="0.25">
      <c r="A1601" t="s">
        <v>1604</v>
      </c>
    </row>
    <row r="1602" spans="1:1" x14ac:dyDescent="0.25">
      <c r="A1602" t="s">
        <v>1605</v>
      </c>
    </row>
    <row r="1603" spans="1:1" x14ac:dyDescent="0.25">
      <c r="A1603" t="s">
        <v>1606</v>
      </c>
    </row>
    <row r="1604" spans="1:1" x14ac:dyDescent="0.25">
      <c r="A1604" t="s">
        <v>1607</v>
      </c>
    </row>
    <row r="1605" spans="1:1" x14ac:dyDescent="0.25">
      <c r="A1605" t="s">
        <v>1608</v>
      </c>
    </row>
    <row r="1606" spans="1:1" x14ac:dyDescent="0.25">
      <c r="A1606" t="s">
        <v>1609</v>
      </c>
    </row>
    <row r="1607" spans="1:1" x14ac:dyDescent="0.25">
      <c r="A1607" t="s">
        <v>1610</v>
      </c>
    </row>
    <row r="1608" spans="1:1" x14ac:dyDescent="0.25">
      <c r="A1608" t="s">
        <v>1611</v>
      </c>
    </row>
    <row r="1609" spans="1:1" x14ac:dyDescent="0.25">
      <c r="A1609" t="s">
        <v>1612</v>
      </c>
    </row>
    <row r="1610" spans="1:1" x14ac:dyDescent="0.25">
      <c r="A1610" t="s">
        <v>1613</v>
      </c>
    </row>
    <row r="1611" spans="1:1" x14ac:dyDescent="0.25">
      <c r="A1611" t="s">
        <v>1614</v>
      </c>
    </row>
    <row r="1612" spans="1:1" x14ac:dyDescent="0.25">
      <c r="A1612" t="s">
        <v>1615</v>
      </c>
    </row>
    <row r="1613" spans="1:1" x14ac:dyDescent="0.25">
      <c r="A1613" t="s">
        <v>1616</v>
      </c>
    </row>
    <row r="1614" spans="1:1" x14ac:dyDescent="0.25">
      <c r="A1614" t="s">
        <v>1617</v>
      </c>
    </row>
    <row r="1615" spans="1:1" x14ac:dyDescent="0.25">
      <c r="A1615" t="s">
        <v>1618</v>
      </c>
    </row>
    <row r="1616" spans="1:1" x14ac:dyDescent="0.25">
      <c r="A1616" t="s">
        <v>1619</v>
      </c>
    </row>
    <row r="1617" spans="1:1" x14ac:dyDescent="0.25">
      <c r="A1617" t="s">
        <v>1620</v>
      </c>
    </row>
    <row r="1618" spans="1:1" x14ac:dyDescent="0.25">
      <c r="A1618" t="s">
        <v>1621</v>
      </c>
    </row>
    <row r="1619" spans="1:1" x14ac:dyDescent="0.25">
      <c r="A1619" t="s">
        <v>1622</v>
      </c>
    </row>
    <row r="1620" spans="1:1" x14ac:dyDescent="0.25">
      <c r="A1620" t="s">
        <v>1623</v>
      </c>
    </row>
    <row r="1621" spans="1:1" x14ac:dyDescent="0.25">
      <c r="A1621" t="s">
        <v>1624</v>
      </c>
    </row>
    <row r="1622" spans="1:1" x14ac:dyDescent="0.25">
      <c r="A1622" t="s">
        <v>1625</v>
      </c>
    </row>
    <row r="1623" spans="1:1" x14ac:dyDescent="0.25">
      <c r="A1623" t="s">
        <v>1626</v>
      </c>
    </row>
    <row r="1624" spans="1:1" x14ac:dyDescent="0.25">
      <c r="A1624" t="s">
        <v>1627</v>
      </c>
    </row>
    <row r="1625" spans="1:1" x14ac:dyDescent="0.25">
      <c r="A1625" t="s">
        <v>1628</v>
      </c>
    </row>
    <row r="1626" spans="1:1" x14ac:dyDescent="0.25">
      <c r="A1626" t="s">
        <v>1629</v>
      </c>
    </row>
    <row r="1627" spans="1:1" x14ac:dyDescent="0.25">
      <c r="A1627" t="s">
        <v>1630</v>
      </c>
    </row>
    <row r="1628" spans="1:1" x14ac:dyDescent="0.25">
      <c r="A1628" t="s">
        <v>1631</v>
      </c>
    </row>
    <row r="1629" spans="1:1" x14ac:dyDescent="0.25">
      <c r="A1629" t="s">
        <v>1632</v>
      </c>
    </row>
    <row r="1630" spans="1:1" x14ac:dyDescent="0.25">
      <c r="A1630" t="s">
        <v>1633</v>
      </c>
    </row>
    <row r="1631" spans="1:1" x14ac:dyDescent="0.25">
      <c r="A1631" t="s">
        <v>1634</v>
      </c>
    </row>
    <row r="1632" spans="1:1" x14ac:dyDescent="0.25">
      <c r="A1632" t="s">
        <v>1635</v>
      </c>
    </row>
    <row r="1633" spans="1:1" x14ac:dyDescent="0.25">
      <c r="A1633" t="s">
        <v>1636</v>
      </c>
    </row>
    <row r="1634" spans="1:1" x14ac:dyDescent="0.25">
      <c r="A1634" t="s">
        <v>1637</v>
      </c>
    </row>
    <row r="1635" spans="1:1" x14ac:dyDescent="0.25">
      <c r="A1635" t="s">
        <v>1638</v>
      </c>
    </row>
    <row r="1636" spans="1:1" x14ac:dyDescent="0.25">
      <c r="A1636" t="s">
        <v>1639</v>
      </c>
    </row>
    <row r="1637" spans="1:1" x14ac:dyDescent="0.25">
      <c r="A1637" t="s">
        <v>1640</v>
      </c>
    </row>
    <row r="1638" spans="1:1" x14ac:dyDescent="0.25">
      <c r="A1638" t="s">
        <v>1641</v>
      </c>
    </row>
    <row r="1639" spans="1:1" x14ac:dyDescent="0.25">
      <c r="A1639" t="s">
        <v>1642</v>
      </c>
    </row>
    <row r="1640" spans="1:1" x14ac:dyDescent="0.25">
      <c r="A1640" t="s">
        <v>1643</v>
      </c>
    </row>
    <row r="1641" spans="1:1" x14ac:dyDescent="0.25">
      <c r="A1641" t="s">
        <v>1644</v>
      </c>
    </row>
    <row r="1642" spans="1:1" x14ac:dyDescent="0.25">
      <c r="A1642" t="s">
        <v>1645</v>
      </c>
    </row>
    <row r="1643" spans="1:1" x14ac:dyDescent="0.25">
      <c r="A1643" t="s">
        <v>1646</v>
      </c>
    </row>
    <row r="1644" spans="1:1" x14ac:dyDescent="0.25">
      <c r="A1644" t="s">
        <v>1647</v>
      </c>
    </row>
    <row r="1645" spans="1:1" x14ac:dyDescent="0.25">
      <c r="A1645" t="s">
        <v>1648</v>
      </c>
    </row>
    <row r="1646" spans="1:1" x14ac:dyDescent="0.25">
      <c r="A1646" t="s">
        <v>1649</v>
      </c>
    </row>
    <row r="1647" spans="1:1" x14ac:dyDescent="0.25">
      <c r="A1647" t="s">
        <v>1650</v>
      </c>
    </row>
    <row r="1648" spans="1:1" x14ac:dyDescent="0.25">
      <c r="A1648" t="s">
        <v>1651</v>
      </c>
    </row>
    <row r="1649" spans="1:1" x14ac:dyDescent="0.25">
      <c r="A1649" t="s">
        <v>1652</v>
      </c>
    </row>
    <row r="1650" spans="1:1" x14ac:dyDescent="0.25">
      <c r="A1650" t="s">
        <v>1653</v>
      </c>
    </row>
    <row r="1651" spans="1:1" x14ac:dyDescent="0.25">
      <c r="A1651" t="s">
        <v>1654</v>
      </c>
    </row>
    <row r="1652" spans="1:1" x14ac:dyDescent="0.25">
      <c r="A1652" t="s">
        <v>1655</v>
      </c>
    </row>
    <row r="1653" spans="1:1" x14ac:dyDescent="0.25">
      <c r="A1653" t="s">
        <v>1656</v>
      </c>
    </row>
    <row r="1654" spans="1:1" x14ac:dyDescent="0.25">
      <c r="A1654" t="s">
        <v>1657</v>
      </c>
    </row>
    <row r="1655" spans="1:1" x14ac:dyDescent="0.25">
      <c r="A1655" t="s">
        <v>1658</v>
      </c>
    </row>
    <row r="1656" spans="1:1" x14ac:dyDescent="0.25">
      <c r="A1656" t="s">
        <v>1659</v>
      </c>
    </row>
    <row r="1657" spans="1:1" x14ac:dyDescent="0.25">
      <c r="A1657" t="s">
        <v>1660</v>
      </c>
    </row>
    <row r="1658" spans="1:1" x14ac:dyDescent="0.25">
      <c r="A1658" t="s">
        <v>1661</v>
      </c>
    </row>
    <row r="1659" spans="1:1" x14ac:dyDescent="0.25">
      <c r="A1659" t="s">
        <v>1662</v>
      </c>
    </row>
    <row r="1660" spans="1:1" x14ac:dyDescent="0.25">
      <c r="A1660" t="s">
        <v>1663</v>
      </c>
    </row>
    <row r="1661" spans="1:1" x14ac:dyDescent="0.25">
      <c r="A1661" t="s">
        <v>1664</v>
      </c>
    </row>
    <row r="1662" spans="1:1" x14ac:dyDescent="0.25">
      <c r="A1662" t="s">
        <v>1665</v>
      </c>
    </row>
    <row r="1663" spans="1:1" x14ac:dyDescent="0.25">
      <c r="A1663" t="s">
        <v>1666</v>
      </c>
    </row>
    <row r="1664" spans="1:1" x14ac:dyDescent="0.25">
      <c r="A1664" t="s">
        <v>1667</v>
      </c>
    </row>
    <row r="1665" spans="1:1" x14ac:dyDescent="0.25">
      <c r="A1665" t="s">
        <v>1668</v>
      </c>
    </row>
    <row r="1666" spans="1:1" x14ac:dyDescent="0.25">
      <c r="A1666" t="s">
        <v>1669</v>
      </c>
    </row>
    <row r="1667" spans="1:1" x14ac:dyDescent="0.25">
      <c r="A1667" t="s">
        <v>1670</v>
      </c>
    </row>
    <row r="1668" spans="1:1" x14ac:dyDescent="0.25">
      <c r="A1668" t="s">
        <v>1671</v>
      </c>
    </row>
    <row r="1669" spans="1:1" x14ac:dyDescent="0.25">
      <c r="A1669" t="s">
        <v>1672</v>
      </c>
    </row>
    <row r="1670" spans="1:1" x14ac:dyDescent="0.25">
      <c r="A1670" t="s">
        <v>1673</v>
      </c>
    </row>
    <row r="1671" spans="1:1" x14ac:dyDescent="0.25">
      <c r="A1671" t="s">
        <v>1674</v>
      </c>
    </row>
    <row r="1672" spans="1:1" x14ac:dyDescent="0.25">
      <c r="A1672" t="s">
        <v>1675</v>
      </c>
    </row>
    <row r="1673" spans="1:1" x14ac:dyDescent="0.25">
      <c r="A1673" t="s">
        <v>1676</v>
      </c>
    </row>
    <row r="1674" spans="1:1" x14ac:dyDescent="0.25">
      <c r="A1674" t="s">
        <v>1677</v>
      </c>
    </row>
    <row r="1675" spans="1:1" x14ac:dyDescent="0.25">
      <c r="A1675" t="s">
        <v>1678</v>
      </c>
    </row>
    <row r="1676" spans="1:1" x14ac:dyDescent="0.25">
      <c r="A1676" t="s">
        <v>1679</v>
      </c>
    </row>
    <row r="1677" spans="1:1" x14ac:dyDescent="0.25">
      <c r="A1677" t="s">
        <v>1680</v>
      </c>
    </row>
    <row r="1678" spans="1:1" x14ac:dyDescent="0.25">
      <c r="A1678" t="s">
        <v>1681</v>
      </c>
    </row>
    <row r="1679" spans="1:1" x14ac:dyDescent="0.25">
      <c r="A1679" t="s">
        <v>1682</v>
      </c>
    </row>
    <row r="1680" spans="1:1" x14ac:dyDescent="0.25">
      <c r="A1680" t="s">
        <v>1683</v>
      </c>
    </row>
    <row r="1681" spans="1:1" x14ac:dyDescent="0.25">
      <c r="A1681" t="s">
        <v>1684</v>
      </c>
    </row>
    <row r="1682" spans="1:1" x14ac:dyDescent="0.25">
      <c r="A1682" t="s">
        <v>1685</v>
      </c>
    </row>
    <row r="1683" spans="1:1" x14ac:dyDescent="0.25">
      <c r="A1683" t="s">
        <v>1686</v>
      </c>
    </row>
    <row r="1684" spans="1:1" x14ac:dyDescent="0.25">
      <c r="A1684" t="s">
        <v>1687</v>
      </c>
    </row>
    <row r="1685" spans="1:1" x14ac:dyDescent="0.25">
      <c r="A1685" t="s">
        <v>1688</v>
      </c>
    </row>
    <row r="1686" spans="1:1" x14ac:dyDescent="0.25">
      <c r="A1686" t="s">
        <v>1689</v>
      </c>
    </row>
    <row r="1687" spans="1:1" x14ac:dyDescent="0.25">
      <c r="A1687" t="s">
        <v>1690</v>
      </c>
    </row>
    <row r="1688" spans="1:1" x14ac:dyDescent="0.25">
      <c r="A1688" t="s">
        <v>1691</v>
      </c>
    </row>
    <row r="1689" spans="1:1" x14ac:dyDescent="0.25">
      <c r="A1689" t="s">
        <v>1692</v>
      </c>
    </row>
    <row r="1690" spans="1:1" x14ac:dyDescent="0.25">
      <c r="A1690" t="s">
        <v>1693</v>
      </c>
    </row>
    <row r="1691" spans="1:1" x14ac:dyDescent="0.25">
      <c r="A1691" t="s">
        <v>1694</v>
      </c>
    </row>
    <row r="1692" spans="1:1" x14ac:dyDescent="0.25">
      <c r="A1692" t="s">
        <v>1695</v>
      </c>
    </row>
    <row r="1693" spans="1:1" x14ac:dyDescent="0.25">
      <c r="A1693" t="s">
        <v>1696</v>
      </c>
    </row>
    <row r="1694" spans="1:1" x14ac:dyDescent="0.25">
      <c r="A1694" t="s">
        <v>1697</v>
      </c>
    </row>
    <row r="1695" spans="1:1" x14ac:dyDescent="0.25">
      <c r="A1695" t="s">
        <v>1698</v>
      </c>
    </row>
    <row r="1696" spans="1:1" x14ac:dyDescent="0.25">
      <c r="A1696" t="s">
        <v>1699</v>
      </c>
    </row>
    <row r="1697" spans="1:1" x14ac:dyDescent="0.25">
      <c r="A1697" t="s">
        <v>1700</v>
      </c>
    </row>
    <row r="1698" spans="1:1" x14ac:dyDescent="0.25">
      <c r="A1698" t="s">
        <v>1701</v>
      </c>
    </row>
    <row r="1699" spans="1:1" x14ac:dyDescent="0.25">
      <c r="A1699" t="s">
        <v>1702</v>
      </c>
    </row>
    <row r="1700" spans="1:1" x14ac:dyDescent="0.25">
      <c r="A1700" t="s">
        <v>1703</v>
      </c>
    </row>
    <row r="1701" spans="1:1" x14ac:dyDescent="0.25">
      <c r="A1701" t="s">
        <v>1704</v>
      </c>
    </row>
    <row r="1702" spans="1:1" x14ac:dyDescent="0.25">
      <c r="A1702" t="s">
        <v>1705</v>
      </c>
    </row>
    <row r="1703" spans="1:1" x14ac:dyDescent="0.25">
      <c r="A1703" t="s">
        <v>1706</v>
      </c>
    </row>
    <row r="1704" spans="1:1" x14ac:dyDescent="0.25">
      <c r="A1704" t="s">
        <v>1707</v>
      </c>
    </row>
    <row r="1705" spans="1:1" x14ac:dyDescent="0.25">
      <c r="A1705" t="s">
        <v>1708</v>
      </c>
    </row>
    <row r="1706" spans="1:1" x14ac:dyDescent="0.25">
      <c r="A1706" t="s">
        <v>1709</v>
      </c>
    </row>
    <row r="1707" spans="1:1" x14ac:dyDescent="0.25">
      <c r="A1707" t="s">
        <v>1710</v>
      </c>
    </row>
    <row r="1708" spans="1:1" x14ac:dyDescent="0.25">
      <c r="A1708" t="s">
        <v>1711</v>
      </c>
    </row>
    <row r="1709" spans="1:1" x14ac:dyDescent="0.25">
      <c r="A1709" t="s">
        <v>1712</v>
      </c>
    </row>
    <row r="1710" spans="1:1" x14ac:dyDescent="0.25">
      <c r="A1710" t="s">
        <v>1713</v>
      </c>
    </row>
    <row r="1711" spans="1:1" x14ac:dyDescent="0.25">
      <c r="A1711" t="s">
        <v>1714</v>
      </c>
    </row>
    <row r="1712" spans="1:1" x14ac:dyDescent="0.25">
      <c r="A1712" t="s">
        <v>1715</v>
      </c>
    </row>
    <row r="1713" spans="1:1" x14ac:dyDescent="0.25">
      <c r="A1713" t="s">
        <v>1716</v>
      </c>
    </row>
    <row r="1714" spans="1:1" x14ac:dyDescent="0.25">
      <c r="A1714" t="s">
        <v>1717</v>
      </c>
    </row>
    <row r="1715" spans="1:1" x14ac:dyDescent="0.25">
      <c r="A1715" t="s">
        <v>1718</v>
      </c>
    </row>
    <row r="1716" spans="1:1" x14ac:dyDescent="0.25">
      <c r="A1716" t="s">
        <v>1719</v>
      </c>
    </row>
    <row r="1717" spans="1:1" x14ac:dyDescent="0.25">
      <c r="A1717" t="s">
        <v>1720</v>
      </c>
    </row>
    <row r="1718" spans="1:1" x14ac:dyDescent="0.25">
      <c r="A1718" t="s">
        <v>1721</v>
      </c>
    </row>
    <row r="1719" spans="1:1" x14ac:dyDescent="0.25">
      <c r="A1719" t="s">
        <v>1722</v>
      </c>
    </row>
    <row r="1720" spans="1:1" x14ac:dyDescent="0.25">
      <c r="A1720" t="s">
        <v>1723</v>
      </c>
    </row>
    <row r="1721" spans="1:1" x14ac:dyDescent="0.25">
      <c r="A1721" t="s">
        <v>1724</v>
      </c>
    </row>
    <row r="1722" spans="1:1" x14ac:dyDescent="0.25">
      <c r="A1722" t="s">
        <v>1725</v>
      </c>
    </row>
    <row r="1723" spans="1:1" x14ac:dyDescent="0.25">
      <c r="A1723" t="s">
        <v>1726</v>
      </c>
    </row>
    <row r="1724" spans="1:1" x14ac:dyDescent="0.25">
      <c r="A1724" t="s">
        <v>1727</v>
      </c>
    </row>
    <row r="1725" spans="1:1" x14ac:dyDescent="0.25">
      <c r="A1725" t="s">
        <v>1728</v>
      </c>
    </row>
    <row r="1726" spans="1:1" x14ac:dyDescent="0.25">
      <c r="A1726" t="s">
        <v>1729</v>
      </c>
    </row>
    <row r="1727" spans="1:1" x14ac:dyDescent="0.25">
      <c r="A1727" t="s">
        <v>1730</v>
      </c>
    </row>
    <row r="1728" spans="1:1" x14ac:dyDescent="0.25">
      <c r="A1728" t="s">
        <v>1731</v>
      </c>
    </row>
    <row r="1729" spans="1:1" x14ac:dyDescent="0.25">
      <c r="A1729" t="s">
        <v>1732</v>
      </c>
    </row>
    <row r="1730" spans="1:1" x14ac:dyDescent="0.25">
      <c r="A1730" t="s">
        <v>1733</v>
      </c>
    </row>
    <row r="1731" spans="1:1" x14ac:dyDescent="0.25">
      <c r="A1731" t="s">
        <v>1734</v>
      </c>
    </row>
    <row r="1732" spans="1:1" x14ac:dyDescent="0.25">
      <c r="A1732" t="s">
        <v>1735</v>
      </c>
    </row>
    <row r="1733" spans="1:1" x14ac:dyDescent="0.25">
      <c r="A1733" t="s">
        <v>1736</v>
      </c>
    </row>
    <row r="1734" spans="1:1" x14ac:dyDescent="0.25">
      <c r="A1734" t="s">
        <v>1737</v>
      </c>
    </row>
    <row r="1735" spans="1:1" x14ac:dyDescent="0.25">
      <c r="A1735" t="s">
        <v>1738</v>
      </c>
    </row>
    <row r="1736" spans="1:1" x14ac:dyDescent="0.25">
      <c r="A1736" t="s">
        <v>1739</v>
      </c>
    </row>
    <row r="1737" spans="1:1" x14ac:dyDescent="0.25">
      <c r="A1737" t="s">
        <v>1740</v>
      </c>
    </row>
    <row r="1738" spans="1:1" x14ac:dyDescent="0.25">
      <c r="A1738" t="s">
        <v>1741</v>
      </c>
    </row>
    <row r="1739" spans="1:1" x14ac:dyDescent="0.25">
      <c r="A1739" t="s">
        <v>1742</v>
      </c>
    </row>
    <row r="1740" spans="1:1" x14ac:dyDescent="0.25">
      <c r="A1740" t="s">
        <v>1743</v>
      </c>
    </row>
    <row r="1741" spans="1:1" x14ac:dyDescent="0.25">
      <c r="A1741" t="s">
        <v>1744</v>
      </c>
    </row>
    <row r="1742" spans="1:1" x14ac:dyDescent="0.25">
      <c r="A1742" t="s">
        <v>1745</v>
      </c>
    </row>
    <row r="1743" spans="1:1" x14ac:dyDescent="0.25">
      <c r="A1743" t="s">
        <v>1746</v>
      </c>
    </row>
    <row r="1744" spans="1:1" x14ac:dyDescent="0.25">
      <c r="A1744" t="s">
        <v>1747</v>
      </c>
    </row>
    <row r="1745" spans="1:1" x14ac:dyDescent="0.25">
      <c r="A1745" t="s">
        <v>1748</v>
      </c>
    </row>
    <row r="1746" spans="1:1" x14ac:dyDescent="0.25">
      <c r="A1746" t="s">
        <v>1749</v>
      </c>
    </row>
    <row r="1747" spans="1:1" x14ac:dyDescent="0.25">
      <c r="A1747" t="s">
        <v>1750</v>
      </c>
    </row>
    <row r="1748" spans="1:1" x14ac:dyDescent="0.25">
      <c r="A1748" t="s">
        <v>1751</v>
      </c>
    </row>
    <row r="1749" spans="1:1" x14ac:dyDescent="0.25">
      <c r="A1749" t="s">
        <v>1752</v>
      </c>
    </row>
    <row r="1750" spans="1:1" x14ac:dyDescent="0.25">
      <c r="A1750" t="s">
        <v>1753</v>
      </c>
    </row>
    <row r="1751" spans="1:1" x14ac:dyDescent="0.25">
      <c r="A1751" t="s">
        <v>1754</v>
      </c>
    </row>
    <row r="1752" spans="1:1" x14ac:dyDescent="0.25">
      <c r="A1752" t="s">
        <v>1755</v>
      </c>
    </row>
    <row r="1753" spans="1:1" x14ac:dyDescent="0.25">
      <c r="A1753" t="s">
        <v>1756</v>
      </c>
    </row>
    <row r="1754" spans="1:1" x14ac:dyDescent="0.25">
      <c r="A1754" t="s">
        <v>1757</v>
      </c>
    </row>
    <row r="1755" spans="1:1" x14ac:dyDescent="0.25">
      <c r="A1755" t="s">
        <v>1758</v>
      </c>
    </row>
    <row r="1756" spans="1:1" x14ac:dyDescent="0.25">
      <c r="A1756" t="s">
        <v>1759</v>
      </c>
    </row>
    <row r="1757" spans="1:1" x14ac:dyDescent="0.25">
      <c r="A1757" t="s">
        <v>1760</v>
      </c>
    </row>
    <row r="1758" spans="1:1" x14ac:dyDescent="0.25">
      <c r="A1758" t="s">
        <v>1761</v>
      </c>
    </row>
    <row r="1759" spans="1:1" x14ac:dyDescent="0.25">
      <c r="A1759" t="s">
        <v>1762</v>
      </c>
    </row>
    <row r="1760" spans="1:1" x14ac:dyDescent="0.25">
      <c r="A1760" t="s">
        <v>1763</v>
      </c>
    </row>
    <row r="1761" spans="1:1" x14ac:dyDescent="0.25">
      <c r="A1761" t="s">
        <v>1764</v>
      </c>
    </row>
    <row r="1762" spans="1:1" x14ac:dyDescent="0.25">
      <c r="A1762" t="s">
        <v>1765</v>
      </c>
    </row>
    <row r="1763" spans="1:1" x14ac:dyDescent="0.25">
      <c r="A1763" t="s">
        <v>1766</v>
      </c>
    </row>
    <row r="1764" spans="1:1" x14ac:dyDescent="0.25">
      <c r="A1764" t="s">
        <v>1767</v>
      </c>
    </row>
    <row r="1765" spans="1:1" x14ac:dyDescent="0.25">
      <c r="A1765" t="s">
        <v>1768</v>
      </c>
    </row>
    <row r="1766" spans="1:1" x14ac:dyDescent="0.25">
      <c r="A1766" t="s">
        <v>1769</v>
      </c>
    </row>
    <row r="1767" spans="1:1" x14ac:dyDescent="0.25">
      <c r="A1767" t="s">
        <v>1770</v>
      </c>
    </row>
    <row r="1768" spans="1:1" x14ac:dyDescent="0.25">
      <c r="A1768" t="s">
        <v>1771</v>
      </c>
    </row>
    <row r="1769" spans="1:1" x14ac:dyDescent="0.25">
      <c r="A1769" t="s">
        <v>1772</v>
      </c>
    </row>
    <row r="1770" spans="1:1" x14ac:dyDescent="0.25">
      <c r="A1770" t="s">
        <v>1773</v>
      </c>
    </row>
    <row r="1771" spans="1:1" x14ac:dyDescent="0.25">
      <c r="A1771" t="s">
        <v>1774</v>
      </c>
    </row>
    <row r="1772" spans="1:1" x14ac:dyDescent="0.25">
      <c r="A1772" t="s">
        <v>1775</v>
      </c>
    </row>
    <row r="1773" spans="1:1" x14ac:dyDescent="0.25">
      <c r="A1773" t="s">
        <v>1776</v>
      </c>
    </row>
    <row r="1774" spans="1:1" x14ac:dyDescent="0.25">
      <c r="A1774" t="s">
        <v>1777</v>
      </c>
    </row>
    <row r="1775" spans="1:1" x14ac:dyDescent="0.25">
      <c r="A1775" t="s">
        <v>1778</v>
      </c>
    </row>
    <row r="1776" spans="1:1" x14ac:dyDescent="0.25">
      <c r="A1776" t="s">
        <v>1779</v>
      </c>
    </row>
    <row r="1777" spans="1:1" x14ac:dyDescent="0.25">
      <c r="A1777" t="s">
        <v>1780</v>
      </c>
    </row>
    <row r="1778" spans="1:1" x14ac:dyDescent="0.25">
      <c r="A1778" t="s">
        <v>1781</v>
      </c>
    </row>
    <row r="1779" spans="1:1" x14ac:dyDescent="0.25">
      <c r="A1779" t="s">
        <v>1782</v>
      </c>
    </row>
    <row r="1780" spans="1:1" x14ac:dyDescent="0.25">
      <c r="A1780" t="s">
        <v>1783</v>
      </c>
    </row>
    <row r="1781" spans="1:1" x14ac:dyDescent="0.25">
      <c r="A1781" t="s">
        <v>1784</v>
      </c>
    </row>
    <row r="1782" spans="1:1" x14ac:dyDescent="0.25">
      <c r="A1782" t="s">
        <v>1785</v>
      </c>
    </row>
    <row r="1783" spans="1:1" x14ac:dyDescent="0.25">
      <c r="A1783" t="s">
        <v>1786</v>
      </c>
    </row>
    <row r="1784" spans="1:1" x14ac:dyDescent="0.25">
      <c r="A1784" t="s">
        <v>1787</v>
      </c>
    </row>
    <row r="1785" spans="1:1" x14ac:dyDescent="0.25">
      <c r="A1785" t="s">
        <v>1788</v>
      </c>
    </row>
    <row r="1786" spans="1:1" x14ac:dyDescent="0.25">
      <c r="A1786" t="s">
        <v>1789</v>
      </c>
    </row>
    <row r="1787" spans="1:1" x14ac:dyDescent="0.25">
      <c r="A1787" t="s">
        <v>1790</v>
      </c>
    </row>
    <row r="1788" spans="1:1" x14ac:dyDescent="0.25">
      <c r="A1788" t="s">
        <v>1791</v>
      </c>
    </row>
    <row r="1789" spans="1:1" x14ac:dyDescent="0.25">
      <c r="A1789" t="s">
        <v>1792</v>
      </c>
    </row>
    <row r="1790" spans="1:1" x14ac:dyDescent="0.25">
      <c r="A1790" t="s">
        <v>1793</v>
      </c>
    </row>
    <row r="1791" spans="1:1" x14ac:dyDescent="0.25">
      <c r="A1791" t="s">
        <v>1794</v>
      </c>
    </row>
    <row r="1792" spans="1:1" x14ac:dyDescent="0.25">
      <c r="A1792" t="s">
        <v>1795</v>
      </c>
    </row>
    <row r="1793" spans="1:1" x14ac:dyDescent="0.25">
      <c r="A1793" t="s">
        <v>1796</v>
      </c>
    </row>
    <row r="1794" spans="1:1" x14ac:dyDescent="0.25">
      <c r="A1794" t="s">
        <v>1797</v>
      </c>
    </row>
    <row r="1795" spans="1:1" x14ac:dyDescent="0.25">
      <c r="A1795" t="s">
        <v>1798</v>
      </c>
    </row>
    <row r="1796" spans="1:1" x14ac:dyDescent="0.25">
      <c r="A1796" t="s">
        <v>1799</v>
      </c>
    </row>
    <row r="1797" spans="1:1" x14ac:dyDescent="0.25">
      <c r="A1797" t="s">
        <v>1800</v>
      </c>
    </row>
    <row r="1798" spans="1:1" x14ac:dyDescent="0.25">
      <c r="A1798" t="s">
        <v>1801</v>
      </c>
    </row>
    <row r="1799" spans="1:1" x14ac:dyDescent="0.25">
      <c r="A1799" t="s">
        <v>1802</v>
      </c>
    </row>
    <row r="1800" spans="1:1" x14ac:dyDescent="0.25">
      <c r="A1800" t="s">
        <v>1803</v>
      </c>
    </row>
    <row r="1801" spans="1:1" x14ac:dyDescent="0.25">
      <c r="A1801" t="s">
        <v>1804</v>
      </c>
    </row>
    <row r="1802" spans="1:1" x14ac:dyDescent="0.25">
      <c r="A1802" t="s">
        <v>1805</v>
      </c>
    </row>
    <row r="1803" spans="1:1" x14ac:dyDescent="0.25">
      <c r="A1803" t="s">
        <v>1806</v>
      </c>
    </row>
    <row r="1804" spans="1:1" x14ac:dyDescent="0.25">
      <c r="A1804" t="s">
        <v>1807</v>
      </c>
    </row>
    <row r="1805" spans="1:1" x14ac:dyDescent="0.25">
      <c r="A1805" t="s">
        <v>1808</v>
      </c>
    </row>
    <row r="1806" spans="1:1" x14ac:dyDescent="0.25">
      <c r="A1806" t="s">
        <v>1809</v>
      </c>
    </row>
    <row r="1807" spans="1:1" x14ac:dyDescent="0.25">
      <c r="A1807" t="s">
        <v>1810</v>
      </c>
    </row>
    <row r="1808" spans="1:1" x14ac:dyDescent="0.25">
      <c r="A1808" t="s">
        <v>1811</v>
      </c>
    </row>
    <row r="1809" spans="1:1" x14ac:dyDescent="0.25">
      <c r="A1809" t="s">
        <v>1812</v>
      </c>
    </row>
    <row r="1810" spans="1:1" x14ac:dyDescent="0.25">
      <c r="A1810" t="s">
        <v>1813</v>
      </c>
    </row>
    <row r="1811" spans="1:1" x14ac:dyDescent="0.25">
      <c r="A1811" t="s">
        <v>1814</v>
      </c>
    </row>
    <row r="1812" spans="1:1" x14ac:dyDescent="0.25">
      <c r="A1812" t="s">
        <v>1815</v>
      </c>
    </row>
    <row r="1813" spans="1:1" x14ac:dyDescent="0.25">
      <c r="A1813" t="s">
        <v>1816</v>
      </c>
    </row>
    <row r="1814" spans="1:1" x14ac:dyDescent="0.25">
      <c r="A1814" t="s">
        <v>1817</v>
      </c>
    </row>
    <row r="1815" spans="1:1" x14ac:dyDescent="0.25">
      <c r="A1815" t="s">
        <v>1818</v>
      </c>
    </row>
    <row r="1816" spans="1:1" x14ac:dyDescent="0.25">
      <c r="A1816" t="s">
        <v>1819</v>
      </c>
    </row>
    <row r="1817" spans="1:1" x14ac:dyDescent="0.25">
      <c r="A1817" t="s">
        <v>1820</v>
      </c>
    </row>
    <row r="1818" spans="1:1" x14ac:dyDescent="0.25">
      <c r="A1818" t="s">
        <v>1821</v>
      </c>
    </row>
    <row r="1819" spans="1:1" x14ac:dyDescent="0.25">
      <c r="A1819" t="s">
        <v>1822</v>
      </c>
    </row>
    <row r="1820" spans="1:1" x14ac:dyDescent="0.25">
      <c r="A1820" t="s">
        <v>1823</v>
      </c>
    </row>
    <row r="1821" spans="1:1" x14ac:dyDescent="0.25">
      <c r="A1821" t="s">
        <v>1824</v>
      </c>
    </row>
    <row r="1822" spans="1:1" x14ac:dyDescent="0.25">
      <c r="A1822" t="s">
        <v>1825</v>
      </c>
    </row>
    <row r="1823" spans="1:1" x14ac:dyDescent="0.25">
      <c r="A1823" t="s">
        <v>1826</v>
      </c>
    </row>
    <row r="1824" spans="1:1" x14ac:dyDescent="0.25">
      <c r="A1824" t="s">
        <v>1827</v>
      </c>
    </row>
    <row r="1825" spans="1:1" x14ac:dyDescent="0.25">
      <c r="A1825" t="s">
        <v>1828</v>
      </c>
    </row>
    <row r="1826" spans="1:1" x14ac:dyDescent="0.25">
      <c r="A1826" t="s">
        <v>1829</v>
      </c>
    </row>
    <row r="1827" spans="1:1" x14ac:dyDescent="0.25">
      <c r="A1827" t="s">
        <v>1830</v>
      </c>
    </row>
    <row r="1828" spans="1:1" x14ac:dyDescent="0.25">
      <c r="A1828" t="s">
        <v>1831</v>
      </c>
    </row>
    <row r="1829" spans="1:1" x14ac:dyDescent="0.25">
      <c r="A1829" t="s">
        <v>1832</v>
      </c>
    </row>
    <row r="1830" spans="1:1" x14ac:dyDescent="0.25">
      <c r="A1830" t="s">
        <v>1833</v>
      </c>
    </row>
    <row r="1831" spans="1:1" x14ac:dyDescent="0.25">
      <c r="A1831" t="s">
        <v>1834</v>
      </c>
    </row>
    <row r="1832" spans="1:1" x14ac:dyDescent="0.25">
      <c r="A1832" t="s">
        <v>1835</v>
      </c>
    </row>
    <row r="1833" spans="1:1" x14ac:dyDescent="0.25">
      <c r="A1833" t="s">
        <v>1836</v>
      </c>
    </row>
    <row r="1834" spans="1:1" x14ac:dyDescent="0.25">
      <c r="A1834" t="s">
        <v>1837</v>
      </c>
    </row>
    <row r="1835" spans="1:1" x14ac:dyDescent="0.25">
      <c r="A1835" t="s">
        <v>1838</v>
      </c>
    </row>
    <row r="1836" spans="1:1" x14ac:dyDescent="0.25">
      <c r="A1836" t="s">
        <v>1839</v>
      </c>
    </row>
    <row r="1837" spans="1:1" x14ac:dyDescent="0.25">
      <c r="A1837" t="s">
        <v>1840</v>
      </c>
    </row>
    <row r="1838" spans="1:1" x14ac:dyDescent="0.25">
      <c r="A1838" t="s">
        <v>1841</v>
      </c>
    </row>
    <row r="1839" spans="1:1" x14ac:dyDescent="0.25">
      <c r="A1839" t="s">
        <v>1842</v>
      </c>
    </row>
    <row r="1840" spans="1:1" x14ac:dyDescent="0.25">
      <c r="A1840" t="s">
        <v>1843</v>
      </c>
    </row>
    <row r="1841" spans="1:1" x14ac:dyDescent="0.25">
      <c r="A1841" t="s">
        <v>1844</v>
      </c>
    </row>
    <row r="1842" spans="1:1" x14ac:dyDescent="0.25">
      <c r="A1842" t="s">
        <v>1845</v>
      </c>
    </row>
    <row r="1843" spans="1:1" x14ac:dyDescent="0.25">
      <c r="A1843" t="s">
        <v>1846</v>
      </c>
    </row>
    <row r="1844" spans="1:1" x14ac:dyDescent="0.25">
      <c r="A1844" t="s">
        <v>1847</v>
      </c>
    </row>
    <row r="1845" spans="1:1" x14ac:dyDescent="0.25">
      <c r="A1845" t="s">
        <v>1848</v>
      </c>
    </row>
    <row r="1846" spans="1:1" x14ac:dyDescent="0.25">
      <c r="A1846" t="s">
        <v>1849</v>
      </c>
    </row>
    <row r="1847" spans="1:1" x14ac:dyDescent="0.25">
      <c r="A1847" t="s">
        <v>1850</v>
      </c>
    </row>
    <row r="1848" spans="1:1" x14ac:dyDescent="0.25">
      <c r="A1848" t="s">
        <v>1851</v>
      </c>
    </row>
    <row r="1849" spans="1:1" x14ac:dyDescent="0.25">
      <c r="A1849" t="s">
        <v>1852</v>
      </c>
    </row>
    <row r="1850" spans="1:1" x14ac:dyDescent="0.25">
      <c r="A1850" t="s">
        <v>1853</v>
      </c>
    </row>
    <row r="1851" spans="1:1" x14ac:dyDescent="0.25">
      <c r="A1851" t="s">
        <v>1854</v>
      </c>
    </row>
    <row r="1852" spans="1:1" x14ac:dyDescent="0.25">
      <c r="A1852" t="s">
        <v>1855</v>
      </c>
    </row>
    <row r="1853" spans="1:1" x14ac:dyDescent="0.25">
      <c r="A1853" t="s">
        <v>1856</v>
      </c>
    </row>
    <row r="1854" spans="1:1" x14ac:dyDescent="0.25">
      <c r="A1854" t="s">
        <v>1857</v>
      </c>
    </row>
    <row r="1855" spans="1:1" x14ac:dyDescent="0.25">
      <c r="A1855" t="s">
        <v>1858</v>
      </c>
    </row>
    <row r="1856" spans="1:1" x14ac:dyDescent="0.25">
      <c r="A1856" t="s">
        <v>1859</v>
      </c>
    </row>
    <row r="1857" spans="1:1" x14ac:dyDescent="0.25">
      <c r="A1857" t="s">
        <v>1860</v>
      </c>
    </row>
    <row r="1858" spans="1:1" x14ac:dyDescent="0.25">
      <c r="A1858" t="s">
        <v>1861</v>
      </c>
    </row>
    <row r="1859" spans="1:1" x14ac:dyDescent="0.25">
      <c r="A1859" t="s">
        <v>1862</v>
      </c>
    </row>
    <row r="1860" spans="1:1" x14ac:dyDescent="0.25">
      <c r="A1860" t="s">
        <v>1863</v>
      </c>
    </row>
    <row r="1861" spans="1:1" x14ac:dyDescent="0.25">
      <c r="A1861" t="s">
        <v>1864</v>
      </c>
    </row>
    <row r="1862" spans="1:1" x14ac:dyDescent="0.25">
      <c r="A1862" t="s">
        <v>1865</v>
      </c>
    </row>
    <row r="1863" spans="1:1" x14ac:dyDescent="0.25">
      <c r="A1863" t="s">
        <v>1866</v>
      </c>
    </row>
    <row r="1864" spans="1:1" x14ac:dyDescent="0.25">
      <c r="A1864" t="s">
        <v>1867</v>
      </c>
    </row>
    <row r="1865" spans="1:1" x14ac:dyDescent="0.25">
      <c r="A1865" t="s">
        <v>1868</v>
      </c>
    </row>
    <row r="1866" spans="1:1" x14ac:dyDescent="0.25">
      <c r="A1866" t="s">
        <v>1869</v>
      </c>
    </row>
    <row r="1867" spans="1:1" x14ac:dyDescent="0.25">
      <c r="A1867" t="s">
        <v>1870</v>
      </c>
    </row>
    <row r="1868" spans="1:1" x14ac:dyDescent="0.25">
      <c r="A1868" t="s">
        <v>1871</v>
      </c>
    </row>
    <row r="1869" spans="1:1" x14ac:dyDescent="0.25">
      <c r="A1869" t="s">
        <v>1872</v>
      </c>
    </row>
    <row r="1870" spans="1:1" x14ac:dyDescent="0.25">
      <c r="A1870" t="s">
        <v>1873</v>
      </c>
    </row>
    <row r="1871" spans="1:1" x14ac:dyDescent="0.25">
      <c r="A1871" t="s">
        <v>1874</v>
      </c>
    </row>
    <row r="1872" spans="1:1" x14ac:dyDescent="0.25">
      <c r="A1872" t="s">
        <v>1875</v>
      </c>
    </row>
    <row r="1873" spans="1:1" x14ac:dyDescent="0.25">
      <c r="A1873" t="s">
        <v>1876</v>
      </c>
    </row>
    <row r="1874" spans="1:1" x14ac:dyDescent="0.25">
      <c r="A1874" t="s">
        <v>1877</v>
      </c>
    </row>
    <row r="1875" spans="1:1" x14ac:dyDescent="0.25">
      <c r="A1875" t="s">
        <v>1878</v>
      </c>
    </row>
    <row r="1876" spans="1:1" x14ac:dyDescent="0.25">
      <c r="A1876" t="s">
        <v>1879</v>
      </c>
    </row>
    <row r="1877" spans="1:1" x14ac:dyDescent="0.25">
      <c r="A1877" t="s">
        <v>1880</v>
      </c>
    </row>
    <row r="1878" spans="1:1" x14ac:dyDescent="0.25">
      <c r="A1878" t="s">
        <v>1881</v>
      </c>
    </row>
    <row r="1879" spans="1:1" x14ac:dyDescent="0.25">
      <c r="A1879" t="s">
        <v>1882</v>
      </c>
    </row>
    <row r="1880" spans="1:1" x14ac:dyDescent="0.25">
      <c r="A1880" t="s">
        <v>1883</v>
      </c>
    </row>
    <row r="1881" spans="1:1" x14ac:dyDescent="0.25">
      <c r="A1881" t="s">
        <v>1884</v>
      </c>
    </row>
    <row r="1882" spans="1:1" x14ac:dyDescent="0.25">
      <c r="A1882" t="s">
        <v>1885</v>
      </c>
    </row>
    <row r="1883" spans="1:1" x14ac:dyDescent="0.25">
      <c r="A1883" t="s">
        <v>1886</v>
      </c>
    </row>
    <row r="1884" spans="1:1" x14ac:dyDescent="0.25">
      <c r="A1884" t="s">
        <v>1887</v>
      </c>
    </row>
    <row r="1885" spans="1:1" x14ac:dyDescent="0.25">
      <c r="A1885" t="s">
        <v>1888</v>
      </c>
    </row>
    <row r="1886" spans="1:1" x14ac:dyDescent="0.25">
      <c r="A1886" t="s">
        <v>1889</v>
      </c>
    </row>
    <row r="1887" spans="1:1" x14ac:dyDescent="0.25">
      <c r="A1887" t="s">
        <v>1890</v>
      </c>
    </row>
    <row r="1888" spans="1:1" x14ac:dyDescent="0.25">
      <c r="A1888" t="s">
        <v>1891</v>
      </c>
    </row>
    <row r="1889" spans="1:1" x14ac:dyDescent="0.25">
      <c r="A1889" t="s">
        <v>1892</v>
      </c>
    </row>
    <row r="1890" spans="1:1" x14ac:dyDescent="0.25">
      <c r="A1890" t="s">
        <v>1893</v>
      </c>
    </row>
    <row r="1891" spans="1:1" x14ac:dyDescent="0.25">
      <c r="A1891" t="s">
        <v>1894</v>
      </c>
    </row>
    <row r="1892" spans="1:1" x14ac:dyDescent="0.25">
      <c r="A1892" t="s">
        <v>1895</v>
      </c>
    </row>
    <row r="1893" spans="1:1" x14ac:dyDescent="0.25">
      <c r="A1893" t="s">
        <v>1896</v>
      </c>
    </row>
    <row r="1894" spans="1:1" x14ac:dyDescent="0.25">
      <c r="A1894" t="s">
        <v>1897</v>
      </c>
    </row>
    <row r="1895" spans="1:1" x14ac:dyDescent="0.25">
      <c r="A1895" t="s">
        <v>1898</v>
      </c>
    </row>
    <row r="1896" spans="1:1" x14ac:dyDescent="0.25">
      <c r="A1896" t="s">
        <v>1899</v>
      </c>
    </row>
    <row r="1897" spans="1:1" x14ac:dyDescent="0.25">
      <c r="A1897" t="s">
        <v>1900</v>
      </c>
    </row>
    <row r="1898" spans="1:1" x14ac:dyDescent="0.25">
      <c r="A1898" t="s">
        <v>1901</v>
      </c>
    </row>
    <row r="1899" spans="1:1" x14ac:dyDescent="0.25">
      <c r="A1899" t="s">
        <v>1902</v>
      </c>
    </row>
    <row r="1900" spans="1:1" x14ac:dyDescent="0.25">
      <c r="A1900" t="s">
        <v>1903</v>
      </c>
    </row>
    <row r="1901" spans="1:1" x14ac:dyDescent="0.25">
      <c r="A1901" t="s">
        <v>1904</v>
      </c>
    </row>
    <row r="1902" spans="1:1" x14ac:dyDescent="0.25">
      <c r="A1902" t="s">
        <v>1905</v>
      </c>
    </row>
    <row r="1903" spans="1:1" x14ac:dyDescent="0.25">
      <c r="A1903" t="s">
        <v>1906</v>
      </c>
    </row>
    <row r="1904" spans="1:1" x14ac:dyDescent="0.25">
      <c r="A1904" t="s">
        <v>1907</v>
      </c>
    </row>
    <row r="1905" spans="1:1" x14ac:dyDescent="0.25">
      <c r="A1905" t="s">
        <v>1908</v>
      </c>
    </row>
    <row r="1906" spans="1:1" x14ac:dyDescent="0.25">
      <c r="A1906" t="s">
        <v>1909</v>
      </c>
    </row>
    <row r="1907" spans="1:1" x14ac:dyDescent="0.25">
      <c r="A1907" t="s">
        <v>1910</v>
      </c>
    </row>
    <row r="1908" spans="1:1" x14ac:dyDescent="0.25">
      <c r="A1908" t="s">
        <v>1911</v>
      </c>
    </row>
    <row r="1909" spans="1:1" x14ac:dyDescent="0.25">
      <c r="A1909" t="s">
        <v>1912</v>
      </c>
    </row>
    <row r="1910" spans="1:1" x14ac:dyDescent="0.25">
      <c r="A1910" t="s">
        <v>1913</v>
      </c>
    </row>
    <row r="1911" spans="1:1" x14ac:dyDescent="0.25">
      <c r="A1911" t="s">
        <v>1914</v>
      </c>
    </row>
    <row r="1912" spans="1:1" x14ac:dyDescent="0.25">
      <c r="A1912" t="s">
        <v>1915</v>
      </c>
    </row>
    <row r="1913" spans="1:1" x14ac:dyDescent="0.25">
      <c r="A1913" t="s">
        <v>1916</v>
      </c>
    </row>
    <row r="1914" spans="1:1" x14ac:dyDescent="0.25">
      <c r="A1914" t="s">
        <v>1917</v>
      </c>
    </row>
    <row r="1915" spans="1:1" x14ac:dyDescent="0.25">
      <c r="A1915" t="s">
        <v>1918</v>
      </c>
    </row>
    <row r="1916" spans="1:1" x14ac:dyDescent="0.25">
      <c r="A1916" t="s">
        <v>1919</v>
      </c>
    </row>
    <row r="1917" spans="1:1" x14ac:dyDescent="0.25">
      <c r="A1917" t="s">
        <v>1920</v>
      </c>
    </row>
    <row r="1918" spans="1:1" x14ac:dyDescent="0.25">
      <c r="A1918" t="s">
        <v>1921</v>
      </c>
    </row>
    <row r="1919" spans="1:1" x14ac:dyDescent="0.25">
      <c r="A1919" t="s">
        <v>1922</v>
      </c>
    </row>
    <row r="1920" spans="1:1" x14ac:dyDescent="0.25">
      <c r="A1920" t="s">
        <v>1923</v>
      </c>
    </row>
    <row r="1921" spans="1:1" x14ac:dyDescent="0.25">
      <c r="A1921" t="s">
        <v>1924</v>
      </c>
    </row>
    <row r="1922" spans="1:1" x14ac:dyDescent="0.25">
      <c r="A1922" t="s">
        <v>1925</v>
      </c>
    </row>
    <row r="1923" spans="1:1" x14ac:dyDescent="0.25">
      <c r="A1923" t="s">
        <v>1926</v>
      </c>
    </row>
    <row r="1924" spans="1:1" x14ac:dyDescent="0.25">
      <c r="A1924" t="s">
        <v>1927</v>
      </c>
    </row>
    <row r="1925" spans="1:1" x14ac:dyDescent="0.25">
      <c r="A1925" t="s">
        <v>1928</v>
      </c>
    </row>
    <row r="1926" spans="1:1" x14ac:dyDescent="0.25">
      <c r="A1926" t="s">
        <v>1929</v>
      </c>
    </row>
    <row r="1927" spans="1:1" x14ac:dyDescent="0.25">
      <c r="A1927" t="s">
        <v>1930</v>
      </c>
    </row>
    <row r="1928" spans="1:1" x14ac:dyDescent="0.25">
      <c r="A1928" t="s">
        <v>1931</v>
      </c>
    </row>
    <row r="1929" spans="1:1" x14ac:dyDescent="0.25">
      <c r="A1929" t="s">
        <v>1932</v>
      </c>
    </row>
    <row r="1930" spans="1:1" x14ac:dyDescent="0.25">
      <c r="A1930" t="s">
        <v>1933</v>
      </c>
    </row>
    <row r="1931" spans="1:1" x14ac:dyDescent="0.25">
      <c r="A1931" t="s">
        <v>1934</v>
      </c>
    </row>
    <row r="1932" spans="1:1" x14ac:dyDescent="0.25">
      <c r="A1932" t="s">
        <v>1935</v>
      </c>
    </row>
    <row r="1933" spans="1:1" x14ac:dyDescent="0.25">
      <c r="A1933" t="s">
        <v>1936</v>
      </c>
    </row>
    <row r="1934" spans="1:1" x14ac:dyDescent="0.25">
      <c r="A1934" t="s">
        <v>1937</v>
      </c>
    </row>
    <row r="1935" spans="1:1" x14ac:dyDescent="0.25">
      <c r="A1935" t="s">
        <v>1938</v>
      </c>
    </row>
    <row r="1936" spans="1:1" x14ac:dyDescent="0.25">
      <c r="A1936" t="s">
        <v>1939</v>
      </c>
    </row>
    <row r="1937" spans="1:1" x14ac:dyDescent="0.25">
      <c r="A1937" t="s">
        <v>1940</v>
      </c>
    </row>
    <row r="1938" spans="1:1" x14ac:dyDescent="0.25">
      <c r="A1938" t="s">
        <v>1941</v>
      </c>
    </row>
    <row r="1939" spans="1:1" x14ac:dyDescent="0.25">
      <c r="A1939" t="s">
        <v>1942</v>
      </c>
    </row>
    <row r="1940" spans="1:1" x14ac:dyDescent="0.25">
      <c r="A1940" t="s">
        <v>1943</v>
      </c>
    </row>
    <row r="1941" spans="1:1" x14ac:dyDescent="0.25">
      <c r="A1941" t="s">
        <v>1944</v>
      </c>
    </row>
    <row r="1942" spans="1:1" x14ac:dyDescent="0.25">
      <c r="A1942" t="s">
        <v>1945</v>
      </c>
    </row>
    <row r="1943" spans="1:1" x14ac:dyDescent="0.25">
      <c r="A1943" t="s">
        <v>1946</v>
      </c>
    </row>
    <row r="1944" spans="1:1" x14ac:dyDescent="0.25">
      <c r="A1944" t="s">
        <v>1947</v>
      </c>
    </row>
    <row r="1945" spans="1:1" x14ac:dyDescent="0.25">
      <c r="A1945" t="s">
        <v>1948</v>
      </c>
    </row>
    <row r="1946" spans="1:1" x14ac:dyDescent="0.25">
      <c r="A1946" t="s">
        <v>1949</v>
      </c>
    </row>
    <row r="1947" spans="1:1" x14ac:dyDescent="0.25">
      <c r="A1947" t="s">
        <v>1950</v>
      </c>
    </row>
    <row r="1948" spans="1:1" x14ac:dyDescent="0.25">
      <c r="A1948" t="s">
        <v>1951</v>
      </c>
    </row>
    <row r="1949" spans="1:1" x14ac:dyDescent="0.25">
      <c r="A1949" t="s">
        <v>1952</v>
      </c>
    </row>
    <row r="1950" spans="1:1" x14ac:dyDescent="0.25">
      <c r="A1950" t="s">
        <v>1953</v>
      </c>
    </row>
    <row r="1951" spans="1:1" x14ac:dyDescent="0.25">
      <c r="A1951" t="s">
        <v>1954</v>
      </c>
    </row>
    <row r="1952" spans="1:1" x14ac:dyDescent="0.25">
      <c r="A1952" t="s">
        <v>1955</v>
      </c>
    </row>
    <row r="1953" spans="1:1" x14ac:dyDescent="0.25">
      <c r="A1953" t="s">
        <v>1956</v>
      </c>
    </row>
    <row r="1954" spans="1:1" x14ac:dyDescent="0.25">
      <c r="A1954" t="s">
        <v>1957</v>
      </c>
    </row>
    <row r="1955" spans="1:1" x14ac:dyDescent="0.25">
      <c r="A1955" t="s">
        <v>1958</v>
      </c>
    </row>
    <row r="1956" spans="1:1" x14ac:dyDescent="0.25">
      <c r="A1956" t="s">
        <v>1959</v>
      </c>
    </row>
    <row r="1957" spans="1:1" x14ac:dyDescent="0.25">
      <c r="A1957" t="s">
        <v>1960</v>
      </c>
    </row>
    <row r="1958" spans="1:1" x14ac:dyDescent="0.25">
      <c r="A1958" t="s">
        <v>1961</v>
      </c>
    </row>
    <row r="1959" spans="1:1" x14ac:dyDescent="0.25">
      <c r="A1959" t="s">
        <v>1962</v>
      </c>
    </row>
    <row r="1960" spans="1:1" x14ac:dyDescent="0.25">
      <c r="A1960" t="s">
        <v>1963</v>
      </c>
    </row>
    <row r="1961" spans="1:1" x14ac:dyDescent="0.25">
      <c r="A1961" t="s">
        <v>1964</v>
      </c>
    </row>
    <row r="1962" spans="1:1" x14ac:dyDescent="0.25">
      <c r="A1962" t="s">
        <v>1965</v>
      </c>
    </row>
    <row r="1963" spans="1:1" x14ac:dyDescent="0.25">
      <c r="A1963" t="s">
        <v>1966</v>
      </c>
    </row>
    <row r="1964" spans="1:1" x14ac:dyDescent="0.25">
      <c r="A1964" t="s">
        <v>1967</v>
      </c>
    </row>
    <row r="1965" spans="1:1" x14ac:dyDescent="0.25">
      <c r="A1965" t="s">
        <v>1968</v>
      </c>
    </row>
    <row r="1966" spans="1:1" x14ac:dyDescent="0.25">
      <c r="A1966" t="s">
        <v>1969</v>
      </c>
    </row>
    <row r="1967" spans="1:1" x14ac:dyDescent="0.25">
      <c r="A1967" t="s">
        <v>1970</v>
      </c>
    </row>
    <row r="1968" spans="1:1" x14ac:dyDescent="0.25">
      <c r="A1968" t="s">
        <v>1971</v>
      </c>
    </row>
    <row r="1969" spans="1:1" x14ac:dyDescent="0.25">
      <c r="A1969" t="s">
        <v>1972</v>
      </c>
    </row>
    <row r="1970" spans="1:1" x14ac:dyDescent="0.25">
      <c r="A1970" t="s">
        <v>1973</v>
      </c>
    </row>
    <row r="1971" spans="1:1" x14ac:dyDescent="0.25">
      <c r="A1971" t="s">
        <v>1974</v>
      </c>
    </row>
    <row r="1972" spans="1:1" x14ac:dyDescent="0.25">
      <c r="A1972" t="s">
        <v>1975</v>
      </c>
    </row>
    <row r="1973" spans="1:1" x14ac:dyDescent="0.25">
      <c r="A1973" t="s">
        <v>1976</v>
      </c>
    </row>
    <row r="1974" spans="1:1" x14ac:dyDescent="0.25">
      <c r="A1974" t="s">
        <v>1977</v>
      </c>
    </row>
    <row r="1975" spans="1:1" x14ac:dyDescent="0.25">
      <c r="A1975" t="s">
        <v>1978</v>
      </c>
    </row>
    <row r="1976" spans="1:1" x14ac:dyDescent="0.25">
      <c r="A1976" t="s">
        <v>1979</v>
      </c>
    </row>
    <row r="1977" spans="1:1" x14ac:dyDescent="0.25">
      <c r="A1977" t="s">
        <v>1980</v>
      </c>
    </row>
    <row r="1978" spans="1:1" x14ac:dyDescent="0.25">
      <c r="A1978" t="s">
        <v>1981</v>
      </c>
    </row>
    <row r="1979" spans="1:1" x14ac:dyDescent="0.25">
      <c r="A1979" t="s">
        <v>1982</v>
      </c>
    </row>
    <row r="1980" spans="1:1" x14ac:dyDescent="0.25">
      <c r="A1980" t="s">
        <v>1983</v>
      </c>
    </row>
    <row r="1981" spans="1:1" x14ac:dyDescent="0.25">
      <c r="A1981" t="s">
        <v>1984</v>
      </c>
    </row>
    <row r="1982" spans="1:1" x14ac:dyDescent="0.25">
      <c r="A1982" t="s">
        <v>1985</v>
      </c>
    </row>
    <row r="1983" spans="1:1" x14ac:dyDescent="0.25">
      <c r="A1983" t="s">
        <v>1986</v>
      </c>
    </row>
    <row r="1984" spans="1:1" x14ac:dyDescent="0.25">
      <c r="A1984" t="s">
        <v>1987</v>
      </c>
    </row>
    <row r="1985" spans="1:1" x14ac:dyDescent="0.25">
      <c r="A1985" t="s">
        <v>1988</v>
      </c>
    </row>
    <row r="1986" spans="1:1" x14ac:dyDescent="0.25">
      <c r="A1986" t="s">
        <v>1989</v>
      </c>
    </row>
    <row r="1987" spans="1:1" x14ac:dyDescent="0.25">
      <c r="A1987" t="s">
        <v>1990</v>
      </c>
    </row>
    <row r="1988" spans="1:1" x14ac:dyDescent="0.25">
      <c r="A1988" t="s">
        <v>1991</v>
      </c>
    </row>
    <row r="1989" spans="1:1" x14ac:dyDescent="0.25">
      <c r="A1989" t="s">
        <v>1992</v>
      </c>
    </row>
    <row r="1990" spans="1:1" x14ac:dyDescent="0.25">
      <c r="A1990" t="s">
        <v>1993</v>
      </c>
    </row>
    <row r="1991" spans="1:1" x14ac:dyDescent="0.25">
      <c r="A1991" t="s">
        <v>1994</v>
      </c>
    </row>
    <row r="1992" spans="1:1" x14ac:dyDescent="0.25">
      <c r="A1992" t="s">
        <v>1995</v>
      </c>
    </row>
    <row r="1993" spans="1:1" x14ac:dyDescent="0.25">
      <c r="A1993" t="s">
        <v>1996</v>
      </c>
    </row>
    <row r="1994" spans="1:1" x14ac:dyDescent="0.25">
      <c r="A1994" t="s">
        <v>1997</v>
      </c>
    </row>
    <row r="1995" spans="1:1" x14ac:dyDescent="0.25">
      <c r="A1995" t="s">
        <v>1998</v>
      </c>
    </row>
    <row r="1996" spans="1:1" x14ac:dyDescent="0.25">
      <c r="A1996" t="s">
        <v>1999</v>
      </c>
    </row>
    <row r="1997" spans="1:1" x14ac:dyDescent="0.25">
      <c r="A1997" t="s">
        <v>2000</v>
      </c>
    </row>
    <row r="1998" spans="1:1" x14ac:dyDescent="0.25">
      <c r="A1998" t="s">
        <v>2001</v>
      </c>
    </row>
    <row r="1999" spans="1:1" x14ac:dyDescent="0.25">
      <c r="A1999" t="s">
        <v>2002</v>
      </c>
    </row>
    <row r="2000" spans="1:1" x14ac:dyDescent="0.25">
      <c r="A2000" t="s">
        <v>2003</v>
      </c>
    </row>
    <row r="2001" spans="1:1" x14ac:dyDescent="0.25">
      <c r="A2001" t="s">
        <v>2004</v>
      </c>
    </row>
    <row r="2002" spans="1:1" x14ac:dyDescent="0.25">
      <c r="A2002" t="s">
        <v>2005</v>
      </c>
    </row>
    <row r="2003" spans="1:1" x14ac:dyDescent="0.25">
      <c r="A2003" t="s">
        <v>2006</v>
      </c>
    </row>
    <row r="2004" spans="1:1" x14ac:dyDescent="0.25">
      <c r="A2004" t="s">
        <v>2007</v>
      </c>
    </row>
    <row r="2005" spans="1:1" x14ac:dyDescent="0.25">
      <c r="A2005" t="s">
        <v>2008</v>
      </c>
    </row>
    <row r="2006" spans="1:1" x14ac:dyDescent="0.25">
      <c r="A2006" t="s">
        <v>2009</v>
      </c>
    </row>
    <row r="2007" spans="1:1" x14ac:dyDescent="0.25">
      <c r="A2007" t="s">
        <v>2010</v>
      </c>
    </row>
    <row r="2008" spans="1:1" x14ac:dyDescent="0.25">
      <c r="A2008" t="s">
        <v>2011</v>
      </c>
    </row>
    <row r="2009" spans="1:1" x14ac:dyDescent="0.25">
      <c r="A2009" t="s">
        <v>2012</v>
      </c>
    </row>
    <row r="2010" spans="1:1" x14ac:dyDescent="0.25">
      <c r="A2010" t="s">
        <v>2013</v>
      </c>
    </row>
    <row r="2011" spans="1:1" x14ac:dyDescent="0.25">
      <c r="A2011" t="s">
        <v>2014</v>
      </c>
    </row>
    <row r="2012" spans="1:1" x14ac:dyDescent="0.25">
      <c r="A2012" t="s">
        <v>2015</v>
      </c>
    </row>
    <row r="2013" spans="1:1" x14ac:dyDescent="0.25">
      <c r="A2013" t="s">
        <v>2016</v>
      </c>
    </row>
    <row r="2014" spans="1:1" x14ac:dyDescent="0.25">
      <c r="A2014" t="s">
        <v>2017</v>
      </c>
    </row>
    <row r="2015" spans="1:1" x14ac:dyDescent="0.25">
      <c r="A2015" t="s">
        <v>2018</v>
      </c>
    </row>
    <row r="2016" spans="1:1" x14ac:dyDescent="0.25">
      <c r="A2016" t="s">
        <v>2019</v>
      </c>
    </row>
    <row r="2017" spans="1:1" x14ac:dyDescent="0.25">
      <c r="A2017" t="s">
        <v>2020</v>
      </c>
    </row>
    <row r="2018" spans="1:1" x14ac:dyDescent="0.25">
      <c r="A2018" t="s">
        <v>2021</v>
      </c>
    </row>
    <row r="2019" spans="1:1" x14ac:dyDescent="0.25">
      <c r="A2019" t="s">
        <v>2022</v>
      </c>
    </row>
    <row r="2020" spans="1:1" x14ac:dyDescent="0.25">
      <c r="A2020" t="s">
        <v>2023</v>
      </c>
    </row>
    <row r="2021" spans="1:1" x14ac:dyDescent="0.25">
      <c r="A2021" t="s">
        <v>2024</v>
      </c>
    </row>
    <row r="2022" spans="1:1" x14ac:dyDescent="0.25">
      <c r="A2022" t="s">
        <v>2025</v>
      </c>
    </row>
    <row r="2023" spans="1:1" x14ac:dyDescent="0.25">
      <c r="A2023" t="s">
        <v>2026</v>
      </c>
    </row>
    <row r="2024" spans="1:1" x14ac:dyDescent="0.25">
      <c r="A2024" t="s">
        <v>2027</v>
      </c>
    </row>
    <row r="2025" spans="1:1" x14ac:dyDescent="0.25">
      <c r="A2025" t="s">
        <v>2028</v>
      </c>
    </row>
    <row r="2026" spans="1:1" x14ac:dyDescent="0.25">
      <c r="A2026" t="s">
        <v>2029</v>
      </c>
    </row>
    <row r="2027" spans="1:1" x14ac:dyDescent="0.25">
      <c r="A2027" t="s">
        <v>2030</v>
      </c>
    </row>
    <row r="2028" spans="1:1" x14ac:dyDescent="0.25">
      <c r="A2028" t="s">
        <v>2031</v>
      </c>
    </row>
    <row r="2029" spans="1:1" x14ac:dyDescent="0.25">
      <c r="A2029" t="s">
        <v>2032</v>
      </c>
    </row>
    <row r="2030" spans="1:1" x14ac:dyDescent="0.25">
      <c r="A2030" t="s">
        <v>2033</v>
      </c>
    </row>
    <row r="2031" spans="1:1" x14ac:dyDescent="0.25">
      <c r="A2031" t="s">
        <v>2034</v>
      </c>
    </row>
    <row r="2032" spans="1:1" x14ac:dyDescent="0.25">
      <c r="A2032" t="s">
        <v>2035</v>
      </c>
    </row>
    <row r="2033" spans="1:1" x14ac:dyDescent="0.25">
      <c r="A2033" t="s">
        <v>2036</v>
      </c>
    </row>
    <row r="2034" spans="1:1" x14ac:dyDescent="0.25">
      <c r="A2034" t="s">
        <v>2037</v>
      </c>
    </row>
    <row r="2035" spans="1:1" x14ac:dyDescent="0.25">
      <c r="A2035" t="s">
        <v>2038</v>
      </c>
    </row>
    <row r="2036" spans="1:1" x14ac:dyDescent="0.25">
      <c r="A2036" t="s">
        <v>2039</v>
      </c>
    </row>
    <row r="2037" spans="1:1" x14ac:dyDescent="0.25">
      <c r="A2037" t="s">
        <v>2040</v>
      </c>
    </row>
    <row r="2038" spans="1:1" x14ac:dyDescent="0.25">
      <c r="A2038" t="s">
        <v>2041</v>
      </c>
    </row>
    <row r="2039" spans="1:1" x14ac:dyDescent="0.25">
      <c r="A2039" t="s">
        <v>2042</v>
      </c>
    </row>
    <row r="2040" spans="1:1" x14ac:dyDescent="0.25">
      <c r="A2040" t="s">
        <v>2043</v>
      </c>
    </row>
    <row r="2041" spans="1:1" x14ac:dyDescent="0.25">
      <c r="A2041" t="s">
        <v>2044</v>
      </c>
    </row>
    <row r="2042" spans="1:1" x14ac:dyDescent="0.25">
      <c r="A2042" t="s">
        <v>2045</v>
      </c>
    </row>
    <row r="2043" spans="1:1" x14ac:dyDescent="0.25">
      <c r="A2043" t="s">
        <v>2046</v>
      </c>
    </row>
    <row r="2044" spans="1:1" x14ac:dyDescent="0.25">
      <c r="A2044" t="s">
        <v>2047</v>
      </c>
    </row>
    <row r="2045" spans="1:1" x14ac:dyDescent="0.25">
      <c r="A2045" t="s">
        <v>2048</v>
      </c>
    </row>
    <row r="2046" spans="1:1" x14ac:dyDescent="0.25">
      <c r="A2046" t="s">
        <v>2049</v>
      </c>
    </row>
    <row r="2047" spans="1:1" x14ac:dyDescent="0.25">
      <c r="A2047" t="s">
        <v>2050</v>
      </c>
    </row>
    <row r="2048" spans="1:1" x14ac:dyDescent="0.25">
      <c r="A2048" t="s">
        <v>2051</v>
      </c>
    </row>
    <row r="2049" spans="1:1" x14ac:dyDescent="0.25">
      <c r="A2049" t="s">
        <v>2052</v>
      </c>
    </row>
    <row r="2050" spans="1:1" x14ac:dyDescent="0.25">
      <c r="A2050" t="s">
        <v>2053</v>
      </c>
    </row>
    <row r="2051" spans="1:1" x14ac:dyDescent="0.25">
      <c r="A2051" t="s">
        <v>2054</v>
      </c>
    </row>
    <row r="2052" spans="1:1" x14ac:dyDescent="0.25">
      <c r="A2052" t="s">
        <v>2055</v>
      </c>
    </row>
    <row r="2053" spans="1:1" x14ac:dyDescent="0.25">
      <c r="A2053" t="s">
        <v>2056</v>
      </c>
    </row>
    <row r="2054" spans="1:1" x14ac:dyDescent="0.25">
      <c r="A2054" t="s">
        <v>2057</v>
      </c>
    </row>
    <row r="2055" spans="1:1" x14ac:dyDescent="0.25">
      <c r="A2055" t="s">
        <v>2058</v>
      </c>
    </row>
    <row r="2056" spans="1:1" x14ac:dyDescent="0.25">
      <c r="A2056" t="s">
        <v>2059</v>
      </c>
    </row>
    <row r="2057" spans="1:1" x14ac:dyDescent="0.25">
      <c r="A2057" t="s">
        <v>2060</v>
      </c>
    </row>
    <row r="2058" spans="1:1" x14ac:dyDescent="0.25">
      <c r="A2058" t="s">
        <v>2061</v>
      </c>
    </row>
    <row r="2059" spans="1:1" x14ac:dyDescent="0.25">
      <c r="A2059" t="s">
        <v>2062</v>
      </c>
    </row>
    <row r="2060" spans="1:1" x14ac:dyDescent="0.25">
      <c r="A2060" t="s">
        <v>2063</v>
      </c>
    </row>
    <row r="2061" spans="1:1" x14ac:dyDescent="0.25">
      <c r="A2061" t="s">
        <v>2064</v>
      </c>
    </row>
    <row r="2062" spans="1:1" x14ac:dyDescent="0.25">
      <c r="A2062" t="s">
        <v>2065</v>
      </c>
    </row>
    <row r="2063" spans="1:1" x14ac:dyDescent="0.25">
      <c r="A2063" t="s">
        <v>2066</v>
      </c>
    </row>
    <row r="2064" spans="1:1" x14ac:dyDescent="0.25">
      <c r="A2064" t="s">
        <v>2067</v>
      </c>
    </row>
    <row r="2065" spans="1:1" x14ac:dyDescent="0.25">
      <c r="A2065" t="s">
        <v>2068</v>
      </c>
    </row>
    <row r="2066" spans="1:1" x14ac:dyDescent="0.25">
      <c r="A2066" t="s">
        <v>2069</v>
      </c>
    </row>
    <row r="2067" spans="1:1" x14ac:dyDescent="0.25">
      <c r="A2067" t="s">
        <v>2070</v>
      </c>
    </row>
    <row r="2068" spans="1:1" x14ac:dyDescent="0.25">
      <c r="A2068" t="s">
        <v>2071</v>
      </c>
    </row>
    <row r="2069" spans="1:1" x14ac:dyDescent="0.25">
      <c r="A2069" t="s">
        <v>2072</v>
      </c>
    </row>
    <row r="2070" spans="1:1" x14ac:dyDescent="0.25">
      <c r="A2070" t="s">
        <v>2073</v>
      </c>
    </row>
    <row r="2071" spans="1:1" x14ac:dyDescent="0.25">
      <c r="A2071" t="s">
        <v>2074</v>
      </c>
    </row>
    <row r="2072" spans="1:1" x14ac:dyDescent="0.25">
      <c r="A2072" t="s">
        <v>2075</v>
      </c>
    </row>
    <row r="2073" spans="1:1" x14ac:dyDescent="0.25">
      <c r="A2073" t="s">
        <v>2076</v>
      </c>
    </row>
    <row r="2074" spans="1:1" x14ac:dyDescent="0.25">
      <c r="A2074" t="s">
        <v>2077</v>
      </c>
    </row>
    <row r="2075" spans="1:1" x14ac:dyDescent="0.25">
      <c r="A2075" t="s">
        <v>2078</v>
      </c>
    </row>
    <row r="2076" spans="1:1" x14ac:dyDescent="0.25">
      <c r="A2076" t="s">
        <v>2079</v>
      </c>
    </row>
    <row r="2077" spans="1:1" x14ac:dyDescent="0.25">
      <c r="A2077" t="s">
        <v>2080</v>
      </c>
    </row>
    <row r="2078" spans="1:1" x14ac:dyDescent="0.25">
      <c r="A2078" t="s">
        <v>2081</v>
      </c>
    </row>
    <row r="2079" spans="1:1" x14ac:dyDescent="0.25">
      <c r="A2079" t="s">
        <v>2082</v>
      </c>
    </row>
    <row r="2080" spans="1:1" x14ac:dyDescent="0.25">
      <c r="A2080" t="s">
        <v>2083</v>
      </c>
    </row>
    <row r="2081" spans="1:1" x14ac:dyDescent="0.25">
      <c r="A2081" t="s">
        <v>2084</v>
      </c>
    </row>
    <row r="2082" spans="1:1" x14ac:dyDescent="0.25">
      <c r="A2082" t="s">
        <v>2085</v>
      </c>
    </row>
    <row r="2083" spans="1:1" x14ac:dyDescent="0.25">
      <c r="A2083" t="s">
        <v>2086</v>
      </c>
    </row>
    <row r="2084" spans="1:1" x14ac:dyDescent="0.25">
      <c r="A2084" t="s">
        <v>2087</v>
      </c>
    </row>
    <row r="2085" spans="1:1" x14ac:dyDescent="0.25">
      <c r="A2085" t="s">
        <v>2088</v>
      </c>
    </row>
    <row r="2086" spans="1:1" x14ac:dyDescent="0.25">
      <c r="A2086" t="s">
        <v>2089</v>
      </c>
    </row>
    <row r="2087" spans="1:1" x14ac:dyDescent="0.25">
      <c r="A2087" t="s">
        <v>2090</v>
      </c>
    </row>
    <row r="2088" spans="1:1" x14ac:dyDescent="0.25">
      <c r="A2088" t="s">
        <v>2091</v>
      </c>
    </row>
    <row r="2089" spans="1:1" x14ac:dyDescent="0.25">
      <c r="A2089" t="s">
        <v>2092</v>
      </c>
    </row>
    <row r="2090" spans="1:1" x14ac:dyDescent="0.25">
      <c r="A2090" t="s">
        <v>2093</v>
      </c>
    </row>
    <row r="2091" spans="1:1" x14ac:dyDescent="0.25">
      <c r="A2091" t="s">
        <v>2094</v>
      </c>
    </row>
    <row r="2092" spans="1:1" x14ac:dyDescent="0.25">
      <c r="A2092" t="s">
        <v>2095</v>
      </c>
    </row>
    <row r="2093" spans="1:1" x14ac:dyDescent="0.25">
      <c r="A2093" t="s">
        <v>2096</v>
      </c>
    </row>
    <row r="2094" spans="1:1" x14ac:dyDescent="0.25">
      <c r="A2094" t="s">
        <v>2097</v>
      </c>
    </row>
    <row r="2095" spans="1:1" x14ac:dyDescent="0.25">
      <c r="A2095" t="s">
        <v>2098</v>
      </c>
    </row>
    <row r="2096" spans="1:1" x14ac:dyDescent="0.25">
      <c r="A2096" t="s">
        <v>2099</v>
      </c>
    </row>
    <row r="2097" spans="1:1" x14ac:dyDescent="0.25">
      <c r="A2097" t="s">
        <v>2100</v>
      </c>
    </row>
    <row r="2098" spans="1:1" x14ac:dyDescent="0.25">
      <c r="A2098" t="s">
        <v>2101</v>
      </c>
    </row>
    <row r="2099" spans="1:1" x14ac:dyDescent="0.25">
      <c r="A2099" t="s">
        <v>2102</v>
      </c>
    </row>
    <row r="2100" spans="1:1" x14ac:dyDescent="0.25">
      <c r="A2100" t="s">
        <v>2103</v>
      </c>
    </row>
    <row r="2101" spans="1:1" x14ac:dyDescent="0.25">
      <c r="A2101" t="s">
        <v>2104</v>
      </c>
    </row>
    <row r="2102" spans="1:1" x14ac:dyDescent="0.25">
      <c r="A2102" t="s">
        <v>2105</v>
      </c>
    </row>
    <row r="2103" spans="1:1" x14ac:dyDescent="0.25">
      <c r="A2103" t="s">
        <v>2106</v>
      </c>
    </row>
    <row r="2104" spans="1:1" x14ac:dyDescent="0.25">
      <c r="A2104" t="s">
        <v>2107</v>
      </c>
    </row>
    <row r="2105" spans="1:1" x14ac:dyDescent="0.25">
      <c r="A2105" t="s">
        <v>2108</v>
      </c>
    </row>
    <row r="2106" spans="1:1" x14ac:dyDescent="0.25">
      <c r="A2106" t="s">
        <v>2109</v>
      </c>
    </row>
    <row r="2107" spans="1:1" x14ac:dyDescent="0.25">
      <c r="A2107" t="s">
        <v>2110</v>
      </c>
    </row>
    <row r="2108" spans="1:1" x14ac:dyDescent="0.25">
      <c r="A2108" t="s">
        <v>2111</v>
      </c>
    </row>
    <row r="2109" spans="1:1" x14ac:dyDescent="0.25">
      <c r="A2109" t="s">
        <v>2112</v>
      </c>
    </row>
    <row r="2110" spans="1:1" x14ac:dyDescent="0.25">
      <c r="A2110" t="s">
        <v>2113</v>
      </c>
    </row>
    <row r="2111" spans="1:1" x14ac:dyDescent="0.25">
      <c r="A2111" t="s">
        <v>2114</v>
      </c>
    </row>
    <row r="2112" spans="1:1" x14ac:dyDescent="0.25">
      <c r="A2112" t="s">
        <v>2115</v>
      </c>
    </row>
    <row r="2113" spans="1:1" x14ac:dyDescent="0.25">
      <c r="A2113" t="s">
        <v>2116</v>
      </c>
    </row>
    <row r="2114" spans="1:1" x14ac:dyDescent="0.25">
      <c r="A2114" t="s">
        <v>2117</v>
      </c>
    </row>
    <row r="2115" spans="1:1" x14ac:dyDescent="0.25">
      <c r="A2115" t="s">
        <v>2118</v>
      </c>
    </row>
    <row r="2116" spans="1:1" x14ac:dyDescent="0.25">
      <c r="A2116" t="s">
        <v>2119</v>
      </c>
    </row>
    <row r="2117" spans="1:1" x14ac:dyDescent="0.25">
      <c r="A2117" t="s">
        <v>2120</v>
      </c>
    </row>
    <row r="2118" spans="1:1" x14ac:dyDescent="0.25">
      <c r="A2118" t="s">
        <v>2121</v>
      </c>
    </row>
    <row r="2119" spans="1:1" x14ac:dyDescent="0.25">
      <c r="A2119" t="s">
        <v>2122</v>
      </c>
    </row>
    <row r="2120" spans="1:1" x14ac:dyDescent="0.25">
      <c r="A2120" t="s">
        <v>2123</v>
      </c>
    </row>
    <row r="2121" spans="1:1" x14ac:dyDescent="0.25">
      <c r="A2121" t="s">
        <v>2124</v>
      </c>
    </row>
    <row r="2122" spans="1:1" x14ac:dyDescent="0.25">
      <c r="A2122" t="s">
        <v>2125</v>
      </c>
    </row>
    <row r="2123" spans="1:1" x14ac:dyDescent="0.25">
      <c r="A2123" t="s">
        <v>2126</v>
      </c>
    </row>
    <row r="2124" spans="1:1" x14ac:dyDescent="0.25">
      <c r="A2124" t="s">
        <v>2127</v>
      </c>
    </row>
    <row r="2125" spans="1:1" x14ac:dyDescent="0.25">
      <c r="A2125" t="s">
        <v>2128</v>
      </c>
    </row>
    <row r="2126" spans="1:1" x14ac:dyDescent="0.25">
      <c r="A2126" t="s">
        <v>2129</v>
      </c>
    </row>
    <row r="2127" spans="1:1" x14ac:dyDescent="0.25">
      <c r="A2127" t="s">
        <v>2130</v>
      </c>
    </row>
    <row r="2128" spans="1:1" x14ac:dyDescent="0.25">
      <c r="A2128" t="s">
        <v>2131</v>
      </c>
    </row>
    <row r="2129" spans="1:1" x14ac:dyDescent="0.25">
      <c r="A2129" t="s">
        <v>2132</v>
      </c>
    </row>
    <row r="2130" spans="1:1" x14ac:dyDescent="0.25">
      <c r="A2130" t="s">
        <v>2133</v>
      </c>
    </row>
    <row r="2131" spans="1:1" x14ac:dyDescent="0.25">
      <c r="A2131" t="s">
        <v>2134</v>
      </c>
    </row>
    <row r="2132" spans="1:1" x14ac:dyDescent="0.25">
      <c r="A2132" t="s">
        <v>2135</v>
      </c>
    </row>
    <row r="2133" spans="1:1" x14ac:dyDescent="0.25">
      <c r="A2133" t="s">
        <v>2136</v>
      </c>
    </row>
    <row r="2134" spans="1:1" x14ac:dyDescent="0.25">
      <c r="A2134" t="s">
        <v>2137</v>
      </c>
    </row>
    <row r="2135" spans="1:1" x14ac:dyDescent="0.25">
      <c r="A2135" t="s">
        <v>2138</v>
      </c>
    </row>
    <row r="2136" spans="1:1" x14ac:dyDescent="0.25">
      <c r="A2136" t="s">
        <v>2139</v>
      </c>
    </row>
    <row r="2137" spans="1:1" x14ac:dyDescent="0.25">
      <c r="A2137" t="s">
        <v>2140</v>
      </c>
    </row>
    <row r="2138" spans="1:1" x14ac:dyDescent="0.25">
      <c r="A2138" t="s">
        <v>2141</v>
      </c>
    </row>
    <row r="2139" spans="1:1" x14ac:dyDescent="0.25">
      <c r="A2139" t="s">
        <v>2142</v>
      </c>
    </row>
    <row r="2140" spans="1:1" x14ac:dyDescent="0.25">
      <c r="A2140" t="s">
        <v>2143</v>
      </c>
    </row>
    <row r="2141" spans="1:1" x14ac:dyDescent="0.25">
      <c r="A2141" t="s">
        <v>2144</v>
      </c>
    </row>
    <row r="2142" spans="1:1" x14ac:dyDescent="0.25">
      <c r="A2142" t="s">
        <v>2145</v>
      </c>
    </row>
    <row r="2143" spans="1:1" x14ac:dyDescent="0.25">
      <c r="A2143" t="s">
        <v>2146</v>
      </c>
    </row>
    <row r="2144" spans="1:1" x14ac:dyDescent="0.25">
      <c r="A2144" t="s">
        <v>2147</v>
      </c>
    </row>
    <row r="2145" spans="1:1" x14ac:dyDescent="0.25">
      <c r="A2145" t="s">
        <v>2148</v>
      </c>
    </row>
    <row r="2146" spans="1:1" x14ac:dyDescent="0.25">
      <c r="A2146" t="s">
        <v>2149</v>
      </c>
    </row>
    <row r="2147" spans="1:1" x14ac:dyDescent="0.25">
      <c r="A2147" t="s">
        <v>2150</v>
      </c>
    </row>
    <row r="2148" spans="1:1" x14ac:dyDescent="0.25">
      <c r="A2148" t="s">
        <v>2151</v>
      </c>
    </row>
    <row r="2149" spans="1:1" x14ac:dyDescent="0.25">
      <c r="A2149" t="s">
        <v>2152</v>
      </c>
    </row>
    <row r="2150" spans="1:1" x14ac:dyDescent="0.25">
      <c r="A2150" t="s">
        <v>2153</v>
      </c>
    </row>
    <row r="2151" spans="1:1" x14ac:dyDescent="0.25">
      <c r="A2151" t="s">
        <v>2154</v>
      </c>
    </row>
    <row r="2152" spans="1:1" x14ac:dyDescent="0.25">
      <c r="A2152" t="s">
        <v>2155</v>
      </c>
    </row>
    <row r="2153" spans="1:1" x14ac:dyDescent="0.25">
      <c r="A2153" t="s">
        <v>2156</v>
      </c>
    </row>
    <row r="2154" spans="1:1" x14ac:dyDescent="0.25">
      <c r="A2154" t="s">
        <v>2157</v>
      </c>
    </row>
    <row r="2155" spans="1:1" x14ac:dyDescent="0.25">
      <c r="A2155" t="s">
        <v>2158</v>
      </c>
    </row>
    <row r="2156" spans="1:1" x14ac:dyDescent="0.25">
      <c r="A2156" t="s">
        <v>2159</v>
      </c>
    </row>
    <row r="2157" spans="1:1" x14ac:dyDescent="0.25">
      <c r="A2157" t="s">
        <v>2160</v>
      </c>
    </row>
    <row r="2158" spans="1:1" x14ac:dyDescent="0.25">
      <c r="A2158" t="s">
        <v>2161</v>
      </c>
    </row>
    <row r="2159" spans="1:1" x14ac:dyDescent="0.25">
      <c r="A2159" t="s">
        <v>2162</v>
      </c>
    </row>
    <row r="2160" spans="1:1" x14ac:dyDescent="0.25">
      <c r="A2160" t="s">
        <v>2163</v>
      </c>
    </row>
    <row r="2161" spans="1:1" x14ac:dyDescent="0.25">
      <c r="A2161" t="s">
        <v>2164</v>
      </c>
    </row>
    <row r="2162" spans="1:1" x14ac:dyDescent="0.25">
      <c r="A2162" t="s">
        <v>2165</v>
      </c>
    </row>
    <row r="2163" spans="1:1" x14ac:dyDescent="0.25">
      <c r="A2163" t="s">
        <v>2166</v>
      </c>
    </row>
    <row r="2164" spans="1:1" x14ac:dyDescent="0.25">
      <c r="A2164" t="s">
        <v>2167</v>
      </c>
    </row>
    <row r="2165" spans="1:1" x14ac:dyDescent="0.25">
      <c r="A2165" t="s">
        <v>2168</v>
      </c>
    </row>
    <row r="2166" spans="1:1" x14ac:dyDescent="0.25">
      <c r="A2166" t="s">
        <v>2169</v>
      </c>
    </row>
    <row r="2167" spans="1:1" x14ac:dyDescent="0.25">
      <c r="A2167" t="s">
        <v>2170</v>
      </c>
    </row>
    <row r="2168" spans="1:1" x14ac:dyDescent="0.25">
      <c r="A2168" t="s">
        <v>2171</v>
      </c>
    </row>
    <row r="2169" spans="1:1" x14ac:dyDescent="0.25">
      <c r="A2169" t="s">
        <v>2172</v>
      </c>
    </row>
    <row r="2170" spans="1:1" x14ac:dyDescent="0.25">
      <c r="A2170" t="s">
        <v>2173</v>
      </c>
    </row>
    <row r="2171" spans="1:1" x14ac:dyDescent="0.25">
      <c r="A2171" t="s">
        <v>2174</v>
      </c>
    </row>
    <row r="2172" spans="1:1" x14ac:dyDescent="0.25">
      <c r="A2172" t="s">
        <v>2175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E21BC-7AF0-49F8-A20F-BE56F90F3FC1}">
  <dimension ref="A1:B5194"/>
  <sheetViews>
    <sheetView workbookViewId="0">
      <selection activeCell="F27" sqref="F27"/>
    </sheetView>
  </sheetViews>
  <sheetFormatPr defaultRowHeight="15" x14ac:dyDescent="0.25"/>
  <cols>
    <col min="1" max="1" width="10.42578125" bestFit="1" customWidth="1"/>
  </cols>
  <sheetData>
    <row r="1" spans="1:2" x14ac:dyDescent="0.25">
      <c r="A1" t="s">
        <v>2</v>
      </c>
      <c r="B1" t="s">
        <v>0</v>
      </c>
    </row>
    <row r="2" spans="1:2" x14ac:dyDescent="0.25">
      <c r="A2" s="1">
        <v>38719</v>
      </c>
      <c r="B2">
        <v>17.98</v>
      </c>
    </row>
    <row r="3" spans="1:2" x14ac:dyDescent="0.25">
      <c r="A3" s="1">
        <v>38720</v>
      </c>
      <c r="B3">
        <v>17.98</v>
      </c>
    </row>
    <row r="4" spans="1:2" x14ac:dyDescent="0.25">
      <c r="A4" s="1">
        <v>38721</v>
      </c>
      <c r="B4">
        <v>17.97</v>
      </c>
    </row>
    <row r="5" spans="1:2" x14ac:dyDescent="0.25">
      <c r="A5" s="1">
        <v>38722</v>
      </c>
      <c r="B5">
        <v>17.96</v>
      </c>
    </row>
    <row r="6" spans="1:2" x14ac:dyDescent="0.25">
      <c r="A6" s="1">
        <v>38723</v>
      </c>
      <c r="B6">
        <v>17.95</v>
      </c>
    </row>
    <row r="7" spans="1:2" x14ac:dyDescent="0.25">
      <c r="A7" s="1">
        <v>38726</v>
      </c>
      <c r="B7">
        <v>17.95</v>
      </c>
    </row>
    <row r="8" spans="1:2" x14ac:dyDescent="0.25">
      <c r="A8" s="1">
        <v>38727</v>
      </c>
      <c r="B8">
        <v>17.95</v>
      </c>
    </row>
    <row r="9" spans="1:2" x14ac:dyDescent="0.25">
      <c r="A9" s="1">
        <v>38728</v>
      </c>
      <c r="B9">
        <v>17.95</v>
      </c>
    </row>
    <row r="10" spans="1:2" x14ac:dyDescent="0.25">
      <c r="A10" s="1">
        <v>38729</v>
      </c>
      <c r="B10">
        <v>17.95</v>
      </c>
    </row>
    <row r="11" spans="1:2" x14ac:dyDescent="0.25">
      <c r="A11" s="1">
        <v>38730</v>
      </c>
      <c r="B11">
        <v>17.95</v>
      </c>
    </row>
    <row r="12" spans="1:2" x14ac:dyDescent="0.25">
      <c r="A12" s="1">
        <v>38733</v>
      </c>
      <c r="B12">
        <v>17.95</v>
      </c>
    </row>
    <row r="13" spans="1:2" x14ac:dyDescent="0.25">
      <c r="A13" s="1">
        <v>38734</v>
      </c>
      <c r="B13">
        <v>17.95</v>
      </c>
    </row>
    <row r="14" spans="1:2" x14ac:dyDescent="0.25">
      <c r="A14" s="1">
        <v>38735</v>
      </c>
      <c r="B14">
        <v>17.95</v>
      </c>
    </row>
    <row r="15" spans="1:2" x14ac:dyDescent="0.25">
      <c r="A15" s="1">
        <v>38736</v>
      </c>
      <c r="B15">
        <v>17.2</v>
      </c>
    </row>
    <row r="16" spans="1:2" x14ac:dyDescent="0.25">
      <c r="A16" s="1">
        <v>38737</v>
      </c>
      <c r="B16">
        <v>17.2</v>
      </c>
    </row>
    <row r="17" spans="1:2" x14ac:dyDescent="0.25">
      <c r="A17" s="1">
        <v>38740</v>
      </c>
      <c r="B17">
        <v>17.2</v>
      </c>
    </row>
    <row r="18" spans="1:2" x14ac:dyDescent="0.25">
      <c r="A18" s="1">
        <v>38741</v>
      </c>
      <c r="B18">
        <v>17.2</v>
      </c>
    </row>
    <row r="19" spans="1:2" x14ac:dyDescent="0.25">
      <c r="A19" s="1">
        <v>38742</v>
      </c>
      <c r="B19">
        <v>17.21</v>
      </c>
    </row>
    <row r="20" spans="1:2" x14ac:dyDescent="0.25">
      <c r="A20" s="1">
        <v>38743</v>
      </c>
      <c r="B20">
        <v>17.22</v>
      </c>
    </row>
    <row r="21" spans="1:2" x14ac:dyDescent="0.25">
      <c r="A21" s="1">
        <v>38744</v>
      </c>
      <c r="B21">
        <v>17.23</v>
      </c>
    </row>
    <row r="22" spans="1:2" x14ac:dyDescent="0.25">
      <c r="A22" s="1">
        <v>38747</v>
      </c>
      <c r="B22">
        <v>17.23</v>
      </c>
    </row>
    <row r="23" spans="1:2" x14ac:dyDescent="0.25">
      <c r="A23" s="1">
        <v>38748</v>
      </c>
      <c r="B23">
        <v>17.23</v>
      </c>
    </row>
    <row r="24" spans="1:2" x14ac:dyDescent="0.25">
      <c r="A24" s="1">
        <v>38749</v>
      </c>
      <c r="B24">
        <v>17.23</v>
      </c>
    </row>
    <row r="25" spans="1:2" x14ac:dyDescent="0.25">
      <c r="A25" s="1">
        <v>38750</v>
      </c>
      <c r="B25">
        <v>17.239999999999998</v>
      </c>
    </row>
    <row r="26" spans="1:2" x14ac:dyDescent="0.25">
      <c r="A26" s="1">
        <v>38751</v>
      </c>
      <c r="B26">
        <v>17.260000000000002</v>
      </c>
    </row>
    <row r="27" spans="1:2" x14ac:dyDescent="0.25">
      <c r="A27" s="1">
        <v>38754</v>
      </c>
      <c r="B27">
        <v>17.27</v>
      </c>
    </row>
    <row r="28" spans="1:2" x14ac:dyDescent="0.25">
      <c r="A28" s="1">
        <v>38755</v>
      </c>
      <c r="B28">
        <v>17.28</v>
      </c>
    </row>
    <row r="29" spans="1:2" x14ac:dyDescent="0.25">
      <c r="A29" s="1">
        <v>38756</v>
      </c>
      <c r="B29">
        <v>17.29</v>
      </c>
    </row>
    <row r="30" spans="1:2" x14ac:dyDescent="0.25">
      <c r="A30" s="1">
        <v>38757</v>
      </c>
      <c r="B30">
        <v>17.29</v>
      </c>
    </row>
    <row r="31" spans="1:2" x14ac:dyDescent="0.25">
      <c r="A31" s="1">
        <v>38758</v>
      </c>
      <c r="B31">
        <v>17.29</v>
      </c>
    </row>
    <row r="32" spans="1:2" x14ac:dyDescent="0.25">
      <c r="A32" s="1">
        <v>38761</v>
      </c>
      <c r="B32">
        <v>17.29</v>
      </c>
    </row>
    <row r="33" spans="1:2" x14ac:dyDescent="0.25">
      <c r="A33" s="1">
        <v>38762</v>
      </c>
      <c r="B33">
        <v>17.29</v>
      </c>
    </row>
    <row r="34" spans="1:2" x14ac:dyDescent="0.25">
      <c r="A34" s="1">
        <v>38763</v>
      </c>
      <c r="B34">
        <v>17.29</v>
      </c>
    </row>
    <row r="35" spans="1:2" x14ac:dyDescent="0.25">
      <c r="A35" s="1">
        <v>38764</v>
      </c>
      <c r="B35">
        <v>17.29</v>
      </c>
    </row>
    <row r="36" spans="1:2" x14ac:dyDescent="0.25">
      <c r="A36" s="1">
        <v>38765</v>
      </c>
      <c r="B36">
        <v>17.29</v>
      </c>
    </row>
    <row r="37" spans="1:2" x14ac:dyDescent="0.25">
      <c r="A37" s="1">
        <v>38768</v>
      </c>
      <c r="B37">
        <v>17.29</v>
      </c>
    </row>
    <row r="38" spans="1:2" x14ac:dyDescent="0.25">
      <c r="A38" s="1">
        <v>38769</v>
      </c>
      <c r="B38">
        <v>17.29</v>
      </c>
    </row>
    <row r="39" spans="1:2" x14ac:dyDescent="0.25">
      <c r="A39" s="1">
        <v>38770</v>
      </c>
      <c r="B39">
        <v>17.29</v>
      </c>
    </row>
    <row r="40" spans="1:2" x14ac:dyDescent="0.25">
      <c r="A40" s="1">
        <v>38771</v>
      </c>
      <c r="B40">
        <v>17.29</v>
      </c>
    </row>
    <row r="41" spans="1:2" x14ac:dyDescent="0.25">
      <c r="A41" s="1">
        <v>38772</v>
      </c>
      <c r="B41">
        <v>17.29</v>
      </c>
    </row>
    <row r="42" spans="1:2" x14ac:dyDescent="0.25">
      <c r="A42" s="1">
        <v>38777</v>
      </c>
      <c r="B42">
        <v>17.29</v>
      </c>
    </row>
    <row r="43" spans="1:2" x14ac:dyDescent="0.25">
      <c r="A43" s="1">
        <v>38778</v>
      </c>
      <c r="B43">
        <v>17.29</v>
      </c>
    </row>
    <row r="44" spans="1:2" x14ac:dyDescent="0.25">
      <c r="A44" s="1">
        <v>38779</v>
      </c>
      <c r="B44">
        <v>17.29</v>
      </c>
    </row>
    <row r="45" spans="1:2" x14ac:dyDescent="0.25">
      <c r="A45" s="1">
        <v>38782</v>
      </c>
      <c r="B45">
        <v>17.29</v>
      </c>
    </row>
    <row r="46" spans="1:2" x14ac:dyDescent="0.25">
      <c r="A46" s="1">
        <v>38783</v>
      </c>
      <c r="B46">
        <v>17.29</v>
      </c>
    </row>
    <row r="47" spans="1:2" x14ac:dyDescent="0.25">
      <c r="A47" s="1">
        <v>38784</v>
      </c>
      <c r="B47">
        <v>17.29</v>
      </c>
    </row>
    <row r="48" spans="1:2" x14ac:dyDescent="0.25">
      <c r="A48" s="1">
        <v>38785</v>
      </c>
      <c r="B48">
        <v>16.54</v>
      </c>
    </row>
    <row r="49" spans="1:2" x14ac:dyDescent="0.25">
      <c r="A49" s="1">
        <v>38786</v>
      </c>
      <c r="B49">
        <v>16.54</v>
      </c>
    </row>
    <row r="50" spans="1:2" x14ac:dyDescent="0.25">
      <c r="A50" s="1">
        <v>38789</v>
      </c>
      <c r="B50">
        <v>16.54</v>
      </c>
    </row>
    <row r="51" spans="1:2" x14ac:dyDescent="0.25">
      <c r="A51" s="1">
        <v>38790</v>
      </c>
      <c r="B51">
        <v>16.54</v>
      </c>
    </row>
    <row r="52" spans="1:2" x14ac:dyDescent="0.25">
      <c r="A52" s="1">
        <v>38791</v>
      </c>
      <c r="B52">
        <v>16.54</v>
      </c>
    </row>
    <row r="53" spans="1:2" x14ac:dyDescent="0.25">
      <c r="A53" s="1">
        <v>38792</v>
      </c>
      <c r="B53">
        <v>16.54</v>
      </c>
    </row>
    <row r="54" spans="1:2" x14ac:dyDescent="0.25">
      <c r="A54" s="1">
        <v>38793</v>
      </c>
      <c r="B54">
        <v>16.54</v>
      </c>
    </row>
    <row r="55" spans="1:2" x14ac:dyDescent="0.25">
      <c r="A55" s="1">
        <v>38796</v>
      </c>
      <c r="B55">
        <v>16.54</v>
      </c>
    </row>
    <row r="56" spans="1:2" x14ac:dyDescent="0.25">
      <c r="A56" s="1">
        <v>38797</v>
      </c>
      <c r="B56">
        <v>16.54</v>
      </c>
    </row>
    <row r="57" spans="1:2" x14ac:dyDescent="0.25">
      <c r="A57" s="1">
        <v>38798</v>
      </c>
      <c r="B57">
        <v>16.54</v>
      </c>
    </row>
    <row r="58" spans="1:2" x14ac:dyDescent="0.25">
      <c r="A58" s="1">
        <v>38799</v>
      </c>
      <c r="B58">
        <v>16.54</v>
      </c>
    </row>
    <row r="59" spans="1:2" x14ac:dyDescent="0.25">
      <c r="A59" s="1">
        <v>38800</v>
      </c>
      <c r="B59">
        <v>16.54</v>
      </c>
    </row>
    <row r="60" spans="1:2" x14ac:dyDescent="0.25">
      <c r="A60" s="1">
        <v>38803</v>
      </c>
      <c r="B60">
        <v>16.54</v>
      </c>
    </row>
    <row r="61" spans="1:2" x14ac:dyDescent="0.25">
      <c r="A61" s="1">
        <v>38804</v>
      </c>
      <c r="B61">
        <v>16.54</v>
      </c>
    </row>
    <row r="62" spans="1:2" x14ac:dyDescent="0.25">
      <c r="A62" s="1">
        <v>38805</v>
      </c>
      <c r="B62">
        <v>16.54</v>
      </c>
    </row>
    <row r="63" spans="1:2" x14ac:dyDescent="0.25">
      <c r="A63" s="1">
        <v>38806</v>
      </c>
      <c r="B63">
        <v>16.54</v>
      </c>
    </row>
    <row r="64" spans="1:2" x14ac:dyDescent="0.25">
      <c r="A64" s="1">
        <v>38807</v>
      </c>
      <c r="B64">
        <v>16.54</v>
      </c>
    </row>
    <row r="65" spans="1:2" x14ac:dyDescent="0.25">
      <c r="A65" s="1">
        <v>38810</v>
      </c>
      <c r="B65">
        <v>16.45</v>
      </c>
    </row>
    <row r="66" spans="1:2" x14ac:dyDescent="0.25">
      <c r="A66" s="1">
        <v>38811</v>
      </c>
      <c r="B66">
        <v>16.45</v>
      </c>
    </row>
    <row r="67" spans="1:2" x14ac:dyDescent="0.25">
      <c r="A67" s="1">
        <v>38812</v>
      </c>
      <c r="B67">
        <v>16.45</v>
      </c>
    </row>
    <row r="68" spans="1:2" x14ac:dyDescent="0.25">
      <c r="A68" s="1">
        <v>38813</v>
      </c>
      <c r="B68">
        <v>16.45</v>
      </c>
    </row>
    <row r="69" spans="1:2" x14ac:dyDescent="0.25">
      <c r="A69" s="1">
        <v>38814</v>
      </c>
      <c r="B69">
        <v>16.45</v>
      </c>
    </row>
    <row r="70" spans="1:2" x14ac:dyDescent="0.25">
      <c r="A70" s="1">
        <v>38817</v>
      </c>
      <c r="B70">
        <v>16.45</v>
      </c>
    </row>
    <row r="71" spans="1:2" x14ac:dyDescent="0.25">
      <c r="A71" s="1">
        <v>38818</v>
      </c>
      <c r="B71">
        <v>16.45</v>
      </c>
    </row>
    <row r="72" spans="1:2" x14ac:dyDescent="0.25">
      <c r="A72" s="1">
        <v>38819</v>
      </c>
      <c r="B72">
        <v>16.45</v>
      </c>
    </row>
    <row r="73" spans="1:2" x14ac:dyDescent="0.25">
      <c r="A73" s="1">
        <v>38820</v>
      </c>
      <c r="B73">
        <v>16.45</v>
      </c>
    </row>
    <row r="74" spans="1:2" x14ac:dyDescent="0.25">
      <c r="A74" s="1">
        <v>38824</v>
      </c>
      <c r="B74">
        <v>16.45</v>
      </c>
    </row>
    <row r="75" spans="1:2" x14ac:dyDescent="0.25">
      <c r="A75" s="1">
        <v>38825</v>
      </c>
      <c r="B75">
        <v>16.45</v>
      </c>
    </row>
    <row r="76" spans="1:2" x14ac:dyDescent="0.25">
      <c r="A76" s="1">
        <v>38826</v>
      </c>
      <c r="B76">
        <v>16.440000000000001</v>
      </c>
    </row>
    <row r="77" spans="1:2" x14ac:dyDescent="0.25">
      <c r="A77" s="1">
        <v>38827</v>
      </c>
      <c r="B77">
        <v>15.69</v>
      </c>
    </row>
    <row r="78" spans="1:2" x14ac:dyDescent="0.25">
      <c r="A78" s="1">
        <v>38831</v>
      </c>
      <c r="B78">
        <v>15.68</v>
      </c>
    </row>
    <row r="79" spans="1:2" x14ac:dyDescent="0.25">
      <c r="A79" s="1">
        <v>38832</v>
      </c>
      <c r="B79">
        <v>15.68</v>
      </c>
    </row>
    <row r="80" spans="1:2" x14ac:dyDescent="0.25">
      <c r="A80" s="1">
        <v>38833</v>
      </c>
      <c r="B80">
        <v>15.68</v>
      </c>
    </row>
    <row r="81" spans="1:2" x14ac:dyDescent="0.25">
      <c r="A81" s="1">
        <v>38834</v>
      </c>
      <c r="B81">
        <v>15.69</v>
      </c>
    </row>
    <row r="82" spans="1:2" x14ac:dyDescent="0.25">
      <c r="A82" s="1">
        <v>38835</v>
      </c>
      <c r="B82">
        <v>15.7</v>
      </c>
    </row>
    <row r="83" spans="1:2" x14ac:dyDescent="0.25">
      <c r="A83" s="1">
        <v>38839</v>
      </c>
      <c r="B83">
        <v>15.7</v>
      </c>
    </row>
    <row r="84" spans="1:2" x14ac:dyDescent="0.25">
      <c r="A84" s="1">
        <v>38840</v>
      </c>
      <c r="B84">
        <v>15.71</v>
      </c>
    </row>
    <row r="85" spans="1:2" x14ac:dyDescent="0.25">
      <c r="A85" s="1">
        <v>38841</v>
      </c>
      <c r="B85">
        <v>15.71</v>
      </c>
    </row>
    <row r="86" spans="1:2" x14ac:dyDescent="0.25">
      <c r="A86" s="1">
        <v>38842</v>
      </c>
      <c r="B86">
        <v>15.77</v>
      </c>
    </row>
    <row r="87" spans="1:2" x14ac:dyDescent="0.25">
      <c r="A87" s="1">
        <v>38845</v>
      </c>
      <c r="B87">
        <v>15.77</v>
      </c>
    </row>
    <row r="88" spans="1:2" x14ac:dyDescent="0.25">
      <c r="A88" s="1">
        <v>38846</v>
      </c>
      <c r="B88">
        <v>15.77</v>
      </c>
    </row>
    <row r="89" spans="1:2" x14ac:dyDescent="0.25">
      <c r="A89" s="1">
        <v>38847</v>
      </c>
      <c r="B89">
        <v>15.71</v>
      </c>
    </row>
    <row r="90" spans="1:2" x14ac:dyDescent="0.25">
      <c r="A90" s="1">
        <v>38848</v>
      </c>
      <c r="B90">
        <v>15.7</v>
      </c>
    </row>
    <row r="91" spans="1:2" x14ac:dyDescent="0.25">
      <c r="A91" s="1">
        <v>38849</v>
      </c>
      <c r="B91">
        <v>15.75</v>
      </c>
    </row>
    <row r="92" spans="1:2" x14ac:dyDescent="0.25">
      <c r="A92" s="1">
        <v>38852</v>
      </c>
      <c r="B92">
        <v>15.74</v>
      </c>
    </row>
    <row r="93" spans="1:2" x14ac:dyDescent="0.25">
      <c r="A93" s="1">
        <v>38853</v>
      </c>
      <c r="B93">
        <v>15.77</v>
      </c>
    </row>
    <row r="94" spans="1:2" x14ac:dyDescent="0.25">
      <c r="A94" s="1">
        <v>38854</v>
      </c>
      <c r="B94">
        <v>15.68</v>
      </c>
    </row>
    <row r="95" spans="1:2" x14ac:dyDescent="0.25">
      <c r="A95" s="1">
        <v>38855</v>
      </c>
      <c r="B95">
        <v>15.68</v>
      </c>
    </row>
    <row r="96" spans="1:2" x14ac:dyDescent="0.25">
      <c r="A96" s="1">
        <v>38856</v>
      </c>
      <c r="B96">
        <v>15.66</v>
      </c>
    </row>
    <row r="97" spans="1:2" x14ac:dyDescent="0.25">
      <c r="A97" s="1">
        <v>38859</v>
      </c>
      <c r="B97">
        <v>15.66</v>
      </c>
    </row>
    <row r="98" spans="1:2" x14ac:dyDescent="0.25">
      <c r="A98" s="1">
        <v>38860</v>
      </c>
      <c r="B98">
        <v>15.67</v>
      </c>
    </row>
    <row r="99" spans="1:2" x14ac:dyDescent="0.25">
      <c r="A99" s="1">
        <v>38861</v>
      </c>
      <c r="B99">
        <v>15.66</v>
      </c>
    </row>
    <row r="100" spans="1:2" x14ac:dyDescent="0.25">
      <c r="A100" s="1">
        <v>38862</v>
      </c>
      <c r="B100">
        <v>15.67</v>
      </c>
    </row>
    <row r="101" spans="1:2" x14ac:dyDescent="0.25">
      <c r="A101" s="1">
        <v>38863</v>
      </c>
      <c r="B101">
        <v>15.66</v>
      </c>
    </row>
    <row r="102" spans="1:2" x14ac:dyDescent="0.25">
      <c r="A102" s="1">
        <v>38866</v>
      </c>
      <c r="B102">
        <v>15.67</v>
      </c>
    </row>
    <row r="103" spans="1:2" x14ac:dyDescent="0.25">
      <c r="A103" s="1">
        <v>38867</v>
      </c>
      <c r="B103">
        <v>15.66</v>
      </c>
    </row>
    <row r="104" spans="1:2" x14ac:dyDescent="0.25">
      <c r="A104" s="1">
        <v>38868</v>
      </c>
      <c r="B104">
        <v>15.66</v>
      </c>
    </row>
    <row r="105" spans="1:2" x14ac:dyDescent="0.25">
      <c r="A105" s="1">
        <v>38869</v>
      </c>
      <c r="B105">
        <v>15.17</v>
      </c>
    </row>
    <row r="106" spans="1:2" x14ac:dyDescent="0.25">
      <c r="A106" s="1">
        <v>38870</v>
      </c>
      <c r="B106">
        <v>15.16</v>
      </c>
    </row>
    <row r="107" spans="1:2" x14ac:dyDescent="0.25">
      <c r="A107" s="1">
        <v>38873</v>
      </c>
      <c r="B107">
        <v>15.17</v>
      </c>
    </row>
    <row r="108" spans="1:2" x14ac:dyDescent="0.25">
      <c r="A108" s="1">
        <v>38874</v>
      </c>
      <c r="B108">
        <v>15.17</v>
      </c>
    </row>
    <row r="109" spans="1:2" x14ac:dyDescent="0.25">
      <c r="A109" s="1">
        <v>38875</v>
      </c>
      <c r="B109">
        <v>15.17</v>
      </c>
    </row>
    <row r="110" spans="1:2" x14ac:dyDescent="0.25">
      <c r="A110" s="1">
        <v>38876</v>
      </c>
      <c r="B110">
        <v>15.17</v>
      </c>
    </row>
    <row r="111" spans="1:2" x14ac:dyDescent="0.25">
      <c r="A111" s="1">
        <v>38877</v>
      </c>
      <c r="B111">
        <v>15.17</v>
      </c>
    </row>
    <row r="112" spans="1:2" x14ac:dyDescent="0.25">
      <c r="A112" s="1">
        <v>38880</v>
      </c>
      <c r="B112">
        <v>15.18</v>
      </c>
    </row>
    <row r="113" spans="1:2" x14ac:dyDescent="0.25">
      <c r="A113" s="1">
        <v>38881</v>
      </c>
      <c r="B113">
        <v>15.19</v>
      </c>
    </row>
    <row r="114" spans="1:2" x14ac:dyDescent="0.25">
      <c r="A114" s="1">
        <v>38882</v>
      </c>
      <c r="B114">
        <v>15.18</v>
      </c>
    </row>
    <row r="115" spans="1:2" x14ac:dyDescent="0.25">
      <c r="A115" s="1">
        <v>38884</v>
      </c>
      <c r="B115">
        <v>15.18</v>
      </c>
    </row>
    <row r="116" spans="1:2" x14ac:dyDescent="0.25">
      <c r="A116" s="1">
        <v>38887</v>
      </c>
      <c r="B116">
        <v>15.18</v>
      </c>
    </row>
    <row r="117" spans="1:2" x14ac:dyDescent="0.25">
      <c r="A117" s="1">
        <v>38888</v>
      </c>
      <c r="B117">
        <v>15.18</v>
      </c>
    </row>
    <row r="118" spans="1:2" x14ac:dyDescent="0.25">
      <c r="A118" s="1">
        <v>38889</v>
      </c>
      <c r="B118">
        <v>15.18</v>
      </c>
    </row>
    <row r="119" spans="1:2" x14ac:dyDescent="0.25">
      <c r="A119" s="1">
        <v>38890</v>
      </c>
      <c r="B119">
        <v>15.18</v>
      </c>
    </row>
    <row r="120" spans="1:2" x14ac:dyDescent="0.25">
      <c r="A120" s="1">
        <v>38891</v>
      </c>
      <c r="B120">
        <v>15.17</v>
      </c>
    </row>
    <row r="121" spans="1:2" x14ac:dyDescent="0.25">
      <c r="A121" s="1">
        <v>38894</v>
      </c>
      <c r="B121">
        <v>15.18</v>
      </c>
    </row>
    <row r="122" spans="1:2" x14ac:dyDescent="0.25">
      <c r="A122" s="1">
        <v>38895</v>
      </c>
      <c r="B122">
        <v>15.18</v>
      </c>
    </row>
    <row r="123" spans="1:2" x14ac:dyDescent="0.25">
      <c r="A123" s="1">
        <v>38896</v>
      </c>
      <c r="B123">
        <v>15.18</v>
      </c>
    </row>
    <row r="124" spans="1:2" x14ac:dyDescent="0.25">
      <c r="A124" s="1">
        <v>38897</v>
      </c>
      <c r="B124">
        <v>15.18</v>
      </c>
    </row>
    <row r="125" spans="1:2" x14ac:dyDescent="0.25">
      <c r="A125" s="1">
        <v>38898</v>
      </c>
      <c r="B125">
        <v>15.18</v>
      </c>
    </row>
    <row r="126" spans="1:2" x14ac:dyDescent="0.25">
      <c r="A126" s="1">
        <v>38901</v>
      </c>
      <c r="B126">
        <v>15.17</v>
      </c>
    </row>
    <row r="127" spans="1:2" x14ac:dyDescent="0.25">
      <c r="A127" s="1">
        <v>38902</v>
      </c>
      <c r="B127">
        <v>15.18</v>
      </c>
    </row>
    <row r="128" spans="1:2" x14ac:dyDescent="0.25">
      <c r="A128" s="1">
        <v>38903</v>
      </c>
      <c r="B128">
        <v>15.18</v>
      </c>
    </row>
    <row r="129" spans="1:2" x14ac:dyDescent="0.25">
      <c r="A129" s="1">
        <v>38904</v>
      </c>
      <c r="B129">
        <v>15.18</v>
      </c>
    </row>
    <row r="130" spans="1:2" x14ac:dyDescent="0.25">
      <c r="A130" s="1">
        <v>38905</v>
      </c>
      <c r="B130">
        <v>15.18</v>
      </c>
    </row>
    <row r="131" spans="1:2" x14ac:dyDescent="0.25">
      <c r="A131" s="1">
        <v>38908</v>
      </c>
      <c r="B131">
        <v>15.18</v>
      </c>
    </row>
    <row r="132" spans="1:2" x14ac:dyDescent="0.25">
      <c r="A132" s="1">
        <v>38909</v>
      </c>
      <c r="B132">
        <v>15.18</v>
      </c>
    </row>
    <row r="133" spans="1:2" x14ac:dyDescent="0.25">
      <c r="A133" s="1">
        <v>38910</v>
      </c>
      <c r="B133">
        <v>15.18</v>
      </c>
    </row>
    <row r="134" spans="1:2" x14ac:dyDescent="0.25">
      <c r="A134" s="1">
        <v>38911</v>
      </c>
      <c r="B134">
        <v>15.18</v>
      </c>
    </row>
    <row r="135" spans="1:2" x14ac:dyDescent="0.25">
      <c r="A135" s="1">
        <v>38912</v>
      </c>
      <c r="B135">
        <v>15.18</v>
      </c>
    </row>
    <row r="136" spans="1:2" x14ac:dyDescent="0.25">
      <c r="A136" s="1">
        <v>38915</v>
      </c>
      <c r="B136">
        <v>15.16</v>
      </c>
    </row>
    <row r="137" spans="1:2" x14ac:dyDescent="0.25">
      <c r="A137" s="1">
        <v>38916</v>
      </c>
      <c r="B137">
        <v>15.19</v>
      </c>
    </row>
    <row r="138" spans="1:2" x14ac:dyDescent="0.25">
      <c r="A138" s="1">
        <v>38917</v>
      </c>
      <c r="B138">
        <v>15.17</v>
      </c>
    </row>
    <row r="139" spans="1:2" x14ac:dyDescent="0.25">
      <c r="A139" s="1">
        <v>38918</v>
      </c>
      <c r="B139">
        <v>14.66</v>
      </c>
    </row>
    <row r="140" spans="1:2" x14ac:dyDescent="0.25">
      <c r="A140" s="1">
        <v>38919</v>
      </c>
      <c r="B140">
        <v>14.65</v>
      </c>
    </row>
    <row r="141" spans="1:2" x14ac:dyDescent="0.25">
      <c r="A141" s="1">
        <v>38922</v>
      </c>
      <c r="B141">
        <v>14.66</v>
      </c>
    </row>
    <row r="142" spans="1:2" x14ac:dyDescent="0.25">
      <c r="A142" s="1">
        <v>38923</v>
      </c>
      <c r="B142">
        <v>14.66</v>
      </c>
    </row>
    <row r="143" spans="1:2" x14ac:dyDescent="0.25">
      <c r="A143" s="1">
        <v>38924</v>
      </c>
      <c r="B143">
        <v>14.66</v>
      </c>
    </row>
    <row r="144" spans="1:2" x14ac:dyDescent="0.25">
      <c r="A144" s="1">
        <v>38925</v>
      </c>
      <c r="B144">
        <v>14.66</v>
      </c>
    </row>
    <row r="145" spans="1:2" x14ac:dyDescent="0.25">
      <c r="A145" s="1">
        <v>38926</v>
      </c>
      <c r="B145">
        <v>14.65</v>
      </c>
    </row>
    <row r="146" spans="1:2" x14ac:dyDescent="0.25">
      <c r="A146" s="1">
        <v>38929</v>
      </c>
      <c r="B146">
        <v>14.66</v>
      </c>
    </row>
    <row r="147" spans="1:2" x14ac:dyDescent="0.25">
      <c r="A147" s="1">
        <v>38930</v>
      </c>
      <c r="B147">
        <v>14.66</v>
      </c>
    </row>
    <row r="148" spans="1:2" x14ac:dyDescent="0.25">
      <c r="A148" s="1">
        <v>38931</v>
      </c>
      <c r="B148">
        <v>14.66</v>
      </c>
    </row>
    <row r="149" spans="1:2" x14ac:dyDescent="0.25">
      <c r="A149" s="1">
        <v>38932</v>
      </c>
      <c r="B149">
        <v>14.67</v>
      </c>
    </row>
    <row r="150" spans="1:2" x14ac:dyDescent="0.25">
      <c r="A150" s="1">
        <v>38933</v>
      </c>
      <c r="B150">
        <v>14.66</v>
      </c>
    </row>
    <row r="151" spans="1:2" x14ac:dyDescent="0.25">
      <c r="A151" s="1">
        <v>38936</v>
      </c>
      <c r="B151">
        <v>14.66</v>
      </c>
    </row>
    <row r="152" spans="1:2" x14ac:dyDescent="0.25">
      <c r="A152" s="1">
        <v>38937</v>
      </c>
      <c r="B152">
        <v>14.66</v>
      </c>
    </row>
    <row r="153" spans="1:2" x14ac:dyDescent="0.25">
      <c r="A153" s="1">
        <v>38938</v>
      </c>
      <c r="B153">
        <v>14.66</v>
      </c>
    </row>
    <row r="154" spans="1:2" x14ac:dyDescent="0.25">
      <c r="A154" s="1">
        <v>38939</v>
      </c>
      <c r="B154">
        <v>14.66</v>
      </c>
    </row>
    <row r="155" spans="1:2" x14ac:dyDescent="0.25">
      <c r="A155" s="1">
        <v>38940</v>
      </c>
      <c r="B155">
        <v>14.67</v>
      </c>
    </row>
    <row r="156" spans="1:2" x14ac:dyDescent="0.25">
      <c r="A156" s="1">
        <v>38943</v>
      </c>
      <c r="B156">
        <v>14.69</v>
      </c>
    </row>
    <row r="157" spans="1:2" x14ac:dyDescent="0.25">
      <c r="A157" s="1">
        <v>38944</v>
      </c>
      <c r="B157">
        <v>14.7</v>
      </c>
    </row>
    <row r="158" spans="1:2" x14ac:dyDescent="0.25">
      <c r="A158" s="1">
        <v>38945</v>
      </c>
      <c r="B158">
        <v>14.69</v>
      </c>
    </row>
    <row r="159" spans="1:2" x14ac:dyDescent="0.25">
      <c r="A159" s="1">
        <v>38946</v>
      </c>
      <c r="B159">
        <v>14.69</v>
      </c>
    </row>
    <row r="160" spans="1:2" x14ac:dyDescent="0.25">
      <c r="A160" s="1">
        <v>38947</v>
      </c>
      <c r="B160">
        <v>14.74</v>
      </c>
    </row>
    <row r="161" spans="1:2" x14ac:dyDescent="0.25">
      <c r="A161" s="1">
        <v>38950</v>
      </c>
      <c r="B161">
        <v>14.7</v>
      </c>
    </row>
    <row r="162" spans="1:2" x14ac:dyDescent="0.25">
      <c r="A162" s="1">
        <v>38951</v>
      </c>
      <c r="B162">
        <v>14.69</v>
      </c>
    </row>
    <row r="163" spans="1:2" x14ac:dyDescent="0.25">
      <c r="A163" s="1">
        <v>38952</v>
      </c>
      <c r="B163">
        <v>14.68</v>
      </c>
    </row>
    <row r="164" spans="1:2" x14ac:dyDescent="0.25">
      <c r="A164" s="1">
        <v>38953</v>
      </c>
      <c r="B164">
        <v>14.69</v>
      </c>
    </row>
    <row r="165" spans="1:2" x14ac:dyDescent="0.25">
      <c r="A165" s="1">
        <v>38954</v>
      </c>
      <c r="B165">
        <v>14.68</v>
      </c>
    </row>
    <row r="166" spans="1:2" x14ac:dyDescent="0.25">
      <c r="A166" s="1">
        <v>38957</v>
      </c>
      <c r="B166">
        <v>14.69</v>
      </c>
    </row>
    <row r="167" spans="1:2" x14ac:dyDescent="0.25">
      <c r="A167" s="1">
        <v>38958</v>
      </c>
      <c r="B167">
        <v>14.69</v>
      </c>
    </row>
    <row r="168" spans="1:2" x14ac:dyDescent="0.25">
      <c r="A168" s="1">
        <v>38959</v>
      </c>
      <c r="B168">
        <v>14.67</v>
      </c>
    </row>
    <row r="169" spans="1:2" x14ac:dyDescent="0.25">
      <c r="A169" s="1">
        <v>38960</v>
      </c>
      <c r="B169">
        <v>14.18</v>
      </c>
    </row>
    <row r="170" spans="1:2" x14ac:dyDescent="0.25">
      <c r="A170" s="1">
        <v>38961</v>
      </c>
      <c r="B170">
        <v>14.17</v>
      </c>
    </row>
    <row r="171" spans="1:2" x14ac:dyDescent="0.25">
      <c r="A171" s="1">
        <v>38964</v>
      </c>
      <c r="B171">
        <v>14.17</v>
      </c>
    </row>
    <row r="172" spans="1:2" x14ac:dyDescent="0.25">
      <c r="A172" s="1">
        <v>38965</v>
      </c>
      <c r="B172">
        <v>14.18</v>
      </c>
    </row>
    <row r="173" spans="1:2" x14ac:dyDescent="0.25">
      <c r="A173" s="1">
        <v>38966</v>
      </c>
      <c r="B173">
        <v>14.17</v>
      </c>
    </row>
    <row r="174" spans="1:2" x14ac:dyDescent="0.25">
      <c r="A174" s="1">
        <v>38968</v>
      </c>
      <c r="B174">
        <v>14.17</v>
      </c>
    </row>
    <row r="175" spans="1:2" x14ac:dyDescent="0.25">
      <c r="A175" s="1">
        <v>38971</v>
      </c>
      <c r="B175">
        <v>14.17</v>
      </c>
    </row>
    <row r="176" spans="1:2" x14ac:dyDescent="0.25">
      <c r="A176" s="1">
        <v>38972</v>
      </c>
      <c r="B176">
        <v>14.17</v>
      </c>
    </row>
    <row r="177" spans="1:2" x14ac:dyDescent="0.25">
      <c r="A177" s="1">
        <v>38973</v>
      </c>
      <c r="B177">
        <v>14.17</v>
      </c>
    </row>
    <row r="178" spans="1:2" x14ac:dyDescent="0.25">
      <c r="A178" s="1">
        <v>38974</v>
      </c>
      <c r="B178">
        <v>14.17</v>
      </c>
    </row>
    <row r="179" spans="1:2" x14ac:dyDescent="0.25">
      <c r="A179" s="1">
        <v>38975</v>
      </c>
      <c r="B179">
        <v>14.17</v>
      </c>
    </row>
    <row r="180" spans="1:2" x14ac:dyDescent="0.25">
      <c r="A180" s="1">
        <v>38978</v>
      </c>
      <c r="B180">
        <v>14.16</v>
      </c>
    </row>
    <row r="181" spans="1:2" x14ac:dyDescent="0.25">
      <c r="A181" s="1">
        <v>38979</v>
      </c>
      <c r="B181">
        <v>14.17</v>
      </c>
    </row>
    <row r="182" spans="1:2" x14ac:dyDescent="0.25">
      <c r="A182" s="1">
        <v>38980</v>
      </c>
      <c r="B182">
        <v>14.17</v>
      </c>
    </row>
    <row r="183" spans="1:2" x14ac:dyDescent="0.25">
      <c r="A183" s="1">
        <v>38981</v>
      </c>
      <c r="B183">
        <v>14.18</v>
      </c>
    </row>
    <row r="184" spans="1:2" x14ac:dyDescent="0.25">
      <c r="A184" s="1">
        <v>38982</v>
      </c>
      <c r="B184">
        <v>14.17</v>
      </c>
    </row>
    <row r="185" spans="1:2" x14ac:dyDescent="0.25">
      <c r="A185" s="1">
        <v>38985</v>
      </c>
      <c r="B185">
        <v>14.17</v>
      </c>
    </row>
    <row r="186" spans="1:2" x14ac:dyDescent="0.25">
      <c r="A186" s="1">
        <v>38986</v>
      </c>
      <c r="B186">
        <v>14.17</v>
      </c>
    </row>
    <row r="187" spans="1:2" x14ac:dyDescent="0.25">
      <c r="A187" s="1">
        <v>38987</v>
      </c>
      <c r="B187">
        <v>14.17</v>
      </c>
    </row>
    <row r="188" spans="1:2" x14ac:dyDescent="0.25">
      <c r="A188" s="1">
        <v>38988</v>
      </c>
      <c r="B188">
        <v>14.17</v>
      </c>
    </row>
    <row r="189" spans="1:2" x14ac:dyDescent="0.25">
      <c r="A189" s="1">
        <v>38989</v>
      </c>
      <c r="B189">
        <v>14.17</v>
      </c>
    </row>
    <row r="190" spans="1:2" x14ac:dyDescent="0.25">
      <c r="A190" s="1">
        <v>38992</v>
      </c>
      <c r="B190">
        <v>14.16</v>
      </c>
    </row>
    <row r="191" spans="1:2" x14ac:dyDescent="0.25">
      <c r="A191" s="1">
        <v>38993</v>
      </c>
      <c r="B191">
        <v>14.16</v>
      </c>
    </row>
    <row r="192" spans="1:2" x14ac:dyDescent="0.25">
      <c r="A192" s="1">
        <v>38994</v>
      </c>
      <c r="B192">
        <v>14.16</v>
      </c>
    </row>
    <row r="193" spans="1:2" x14ac:dyDescent="0.25">
      <c r="A193" s="1">
        <v>38995</v>
      </c>
      <c r="B193">
        <v>14.16</v>
      </c>
    </row>
    <row r="194" spans="1:2" x14ac:dyDescent="0.25">
      <c r="A194" s="1">
        <v>38996</v>
      </c>
      <c r="B194">
        <v>14.17</v>
      </c>
    </row>
    <row r="195" spans="1:2" x14ac:dyDescent="0.25">
      <c r="A195" s="1">
        <v>38999</v>
      </c>
      <c r="B195">
        <v>14.16</v>
      </c>
    </row>
    <row r="196" spans="1:2" x14ac:dyDescent="0.25">
      <c r="A196" s="1">
        <v>39000</v>
      </c>
      <c r="B196">
        <v>14.16</v>
      </c>
    </row>
    <row r="197" spans="1:2" x14ac:dyDescent="0.25">
      <c r="A197" s="1">
        <v>39001</v>
      </c>
      <c r="B197">
        <v>14.16</v>
      </c>
    </row>
    <row r="198" spans="1:2" x14ac:dyDescent="0.25">
      <c r="A198" s="1">
        <v>39003</v>
      </c>
      <c r="B198">
        <v>14.16</v>
      </c>
    </row>
    <row r="199" spans="1:2" x14ac:dyDescent="0.25">
      <c r="A199" s="1">
        <v>39006</v>
      </c>
      <c r="B199">
        <v>14.16</v>
      </c>
    </row>
    <row r="200" spans="1:2" x14ac:dyDescent="0.25">
      <c r="A200" s="1">
        <v>39007</v>
      </c>
      <c r="B200">
        <v>14.16</v>
      </c>
    </row>
    <row r="201" spans="1:2" x14ac:dyDescent="0.25">
      <c r="A201" s="1">
        <v>39008</v>
      </c>
      <c r="B201">
        <v>14.16</v>
      </c>
    </row>
    <row r="202" spans="1:2" x14ac:dyDescent="0.25">
      <c r="A202" s="1">
        <v>39009</v>
      </c>
      <c r="B202">
        <v>13.67</v>
      </c>
    </row>
    <row r="203" spans="1:2" x14ac:dyDescent="0.25">
      <c r="A203" s="1">
        <v>39010</v>
      </c>
      <c r="B203">
        <v>13.65</v>
      </c>
    </row>
    <row r="204" spans="1:2" x14ac:dyDescent="0.25">
      <c r="A204" s="1">
        <v>39013</v>
      </c>
      <c r="B204">
        <v>13.66</v>
      </c>
    </row>
    <row r="205" spans="1:2" x14ac:dyDescent="0.25">
      <c r="A205" s="1">
        <v>39014</v>
      </c>
      <c r="B205">
        <v>13.67</v>
      </c>
    </row>
    <row r="206" spans="1:2" x14ac:dyDescent="0.25">
      <c r="A206" s="1">
        <v>39015</v>
      </c>
      <c r="B206">
        <v>13.68</v>
      </c>
    </row>
    <row r="207" spans="1:2" x14ac:dyDescent="0.25">
      <c r="A207" s="1">
        <v>39016</v>
      </c>
      <c r="B207">
        <v>13.68</v>
      </c>
    </row>
    <row r="208" spans="1:2" x14ac:dyDescent="0.25">
      <c r="A208" s="1">
        <v>39017</v>
      </c>
      <c r="B208">
        <v>13.67</v>
      </c>
    </row>
    <row r="209" spans="1:2" x14ac:dyDescent="0.25">
      <c r="A209" s="1">
        <v>39020</v>
      </c>
      <c r="B209">
        <v>13.68</v>
      </c>
    </row>
    <row r="210" spans="1:2" x14ac:dyDescent="0.25">
      <c r="A210" s="1">
        <v>39021</v>
      </c>
      <c r="B210">
        <v>13.68</v>
      </c>
    </row>
    <row r="211" spans="1:2" x14ac:dyDescent="0.25">
      <c r="A211" s="1">
        <v>39022</v>
      </c>
      <c r="B211">
        <v>13.68</v>
      </c>
    </row>
    <row r="212" spans="1:2" x14ac:dyDescent="0.25">
      <c r="A212" s="1">
        <v>39024</v>
      </c>
      <c r="B212">
        <v>13.67</v>
      </c>
    </row>
    <row r="213" spans="1:2" x14ac:dyDescent="0.25">
      <c r="A213" s="1">
        <v>39027</v>
      </c>
      <c r="B213">
        <v>13.69</v>
      </c>
    </row>
    <row r="214" spans="1:2" x14ac:dyDescent="0.25">
      <c r="A214" s="1">
        <v>39028</v>
      </c>
      <c r="B214">
        <v>13.69</v>
      </c>
    </row>
    <row r="215" spans="1:2" x14ac:dyDescent="0.25">
      <c r="A215" s="1">
        <v>39029</v>
      </c>
      <c r="B215">
        <v>13.69</v>
      </c>
    </row>
    <row r="216" spans="1:2" x14ac:dyDescent="0.25">
      <c r="A216" s="1">
        <v>39030</v>
      </c>
      <c r="B216">
        <v>13.68</v>
      </c>
    </row>
    <row r="217" spans="1:2" x14ac:dyDescent="0.25">
      <c r="A217" s="1">
        <v>39031</v>
      </c>
      <c r="B217">
        <v>13.66</v>
      </c>
    </row>
    <row r="218" spans="1:2" x14ac:dyDescent="0.25">
      <c r="A218" s="1">
        <v>39034</v>
      </c>
      <c r="B218">
        <v>13.68</v>
      </c>
    </row>
    <row r="219" spans="1:2" x14ac:dyDescent="0.25">
      <c r="A219" s="1">
        <v>39035</v>
      </c>
      <c r="B219">
        <v>13.67</v>
      </c>
    </row>
    <row r="220" spans="1:2" x14ac:dyDescent="0.25">
      <c r="A220" s="1">
        <v>39037</v>
      </c>
      <c r="B220">
        <v>13.66</v>
      </c>
    </row>
    <row r="221" spans="1:2" x14ac:dyDescent="0.25">
      <c r="A221" s="1">
        <v>39038</v>
      </c>
      <c r="B221">
        <v>13.66</v>
      </c>
    </row>
    <row r="222" spans="1:2" x14ac:dyDescent="0.25">
      <c r="A222" s="1">
        <v>39041</v>
      </c>
      <c r="B222">
        <v>13.68</v>
      </c>
    </row>
    <row r="223" spans="1:2" x14ac:dyDescent="0.25">
      <c r="A223" s="1">
        <v>39042</v>
      </c>
      <c r="B223">
        <v>13.68</v>
      </c>
    </row>
    <row r="224" spans="1:2" x14ac:dyDescent="0.25">
      <c r="A224" s="1">
        <v>39043</v>
      </c>
      <c r="B224">
        <v>13.66</v>
      </c>
    </row>
    <row r="225" spans="1:2" x14ac:dyDescent="0.25">
      <c r="A225" s="1">
        <v>39044</v>
      </c>
      <c r="B225">
        <v>13.67</v>
      </c>
    </row>
    <row r="226" spans="1:2" x14ac:dyDescent="0.25">
      <c r="A226" s="1">
        <v>39045</v>
      </c>
      <c r="B226">
        <v>13.66</v>
      </c>
    </row>
    <row r="227" spans="1:2" x14ac:dyDescent="0.25">
      <c r="A227" s="1">
        <v>39048</v>
      </c>
      <c r="B227">
        <v>13.66</v>
      </c>
    </row>
    <row r="228" spans="1:2" x14ac:dyDescent="0.25">
      <c r="A228" s="1">
        <v>39049</v>
      </c>
      <c r="B228">
        <v>13.68</v>
      </c>
    </row>
    <row r="229" spans="1:2" x14ac:dyDescent="0.25">
      <c r="A229" s="1">
        <v>39050</v>
      </c>
      <c r="B229">
        <v>13.68</v>
      </c>
    </row>
    <row r="230" spans="1:2" x14ac:dyDescent="0.25">
      <c r="A230" s="1">
        <v>39051</v>
      </c>
      <c r="B230">
        <v>13.18</v>
      </c>
    </row>
    <row r="231" spans="1:2" x14ac:dyDescent="0.25">
      <c r="A231" s="1">
        <v>39052</v>
      </c>
      <c r="B231">
        <v>13.18</v>
      </c>
    </row>
    <row r="232" spans="1:2" x14ac:dyDescent="0.25">
      <c r="A232" s="1">
        <v>39055</v>
      </c>
      <c r="B232">
        <v>13.18</v>
      </c>
    </row>
    <row r="233" spans="1:2" x14ac:dyDescent="0.25">
      <c r="A233" s="1">
        <v>39056</v>
      </c>
      <c r="B233">
        <v>13.19</v>
      </c>
    </row>
    <row r="234" spans="1:2" x14ac:dyDescent="0.25">
      <c r="A234" s="1">
        <v>39057</v>
      </c>
      <c r="B234">
        <v>13.18</v>
      </c>
    </row>
    <row r="235" spans="1:2" x14ac:dyDescent="0.25">
      <c r="A235" s="1">
        <v>39058</v>
      </c>
      <c r="B235">
        <v>13.18</v>
      </c>
    </row>
    <row r="236" spans="1:2" x14ac:dyDescent="0.25">
      <c r="A236" s="1">
        <v>39059</v>
      </c>
      <c r="B236">
        <v>13.18</v>
      </c>
    </row>
    <row r="237" spans="1:2" x14ac:dyDescent="0.25">
      <c r="A237" s="1">
        <v>39062</v>
      </c>
      <c r="B237">
        <v>13.19</v>
      </c>
    </row>
    <row r="238" spans="1:2" x14ac:dyDescent="0.25">
      <c r="A238" s="1">
        <v>39063</v>
      </c>
      <c r="B238">
        <v>13.18</v>
      </c>
    </row>
    <row r="239" spans="1:2" x14ac:dyDescent="0.25">
      <c r="A239" s="1">
        <v>39064</v>
      </c>
      <c r="B239">
        <v>13.19</v>
      </c>
    </row>
    <row r="240" spans="1:2" x14ac:dyDescent="0.25">
      <c r="A240" s="1">
        <v>39065</v>
      </c>
      <c r="B240">
        <v>13.19</v>
      </c>
    </row>
    <row r="241" spans="1:2" x14ac:dyDescent="0.25">
      <c r="A241" s="1">
        <v>39066</v>
      </c>
      <c r="B241">
        <v>13.18</v>
      </c>
    </row>
    <row r="242" spans="1:2" x14ac:dyDescent="0.25">
      <c r="A242" s="1">
        <v>39069</v>
      </c>
      <c r="B242">
        <v>13.19</v>
      </c>
    </row>
    <row r="243" spans="1:2" x14ac:dyDescent="0.25">
      <c r="A243" s="1">
        <v>39070</v>
      </c>
      <c r="B243">
        <v>13.19</v>
      </c>
    </row>
    <row r="244" spans="1:2" x14ac:dyDescent="0.25">
      <c r="A244" s="1">
        <v>39071</v>
      </c>
      <c r="B244">
        <v>13.19</v>
      </c>
    </row>
    <row r="245" spans="1:2" x14ac:dyDescent="0.25">
      <c r="A245" s="1">
        <v>39072</v>
      </c>
      <c r="B245">
        <v>13.19</v>
      </c>
    </row>
    <row r="246" spans="1:2" x14ac:dyDescent="0.25">
      <c r="A246" s="1">
        <v>39073</v>
      </c>
      <c r="B246">
        <v>13.19</v>
      </c>
    </row>
    <row r="247" spans="1:2" x14ac:dyDescent="0.25">
      <c r="A247" s="1">
        <v>39077</v>
      </c>
      <c r="B247">
        <v>13.19</v>
      </c>
    </row>
    <row r="248" spans="1:2" x14ac:dyDescent="0.25">
      <c r="A248" s="1">
        <v>39078</v>
      </c>
      <c r="B248">
        <v>13.18</v>
      </c>
    </row>
    <row r="249" spans="1:2" x14ac:dyDescent="0.25">
      <c r="A249" s="1">
        <v>39079</v>
      </c>
      <c r="B249">
        <v>13.19</v>
      </c>
    </row>
    <row r="250" spans="1:2" x14ac:dyDescent="0.25">
      <c r="A250" s="1">
        <v>39080</v>
      </c>
      <c r="B250">
        <v>13.19</v>
      </c>
    </row>
    <row r="251" spans="1:2" x14ac:dyDescent="0.25">
      <c r="A251" s="1">
        <v>39084</v>
      </c>
      <c r="B251">
        <v>13.19</v>
      </c>
    </row>
    <row r="252" spans="1:2" x14ac:dyDescent="0.25">
      <c r="A252" s="1">
        <v>39085</v>
      </c>
      <c r="B252">
        <v>13.18</v>
      </c>
    </row>
    <row r="253" spans="1:2" x14ac:dyDescent="0.25">
      <c r="A253" s="1">
        <v>39086</v>
      </c>
      <c r="B253">
        <v>13.19</v>
      </c>
    </row>
    <row r="254" spans="1:2" x14ac:dyDescent="0.25">
      <c r="A254" s="1">
        <v>39087</v>
      </c>
      <c r="B254">
        <v>13.19</v>
      </c>
    </row>
    <row r="255" spans="1:2" x14ac:dyDescent="0.25">
      <c r="A255" s="1">
        <v>39090</v>
      </c>
      <c r="B255">
        <v>13.19</v>
      </c>
    </row>
    <row r="256" spans="1:2" x14ac:dyDescent="0.25">
      <c r="A256" s="1">
        <v>39091</v>
      </c>
      <c r="B256">
        <v>13.19</v>
      </c>
    </row>
    <row r="257" spans="1:2" x14ac:dyDescent="0.25">
      <c r="A257" s="1">
        <v>39092</v>
      </c>
      <c r="B257">
        <v>13.19</v>
      </c>
    </row>
    <row r="258" spans="1:2" x14ac:dyDescent="0.25">
      <c r="A258" s="1">
        <v>39093</v>
      </c>
      <c r="B258">
        <v>13.19</v>
      </c>
    </row>
    <row r="259" spans="1:2" x14ac:dyDescent="0.25">
      <c r="A259" s="1">
        <v>39094</v>
      </c>
      <c r="B259">
        <v>13.18</v>
      </c>
    </row>
    <row r="260" spans="1:2" x14ac:dyDescent="0.25">
      <c r="A260" s="1">
        <v>39097</v>
      </c>
      <c r="B260">
        <v>13.19</v>
      </c>
    </row>
    <row r="261" spans="1:2" x14ac:dyDescent="0.25">
      <c r="A261" s="1">
        <v>39098</v>
      </c>
      <c r="B261">
        <v>13.19</v>
      </c>
    </row>
    <row r="262" spans="1:2" x14ac:dyDescent="0.25">
      <c r="A262" s="1">
        <v>39099</v>
      </c>
      <c r="B262">
        <v>13.19</v>
      </c>
    </row>
    <row r="263" spans="1:2" x14ac:dyDescent="0.25">
      <c r="A263" s="1">
        <v>39100</v>
      </c>
      <c r="B263">
        <v>13.19</v>
      </c>
    </row>
    <row r="264" spans="1:2" x14ac:dyDescent="0.25">
      <c r="A264" s="1">
        <v>39101</v>
      </c>
      <c r="B264">
        <v>13.19</v>
      </c>
    </row>
    <row r="265" spans="1:2" x14ac:dyDescent="0.25">
      <c r="A265" s="1">
        <v>39104</v>
      </c>
      <c r="B265">
        <v>13.19</v>
      </c>
    </row>
    <row r="266" spans="1:2" x14ac:dyDescent="0.25">
      <c r="A266" s="1">
        <v>39105</v>
      </c>
      <c r="B266">
        <v>13.19</v>
      </c>
    </row>
    <row r="267" spans="1:2" x14ac:dyDescent="0.25">
      <c r="A267" s="1">
        <v>39106</v>
      </c>
      <c r="B267">
        <v>13.18</v>
      </c>
    </row>
    <row r="268" spans="1:2" x14ac:dyDescent="0.25">
      <c r="A268" s="1">
        <v>39107</v>
      </c>
      <c r="B268">
        <v>12.94</v>
      </c>
    </row>
    <row r="269" spans="1:2" x14ac:dyDescent="0.25">
      <c r="A269" s="1">
        <v>39108</v>
      </c>
      <c r="B269">
        <v>12.92</v>
      </c>
    </row>
    <row r="270" spans="1:2" x14ac:dyDescent="0.25">
      <c r="A270" s="1">
        <v>39111</v>
      </c>
      <c r="B270">
        <v>12.93</v>
      </c>
    </row>
    <row r="271" spans="1:2" x14ac:dyDescent="0.25">
      <c r="A271" s="1">
        <v>39112</v>
      </c>
      <c r="B271">
        <v>12.93</v>
      </c>
    </row>
    <row r="272" spans="1:2" x14ac:dyDescent="0.25">
      <c r="A272" s="1">
        <v>39113</v>
      </c>
      <c r="B272">
        <v>12.93</v>
      </c>
    </row>
    <row r="273" spans="1:2" x14ac:dyDescent="0.25">
      <c r="A273" s="1">
        <v>39114</v>
      </c>
      <c r="B273">
        <v>12.93</v>
      </c>
    </row>
    <row r="274" spans="1:2" x14ac:dyDescent="0.25">
      <c r="A274" s="1">
        <v>39115</v>
      </c>
      <c r="B274">
        <v>12.93</v>
      </c>
    </row>
    <row r="275" spans="1:2" x14ac:dyDescent="0.25">
      <c r="A275" s="1">
        <v>39118</v>
      </c>
      <c r="B275">
        <v>12.93</v>
      </c>
    </row>
    <row r="276" spans="1:2" x14ac:dyDescent="0.25">
      <c r="A276" s="1">
        <v>39119</v>
      </c>
      <c r="B276">
        <v>12.93</v>
      </c>
    </row>
    <row r="277" spans="1:2" x14ac:dyDescent="0.25">
      <c r="A277" s="1">
        <v>39120</v>
      </c>
      <c r="B277">
        <v>12.93</v>
      </c>
    </row>
    <row r="278" spans="1:2" x14ac:dyDescent="0.25">
      <c r="A278" s="1">
        <v>39121</v>
      </c>
      <c r="B278">
        <v>12.93</v>
      </c>
    </row>
    <row r="279" spans="1:2" x14ac:dyDescent="0.25">
      <c r="A279" s="1">
        <v>39122</v>
      </c>
      <c r="B279">
        <v>12.93</v>
      </c>
    </row>
    <row r="280" spans="1:2" x14ac:dyDescent="0.25">
      <c r="A280" s="1">
        <v>39125</v>
      </c>
      <c r="B280">
        <v>12.93</v>
      </c>
    </row>
    <row r="281" spans="1:2" x14ac:dyDescent="0.25">
      <c r="A281" s="1">
        <v>39126</v>
      </c>
      <c r="B281">
        <v>12.93</v>
      </c>
    </row>
    <row r="282" spans="1:2" x14ac:dyDescent="0.25">
      <c r="A282" s="1">
        <v>39127</v>
      </c>
      <c r="B282">
        <v>12.93</v>
      </c>
    </row>
    <row r="283" spans="1:2" x14ac:dyDescent="0.25">
      <c r="A283" s="1">
        <v>39128</v>
      </c>
      <c r="B283">
        <v>12.93</v>
      </c>
    </row>
    <row r="284" spans="1:2" x14ac:dyDescent="0.25">
      <c r="A284" s="1">
        <v>39129</v>
      </c>
      <c r="B284">
        <v>12.94</v>
      </c>
    </row>
    <row r="285" spans="1:2" x14ac:dyDescent="0.25">
      <c r="A285" s="1">
        <v>39134</v>
      </c>
      <c r="B285">
        <v>12.94</v>
      </c>
    </row>
    <row r="286" spans="1:2" x14ac:dyDescent="0.25">
      <c r="A286" s="1">
        <v>39135</v>
      </c>
      <c r="B286">
        <v>12.94</v>
      </c>
    </row>
    <row r="287" spans="1:2" x14ac:dyDescent="0.25">
      <c r="A287" s="1">
        <v>39136</v>
      </c>
      <c r="B287">
        <v>12.94</v>
      </c>
    </row>
    <row r="288" spans="1:2" x14ac:dyDescent="0.25">
      <c r="A288" s="1">
        <v>39139</v>
      </c>
      <c r="B288">
        <v>12.93</v>
      </c>
    </row>
    <row r="289" spans="1:2" x14ac:dyDescent="0.25">
      <c r="A289" s="1">
        <v>39140</v>
      </c>
      <c r="B289">
        <v>12.93</v>
      </c>
    </row>
    <row r="290" spans="1:2" x14ac:dyDescent="0.25">
      <c r="A290" s="1">
        <v>39141</v>
      </c>
      <c r="B290">
        <v>12.93</v>
      </c>
    </row>
    <row r="291" spans="1:2" x14ac:dyDescent="0.25">
      <c r="A291" s="1">
        <v>39142</v>
      </c>
      <c r="B291">
        <v>12.93</v>
      </c>
    </row>
    <row r="292" spans="1:2" x14ac:dyDescent="0.25">
      <c r="A292" s="1">
        <v>39143</v>
      </c>
      <c r="B292">
        <v>12.93</v>
      </c>
    </row>
    <row r="293" spans="1:2" x14ac:dyDescent="0.25">
      <c r="A293" s="1">
        <v>39146</v>
      </c>
      <c r="B293">
        <v>12.93</v>
      </c>
    </row>
    <row r="294" spans="1:2" x14ac:dyDescent="0.25">
      <c r="A294" s="1">
        <v>39147</v>
      </c>
      <c r="B294">
        <v>12.93</v>
      </c>
    </row>
    <row r="295" spans="1:2" x14ac:dyDescent="0.25">
      <c r="A295" s="1">
        <v>39148</v>
      </c>
      <c r="B295">
        <v>12.93</v>
      </c>
    </row>
    <row r="296" spans="1:2" x14ac:dyDescent="0.25">
      <c r="A296" s="1">
        <v>39149</v>
      </c>
      <c r="B296">
        <v>12.69</v>
      </c>
    </row>
    <row r="297" spans="1:2" x14ac:dyDescent="0.25">
      <c r="A297" s="1">
        <v>39150</v>
      </c>
      <c r="B297">
        <v>12.69</v>
      </c>
    </row>
    <row r="298" spans="1:2" x14ac:dyDescent="0.25">
      <c r="A298" s="1">
        <v>39153</v>
      </c>
      <c r="B298">
        <v>12.69</v>
      </c>
    </row>
    <row r="299" spans="1:2" x14ac:dyDescent="0.25">
      <c r="A299" s="1">
        <v>39154</v>
      </c>
      <c r="B299">
        <v>12.68</v>
      </c>
    </row>
    <row r="300" spans="1:2" x14ac:dyDescent="0.25">
      <c r="A300" s="1">
        <v>39155</v>
      </c>
      <c r="B300">
        <v>12.68</v>
      </c>
    </row>
    <row r="301" spans="1:2" x14ac:dyDescent="0.25">
      <c r="A301" s="1">
        <v>39156</v>
      </c>
      <c r="B301">
        <v>12.68</v>
      </c>
    </row>
    <row r="302" spans="1:2" x14ac:dyDescent="0.25">
      <c r="A302" s="1">
        <v>39157</v>
      </c>
      <c r="B302">
        <v>12.68</v>
      </c>
    </row>
    <row r="303" spans="1:2" x14ac:dyDescent="0.25">
      <c r="A303" s="1">
        <v>39160</v>
      </c>
      <c r="B303">
        <v>12.68</v>
      </c>
    </row>
    <row r="304" spans="1:2" x14ac:dyDescent="0.25">
      <c r="A304" s="1">
        <v>39161</v>
      </c>
      <c r="B304">
        <v>12.68</v>
      </c>
    </row>
    <row r="305" spans="1:2" x14ac:dyDescent="0.25">
      <c r="A305" s="1">
        <v>39162</v>
      </c>
      <c r="B305">
        <v>12.68</v>
      </c>
    </row>
    <row r="306" spans="1:2" x14ac:dyDescent="0.25">
      <c r="A306" s="1">
        <v>39163</v>
      </c>
      <c r="B306">
        <v>12.68</v>
      </c>
    </row>
    <row r="307" spans="1:2" x14ac:dyDescent="0.25">
      <c r="A307" s="1">
        <v>39164</v>
      </c>
      <c r="B307">
        <v>12.68</v>
      </c>
    </row>
    <row r="308" spans="1:2" x14ac:dyDescent="0.25">
      <c r="A308" s="1">
        <v>39167</v>
      </c>
      <c r="B308">
        <v>12.68</v>
      </c>
    </row>
    <row r="309" spans="1:2" x14ac:dyDescent="0.25">
      <c r="A309" s="1">
        <v>39168</v>
      </c>
      <c r="B309">
        <v>12.68</v>
      </c>
    </row>
    <row r="310" spans="1:2" x14ac:dyDescent="0.25">
      <c r="A310" s="1">
        <v>39169</v>
      </c>
      <c r="B310">
        <v>12.68</v>
      </c>
    </row>
    <row r="311" spans="1:2" x14ac:dyDescent="0.25">
      <c r="A311" s="1">
        <v>39170</v>
      </c>
      <c r="B311">
        <v>12.68</v>
      </c>
    </row>
    <row r="312" spans="1:2" x14ac:dyDescent="0.25">
      <c r="A312" s="1">
        <v>39171</v>
      </c>
      <c r="B312">
        <v>12.68</v>
      </c>
    </row>
    <row r="313" spans="1:2" x14ac:dyDescent="0.25">
      <c r="A313" s="1">
        <v>39174</v>
      </c>
      <c r="B313">
        <v>12.68</v>
      </c>
    </row>
    <row r="314" spans="1:2" x14ac:dyDescent="0.25">
      <c r="A314" s="1">
        <v>39175</v>
      </c>
      <c r="B314">
        <v>12.68</v>
      </c>
    </row>
    <row r="315" spans="1:2" x14ac:dyDescent="0.25">
      <c r="A315" s="1">
        <v>39176</v>
      </c>
      <c r="B315">
        <v>12.68</v>
      </c>
    </row>
    <row r="316" spans="1:2" x14ac:dyDescent="0.25">
      <c r="A316" s="1">
        <v>39177</v>
      </c>
      <c r="B316">
        <v>12.69</v>
      </c>
    </row>
    <row r="317" spans="1:2" x14ac:dyDescent="0.25">
      <c r="A317" s="1">
        <v>39181</v>
      </c>
      <c r="B317">
        <v>12.68</v>
      </c>
    </row>
    <row r="318" spans="1:2" x14ac:dyDescent="0.25">
      <c r="A318" s="1">
        <v>39182</v>
      </c>
      <c r="B318">
        <v>12.68</v>
      </c>
    </row>
    <row r="319" spans="1:2" x14ac:dyDescent="0.25">
      <c r="A319" s="1">
        <v>39183</v>
      </c>
      <c r="B319">
        <v>12.68</v>
      </c>
    </row>
    <row r="320" spans="1:2" x14ac:dyDescent="0.25">
      <c r="A320" s="1">
        <v>39184</v>
      </c>
      <c r="B320">
        <v>12.68</v>
      </c>
    </row>
    <row r="321" spans="1:2" x14ac:dyDescent="0.25">
      <c r="A321" s="1">
        <v>39185</v>
      </c>
      <c r="B321">
        <v>12.68</v>
      </c>
    </row>
    <row r="322" spans="1:2" x14ac:dyDescent="0.25">
      <c r="A322" s="1">
        <v>39188</v>
      </c>
      <c r="B322">
        <v>12.68</v>
      </c>
    </row>
    <row r="323" spans="1:2" x14ac:dyDescent="0.25">
      <c r="A323" s="1">
        <v>39189</v>
      </c>
      <c r="B323">
        <v>12.67</v>
      </c>
    </row>
    <row r="324" spans="1:2" x14ac:dyDescent="0.25">
      <c r="A324" s="1">
        <v>39190</v>
      </c>
      <c r="B324">
        <v>12.67</v>
      </c>
    </row>
    <row r="325" spans="1:2" x14ac:dyDescent="0.25">
      <c r="A325" s="1">
        <v>39191</v>
      </c>
      <c r="B325">
        <v>12.43</v>
      </c>
    </row>
    <row r="326" spans="1:2" x14ac:dyDescent="0.25">
      <c r="A326" s="1">
        <v>39192</v>
      </c>
      <c r="B326">
        <v>12.43</v>
      </c>
    </row>
    <row r="327" spans="1:2" x14ac:dyDescent="0.25">
      <c r="A327" s="1">
        <v>39195</v>
      </c>
      <c r="B327">
        <v>12.43</v>
      </c>
    </row>
    <row r="328" spans="1:2" x14ac:dyDescent="0.25">
      <c r="A328" s="1">
        <v>39196</v>
      </c>
      <c r="B328">
        <v>12.43</v>
      </c>
    </row>
    <row r="329" spans="1:2" x14ac:dyDescent="0.25">
      <c r="A329" s="1">
        <v>39197</v>
      </c>
      <c r="B329">
        <v>12.43</v>
      </c>
    </row>
    <row r="330" spans="1:2" x14ac:dyDescent="0.25">
      <c r="A330" s="1">
        <v>39198</v>
      </c>
      <c r="B330">
        <v>12.43</v>
      </c>
    </row>
    <row r="331" spans="1:2" x14ac:dyDescent="0.25">
      <c r="A331" s="1">
        <v>39199</v>
      </c>
      <c r="B331">
        <v>12.43</v>
      </c>
    </row>
    <row r="332" spans="1:2" x14ac:dyDescent="0.25">
      <c r="A332" s="1">
        <v>39202</v>
      </c>
      <c r="B332">
        <v>12.43</v>
      </c>
    </row>
    <row r="333" spans="1:2" x14ac:dyDescent="0.25">
      <c r="A333" s="1">
        <v>39204</v>
      </c>
      <c r="B333">
        <v>12.43</v>
      </c>
    </row>
    <row r="334" spans="1:2" x14ac:dyDescent="0.25">
      <c r="A334" s="1">
        <v>39205</v>
      </c>
      <c r="B334">
        <v>12.43</v>
      </c>
    </row>
    <row r="335" spans="1:2" x14ac:dyDescent="0.25">
      <c r="A335" s="1">
        <v>39206</v>
      </c>
      <c r="B335">
        <v>12.43</v>
      </c>
    </row>
    <row r="336" spans="1:2" x14ac:dyDescent="0.25">
      <c r="A336" s="1">
        <v>39209</v>
      </c>
      <c r="B336">
        <v>12.43</v>
      </c>
    </row>
    <row r="337" spans="1:2" x14ac:dyDescent="0.25">
      <c r="A337" s="1">
        <v>39210</v>
      </c>
      <c r="B337">
        <v>12.43</v>
      </c>
    </row>
    <row r="338" spans="1:2" x14ac:dyDescent="0.25">
      <c r="A338" s="1">
        <v>39211</v>
      </c>
      <c r="B338">
        <v>12.43</v>
      </c>
    </row>
    <row r="339" spans="1:2" x14ac:dyDescent="0.25">
      <c r="A339" s="1">
        <v>39212</v>
      </c>
      <c r="B339">
        <v>12.43</v>
      </c>
    </row>
    <row r="340" spans="1:2" x14ac:dyDescent="0.25">
      <c r="A340" s="1">
        <v>39213</v>
      </c>
      <c r="B340">
        <v>12.43</v>
      </c>
    </row>
    <row r="341" spans="1:2" x14ac:dyDescent="0.25">
      <c r="A341" s="1">
        <v>39216</v>
      </c>
      <c r="B341">
        <v>12.43</v>
      </c>
    </row>
    <row r="342" spans="1:2" x14ac:dyDescent="0.25">
      <c r="A342" s="1">
        <v>39217</v>
      </c>
      <c r="B342">
        <v>12.43</v>
      </c>
    </row>
    <row r="343" spans="1:2" x14ac:dyDescent="0.25">
      <c r="A343" s="1">
        <v>39218</v>
      </c>
      <c r="B343">
        <v>12.43</v>
      </c>
    </row>
    <row r="344" spans="1:2" x14ac:dyDescent="0.25">
      <c r="A344" s="1">
        <v>39219</v>
      </c>
      <c r="B344">
        <v>12.43</v>
      </c>
    </row>
    <row r="345" spans="1:2" x14ac:dyDescent="0.25">
      <c r="A345" s="1">
        <v>39220</v>
      </c>
      <c r="B345">
        <v>12.43</v>
      </c>
    </row>
    <row r="346" spans="1:2" x14ac:dyDescent="0.25">
      <c r="A346" s="1">
        <v>39223</v>
      </c>
      <c r="B346">
        <v>12.43</v>
      </c>
    </row>
    <row r="347" spans="1:2" x14ac:dyDescent="0.25">
      <c r="A347" s="1">
        <v>39224</v>
      </c>
      <c r="B347">
        <v>12.43</v>
      </c>
    </row>
    <row r="348" spans="1:2" x14ac:dyDescent="0.25">
      <c r="A348" s="1">
        <v>39225</v>
      </c>
      <c r="B348">
        <v>12.43</v>
      </c>
    </row>
    <row r="349" spans="1:2" x14ac:dyDescent="0.25">
      <c r="A349" s="1">
        <v>39226</v>
      </c>
      <c r="B349">
        <v>12.43</v>
      </c>
    </row>
    <row r="350" spans="1:2" x14ac:dyDescent="0.25">
      <c r="A350" s="1">
        <v>39227</v>
      </c>
      <c r="B350">
        <v>12.43</v>
      </c>
    </row>
    <row r="351" spans="1:2" x14ac:dyDescent="0.25">
      <c r="A351" s="1">
        <v>39230</v>
      </c>
      <c r="B351">
        <v>12.43</v>
      </c>
    </row>
    <row r="352" spans="1:2" x14ac:dyDescent="0.25">
      <c r="A352" s="1">
        <v>39231</v>
      </c>
      <c r="B352">
        <v>12.43</v>
      </c>
    </row>
    <row r="353" spans="1:2" x14ac:dyDescent="0.25">
      <c r="A353" s="1">
        <v>39232</v>
      </c>
      <c r="B353">
        <v>12.43</v>
      </c>
    </row>
    <row r="354" spans="1:2" x14ac:dyDescent="0.25">
      <c r="A354" s="1">
        <v>39233</v>
      </c>
      <c r="B354">
        <v>12.43</v>
      </c>
    </row>
    <row r="355" spans="1:2" x14ac:dyDescent="0.25">
      <c r="A355" s="1">
        <v>39234</v>
      </c>
      <c r="B355">
        <v>12.43</v>
      </c>
    </row>
    <row r="356" spans="1:2" x14ac:dyDescent="0.25">
      <c r="A356" s="1">
        <v>39237</v>
      </c>
      <c r="B356">
        <v>12.43</v>
      </c>
    </row>
    <row r="357" spans="1:2" x14ac:dyDescent="0.25">
      <c r="A357" s="1">
        <v>39238</v>
      </c>
      <c r="B357">
        <v>12.43</v>
      </c>
    </row>
    <row r="358" spans="1:2" x14ac:dyDescent="0.25">
      <c r="A358" s="1">
        <v>39239</v>
      </c>
      <c r="B358">
        <v>12.43</v>
      </c>
    </row>
    <row r="359" spans="1:2" x14ac:dyDescent="0.25">
      <c r="A359" s="1">
        <v>39241</v>
      </c>
      <c r="B359">
        <v>11.93</v>
      </c>
    </row>
    <row r="360" spans="1:2" x14ac:dyDescent="0.25">
      <c r="A360" s="1">
        <v>39244</v>
      </c>
      <c r="B360">
        <v>11.93</v>
      </c>
    </row>
    <row r="361" spans="1:2" x14ac:dyDescent="0.25">
      <c r="A361" s="1">
        <v>39245</v>
      </c>
      <c r="B361">
        <v>11.93</v>
      </c>
    </row>
    <row r="362" spans="1:2" x14ac:dyDescent="0.25">
      <c r="A362" s="1">
        <v>39246</v>
      </c>
      <c r="B362">
        <v>11.93</v>
      </c>
    </row>
    <row r="363" spans="1:2" x14ac:dyDescent="0.25">
      <c r="A363" s="1">
        <v>39247</v>
      </c>
      <c r="B363">
        <v>11.93</v>
      </c>
    </row>
    <row r="364" spans="1:2" x14ac:dyDescent="0.25">
      <c r="A364" s="1">
        <v>39248</v>
      </c>
      <c r="B364">
        <v>11.93</v>
      </c>
    </row>
    <row r="365" spans="1:2" x14ac:dyDescent="0.25">
      <c r="A365" s="1">
        <v>39251</v>
      </c>
      <c r="B365">
        <v>11.93</v>
      </c>
    </row>
    <row r="366" spans="1:2" x14ac:dyDescent="0.25">
      <c r="A366" s="1">
        <v>39252</v>
      </c>
      <c r="B366">
        <v>11.93</v>
      </c>
    </row>
    <row r="367" spans="1:2" x14ac:dyDescent="0.25">
      <c r="A367" s="1">
        <v>39253</v>
      </c>
      <c r="B367">
        <v>11.93</v>
      </c>
    </row>
    <row r="368" spans="1:2" x14ac:dyDescent="0.25">
      <c r="A368" s="1">
        <v>39254</v>
      </c>
      <c r="B368">
        <v>11.93</v>
      </c>
    </row>
    <row r="369" spans="1:2" x14ac:dyDescent="0.25">
      <c r="A369" s="1">
        <v>39255</v>
      </c>
      <c r="B369">
        <v>11.93</v>
      </c>
    </row>
    <row r="370" spans="1:2" x14ac:dyDescent="0.25">
      <c r="A370" s="1">
        <v>39258</v>
      </c>
      <c r="B370">
        <v>11.93</v>
      </c>
    </row>
    <row r="371" spans="1:2" x14ac:dyDescent="0.25">
      <c r="A371" s="1">
        <v>39259</v>
      </c>
      <c r="B371">
        <v>11.93</v>
      </c>
    </row>
    <row r="372" spans="1:2" x14ac:dyDescent="0.25">
      <c r="A372" s="1">
        <v>39260</v>
      </c>
      <c r="B372">
        <v>11.93</v>
      </c>
    </row>
    <row r="373" spans="1:2" x14ac:dyDescent="0.25">
      <c r="A373" s="1">
        <v>39261</v>
      </c>
      <c r="B373">
        <v>11.93</v>
      </c>
    </row>
    <row r="374" spans="1:2" x14ac:dyDescent="0.25">
      <c r="A374" s="1">
        <v>39262</v>
      </c>
      <c r="B374">
        <v>11.93</v>
      </c>
    </row>
    <row r="375" spans="1:2" x14ac:dyDescent="0.25">
      <c r="A375" s="1">
        <v>39265</v>
      </c>
      <c r="B375">
        <v>11.93</v>
      </c>
    </row>
    <row r="376" spans="1:2" x14ac:dyDescent="0.25">
      <c r="A376" s="1">
        <v>39266</v>
      </c>
      <c r="B376">
        <v>11.93</v>
      </c>
    </row>
    <row r="377" spans="1:2" x14ac:dyDescent="0.25">
      <c r="A377" s="1">
        <v>39267</v>
      </c>
      <c r="B377">
        <v>11.93</v>
      </c>
    </row>
    <row r="378" spans="1:2" x14ac:dyDescent="0.25">
      <c r="A378" s="1">
        <v>39268</v>
      </c>
      <c r="B378">
        <v>11.93</v>
      </c>
    </row>
    <row r="379" spans="1:2" x14ac:dyDescent="0.25">
      <c r="A379" s="1">
        <v>39269</v>
      </c>
      <c r="B379">
        <v>11.93</v>
      </c>
    </row>
    <row r="380" spans="1:2" x14ac:dyDescent="0.25">
      <c r="A380" s="1">
        <v>39272</v>
      </c>
      <c r="B380">
        <v>11.93</v>
      </c>
    </row>
    <row r="381" spans="1:2" x14ac:dyDescent="0.25">
      <c r="A381" s="1">
        <v>39273</v>
      </c>
      <c r="B381">
        <v>11.93</v>
      </c>
    </row>
    <row r="382" spans="1:2" x14ac:dyDescent="0.25">
      <c r="A382" s="1">
        <v>39274</v>
      </c>
      <c r="B382">
        <v>11.93</v>
      </c>
    </row>
    <row r="383" spans="1:2" x14ac:dyDescent="0.25">
      <c r="A383" s="1">
        <v>39275</v>
      </c>
      <c r="B383">
        <v>11.93</v>
      </c>
    </row>
    <row r="384" spans="1:2" x14ac:dyDescent="0.25">
      <c r="A384" s="1">
        <v>39276</v>
      </c>
      <c r="B384">
        <v>11.93</v>
      </c>
    </row>
    <row r="385" spans="1:2" x14ac:dyDescent="0.25">
      <c r="A385" s="1">
        <v>39279</v>
      </c>
      <c r="B385">
        <v>11.93</v>
      </c>
    </row>
    <row r="386" spans="1:2" x14ac:dyDescent="0.25">
      <c r="A386" s="1">
        <v>39280</v>
      </c>
      <c r="B386">
        <v>11.93</v>
      </c>
    </row>
    <row r="387" spans="1:2" x14ac:dyDescent="0.25">
      <c r="A387" s="1">
        <v>39281</v>
      </c>
      <c r="B387">
        <v>11.93</v>
      </c>
    </row>
    <row r="388" spans="1:2" x14ac:dyDescent="0.25">
      <c r="A388" s="1">
        <v>39282</v>
      </c>
      <c r="B388">
        <v>11.43</v>
      </c>
    </row>
    <row r="389" spans="1:2" x14ac:dyDescent="0.25">
      <c r="A389" s="1">
        <v>39283</v>
      </c>
      <c r="B389">
        <v>11.43</v>
      </c>
    </row>
    <row r="390" spans="1:2" x14ac:dyDescent="0.25">
      <c r="A390" s="1">
        <v>39286</v>
      </c>
      <c r="B390">
        <v>11.43</v>
      </c>
    </row>
    <row r="391" spans="1:2" x14ac:dyDescent="0.25">
      <c r="A391" s="1">
        <v>39287</v>
      </c>
      <c r="B391">
        <v>11.43</v>
      </c>
    </row>
    <row r="392" spans="1:2" x14ac:dyDescent="0.25">
      <c r="A392" s="1">
        <v>39288</v>
      </c>
      <c r="B392">
        <v>11.43</v>
      </c>
    </row>
    <row r="393" spans="1:2" x14ac:dyDescent="0.25">
      <c r="A393" s="1">
        <v>39289</v>
      </c>
      <c r="B393">
        <v>11.43</v>
      </c>
    </row>
    <row r="394" spans="1:2" x14ac:dyDescent="0.25">
      <c r="A394" s="1">
        <v>39290</v>
      </c>
      <c r="B394">
        <v>11.43</v>
      </c>
    </row>
    <row r="395" spans="1:2" x14ac:dyDescent="0.25">
      <c r="A395" s="1">
        <v>39293</v>
      </c>
      <c r="B395">
        <v>11.43</v>
      </c>
    </row>
    <row r="396" spans="1:2" x14ac:dyDescent="0.25">
      <c r="A396" s="1">
        <v>39294</v>
      </c>
      <c r="B396">
        <v>11.43</v>
      </c>
    </row>
    <row r="397" spans="1:2" x14ac:dyDescent="0.25">
      <c r="A397" s="1">
        <v>39295</v>
      </c>
      <c r="B397">
        <v>11.43</v>
      </c>
    </row>
    <row r="398" spans="1:2" x14ac:dyDescent="0.25">
      <c r="A398" s="1">
        <v>39296</v>
      </c>
      <c r="B398">
        <v>11.43</v>
      </c>
    </row>
    <row r="399" spans="1:2" x14ac:dyDescent="0.25">
      <c r="A399" s="1">
        <v>39297</v>
      </c>
      <c r="B399">
        <v>11.43</v>
      </c>
    </row>
    <row r="400" spans="1:2" x14ac:dyDescent="0.25">
      <c r="A400" s="1">
        <v>39300</v>
      </c>
      <c r="B400">
        <v>11.43</v>
      </c>
    </row>
    <row r="401" spans="1:2" x14ac:dyDescent="0.25">
      <c r="A401" s="1">
        <v>39301</v>
      </c>
      <c r="B401">
        <v>11.43</v>
      </c>
    </row>
    <row r="402" spans="1:2" x14ac:dyDescent="0.25">
      <c r="A402" s="1">
        <v>39302</v>
      </c>
      <c r="B402">
        <v>11.43</v>
      </c>
    </row>
    <row r="403" spans="1:2" x14ac:dyDescent="0.25">
      <c r="A403" s="1">
        <v>39303</v>
      </c>
      <c r="B403">
        <v>11.43</v>
      </c>
    </row>
    <row r="404" spans="1:2" x14ac:dyDescent="0.25">
      <c r="A404" s="1">
        <v>39304</v>
      </c>
      <c r="B404">
        <v>11.43</v>
      </c>
    </row>
    <row r="405" spans="1:2" x14ac:dyDescent="0.25">
      <c r="A405" s="1">
        <v>39307</v>
      </c>
      <c r="B405">
        <v>11.42</v>
      </c>
    </row>
    <row r="406" spans="1:2" x14ac:dyDescent="0.25">
      <c r="A406" s="1">
        <v>39308</v>
      </c>
      <c r="B406">
        <v>11.43</v>
      </c>
    </row>
    <row r="407" spans="1:2" x14ac:dyDescent="0.25">
      <c r="A407" s="1">
        <v>39309</v>
      </c>
      <c r="B407">
        <v>11.43</v>
      </c>
    </row>
    <row r="408" spans="1:2" x14ac:dyDescent="0.25">
      <c r="A408" s="1">
        <v>39310</v>
      </c>
      <c r="B408">
        <v>11.43</v>
      </c>
    </row>
    <row r="409" spans="1:2" x14ac:dyDescent="0.25">
      <c r="A409" s="1">
        <v>39311</v>
      </c>
      <c r="B409">
        <v>11.43</v>
      </c>
    </row>
    <row r="410" spans="1:2" x14ac:dyDescent="0.25">
      <c r="A410" s="1">
        <v>39314</v>
      </c>
      <c r="B410">
        <v>11.43</v>
      </c>
    </row>
    <row r="411" spans="1:2" x14ac:dyDescent="0.25">
      <c r="A411" s="1">
        <v>39315</v>
      </c>
      <c r="B411">
        <v>11.43</v>
      </c>
    </row>
    <row r="412" spans="1:2" x14ac:dyDescent="0.25">
      <c r="A412" s="1">
        <v>39316</v>
      </c>
      <c r="B412">
        <v>11.43</v>
      </c>
    </row>
    <row r="413" spans="1:2" x14ac:dyDescent="0.25">
      <c r="A413" s="1">
        <v>39317</v>
      </c>
      <c r="B413">
        <v>11.43</v>
      </c>
    </row>
    <row r="414" spans="1:2" x14ac:dyDescent="0.25">
      <c r="A414" s="1">
        <v>39318</v>
      </c>
      <c r="B414">
        <v>11.43</v>
      </c>
    </row>
    <row r="415" spans="1:2" x14ac:dyDescent="0.25">
      <c r="A415" s="1">
        <v>39321</v>
      </c>
      <c r="B415">
        <v>11.43</v>
      </c>
    </row>
    <row r="416" spans="1:2" x14ac:dyDescent="0.25">
      <c r="A416" s="1">
        <v>39322</v>
      </c>
      <c r="B416">
        <v>11.43</v>
      </c>
    </row>
    <row r="417" spans="1:2" x14ac:dyDescent="0.25">
      <c r="A417" s="1">
        <v>39323</v>
      </c>
      <c r="B417">
        <v>11.43</v>
      </c>
    </row>
    <row r="418" spans="1:2" x14ac:dyDescent="0.25">
      <c r="A418" s="1">
        <v>39324</v>
      </c>
      <c r="B418">
        <v>11.43</v>
      </c>
    </row>
    <row r="419" spans="1:2" x14ac:dyDescent="0.25">
      <c r="A419" s="1">
        <v>39325</v>
      </c>
      <c r="B419">
        <v>11.43</v>
      </c>
    </row>
    <row r="420" spans="1:2" x14ac:dyDescent="0.25">
      <c r="A420" s="1">
        <v>39328</v>
      </c>
      <c r="B420">
        <v>11.43</v>
      </c>
    </row>
    <row r="421" spans="1:2" x14ac:dyDescent="0.25">
      <c r="A421" s="1">
        <v>39329</v>
      </c>
      <c r="B421">
        <v>11.43</v>
      </c>
    </row>
    <row r="422" spans="1:2" x14ac:dyDescent="0.25">
      <c r="A422" s="1">
        <v>39330</v>
      </c>
      <c r="B422">
        <v>11.43</v>
      </c>
    </row>
    <row r="423" spans="1:2" x14ac:dyDescent="0.25">
      <c r="A423" s="1">
        <v>39331</v>
      </c>
      <c r="B423">
        <v>11.18</v>
      </c>
    </row>
    <row r="424" spans="1:2" x14ac:dyDescent="0.25">
      <c r="A424" s="1">
        <v>39335</v>
      </c>
      <c r="B424">
        <v>11.18</v>
      </c>
    </row>
    <row r="425" spans="1:2" x14ac:dyDescent="0.25">
      <c r="A425" s="1">
        <v>39336</v>
      </c>
      <c r="B425">
        <v>11.18</v>
      </c>
    </row>
    <row r="426" spans="1:2" x14ac:dyDescent="0.25">
      <c r="A426" s="1">
        <v>39337</v>
      </c>
      <c r="B426">
        <v>11.18</v>
      </c>
    </row>
    <row r="427" spans="1:2" x14ac:dyDescent="0.25">
      <c r="A427" s="1">
        <v>39338</v>
      </c>
      <c r="B427">
        <v>11.18</v>
      </c>
    </row>
    <row r="428" spans="1:2" x14ac:dyDescent="0.25">
      <c r="A428" s="1">
        <v>39339</v>
      </c>
      <c r="B428">
        <v>11.18</v>
      </c>
    </row>
    <row r="429" spans="1:2" x14ac:dyDescent="0.25">
      <c r="A429" s="1">
        <v>39342</v>
      </c>
      <c r="B429">
        <v>11.18</v>
      </c>
    </row>
    <row r="430" spans="1:2" x14ac:dyDescent="0.25">
      <c r="A430" s="1">
        <v>39343</v>
      </c>
      <c r="B430">
        <v>11.18</v>
      </c>
    </row>
    <row r="431" spans="1:2" x14ac:dyDescent="0.25">
      <c r="A431" s="1">
        <v>39344</v>
      </c>
      <c r="B431">
        <v>11.18</v>
      </c>
    </row>
    <row r="432" spans="1:2" x14ac:dyDescent="0.25">
      <c r="A432" s="1">
        <v>39345</v>
      </c>
      <c r="B432">
        <v>11.18</v>
      </c>
    </row>
    <row r="433" spans="1:2" x14ac:dyDescent="0.25">
      <c r="A433" s="1">
        <v>39346</v>
      </c>
      <c r="B433">
        <v>11.18</v>
      </c>
    </row>
    <row r="434" spans="1:2" x14ac:dyDescent="0.25">
      <c r="A434" s="1">
        <v>39349</v>
      </c>
      <c r="B434">
        <v>11.18</v>
      </c>
    </row>
    <row r="435" spans="1:2" x14ac:dyDescent="0.25">
      <c r="A435" s="1">
        <v>39350</v>
      </c>
      <c r="B435">
        <v>11.18</v>
      </c>
    </row>
    <row r="436" spans="1:2" x14ac:dyDescent="0.25">
      <c r="A436" s="1">
        <v>39351</v>
      </c>
      <c r="B436">
        <v>11.18</v>
      </c>
    </row>
    <row r="437" spans="1:2" x14ac:dyDescent="0.25">
      <c r="A437" s="1">
        <v>39352</v>
      </c>
      <c r="B437">
        <v>11.18</v>
      </c>
    </row>
    <row r="438" spans="1:2" x14ac:dyDescent="0.25">
      <c r="A438" s="1">
        <v>39353</v>
      </c>
      <c r="B438">
        <v>11.18</v>
      </c>
    </row>
    <row r="439" spans="1:2" x14ac:dyDescent="0.25">
      <c r="A439" s="1">
        <v>39356</v>
      </c>
      <c r="B439">
        <v>11.18</v>
      </c>
    </row>
    <row r="440" spans="1:2" x14ac:dyDescent="0.25">
      <c r="A440" s="1">
        <v>39357</v>
      </c>
      <c r="B440">
        <v>11.18</v>
      </c>
    </row>
    <row r="441" spans="1:2" x14ac:dyDescent="0.25">
      <c r="A441" s="1">
        <v>39358</v>
      </c>
      <c r="B441">
        <v>11.18</v>
      </c>
    </row>
    <row r="442" spans="1:2" x14ac:dyDescent="0.25">
      <c r="A442" s="1">
        <v>39359</v>
      </c>
      <c r="B442">
        <v>11.18</v>
      </c>
    </row>
    <row r="443" spans="1:2" x14ac:dyDescent="0.25">
      <c r="A443" s="1">
        <v>39360</v>
      </c>
      <c r="B443">
        <v>11.18</v>
      </c>
    </row>
    <row r="444" spans="1:2" x14ac:dyDescent="0.25">
      <c r="A444" s="1">
        <v>39363</v>
      </c>
      <c r="B444">
        <v>11.18</v>
      </c>
    </row>
    <row r="445" spans="1:2" x14ac:dyDescent="0.25">
      <c r="A445" s="1">
        <v>39364</v>
      </c>
      <c r="B445">
        <v>11.18</v>
      </c>
    </row>
    <row r="446" spans="1:2" x14ac:dyDescent="0.25">
      <c r="A446" s="1">
        <v>39365</v>
      </c>
      <c r="B446">
        <v>11.18</v>
      </c>
    </row>
    <row r="447" spans="1:2" x14ac:dyDescent="0.25">
      <c r="A447" s="1">
        <v>39366</v>
      </c>
      <c r="B447">
        <v>11.18</v>
      </c>
    </row>
    <row r="448" spans="1:2" x14ac:dyDescent="0.25">
      <c r="A448" s="1">
        <v>39370</v>
      </c>
      <c r="B448">
        <v>11.18</v>
      </c>
    </row>
    <row r="449" spans="1:2" x14ac:dyDescent="0.25">
      <c r="A449" s="1">
        <v>39371</v>
      </c>
      <c r="B449">
        <v>11.18</v>
      </c>
    </row>
    <row r="450" spans="1:2" x14ac:dyDescent="0.25">
      <c r="A450" s="1">
        <v>39372</v>
      </c>
      <c r="B450">
        <v>11.18</v>
      </c>
    </row>
    <row r="451" spans="1:2" x14ac:dyDescent="0.25">
      <c r="A451" s="1">
        <v>39373</v>
      </c>
      <c r="B451">
        <v>11.18</v>
      </c>
    </row>
    <row r="452" spans="1:2" x14ac:dyDescent="0.25">
      <c r="A452" s="1">
        <v>39374</v>
      </c>
      <c r="B452">
        <v>11.18</v>
      </c>
    </row>
    <row r="453" spans="1:2" x14ac:dyDescent="0.25">
      <c r="A453" s="1">
        <v>39377</v>
      </c>
      <c r="B453">
        <v>11.18</v>
      </c>
    </row>
    <row r="454" spans="1:2" x14ac:dyDescent="0.25">
      <c r="A454" s="1">
        <v>39378</v>
      </c>
      <c r="B454">
        <v>11.18</v>
      </c>
    </row>
    <row r="455" spans="1:2" x14ac:dyDescent="0.25">
      <c r="A455" s="1">
        <v>39379</v>
      </c>
      <c r="B455">
        <v>11.18</v>
      </c>
    </row>
    <row r="456" spans="1:2" x14ac:dyDescent="0.25">
      <c r="A456" s="1">
        <v>39380</v>
      </c>
      <c r="B456">
        <v>11.18</v>
      </c>
    </row>
    <row r="457" spans="1:2" x14ac:dyDescent="0.25">
      <c r="A457" s="1">
        <v>39381</v>
      </c>
      <c r="B457">
        <v>11.18</v>
      </c>
    </row>
    <row r="458" spans="1:2" x14ac:dyDescent="0.25">
      <c r="A458" s="1">
        <v>39384</v>
      </c>
      <c r="B458">
        <v>11.18</v>
      </c>
    </row>
    <row r="459" spans="1:2" x14ac:dyDescent="0.25">
      <c r="A459" s="1">
        <v>39385</v>
      </c>
      <c r="B459">
        <v>11.17</v>
      </c>
    </row>
    <row r="460" spans="1:2" x14ac:dyDescent="0.25">
      <c r="A460" s="1">
        <v>39386</v>
      </c>
      <c r="B460">
        <v>11.18</v>
      </c>
    </row>
    <row r="461" spans="1:2" x14ac:dyDescent="0.25">
      <c r="A461" s="1">
        <v>39387</v>
      </c>
      <c r="B461">
        <v>11.18</v>
      </c>
    </row>
    <row r="462" spans="1:2" x14ac:dyDescent="0.25">
      <c r="A462" s="1">
        <v>39391</v>
      </c>
      <c r="B462">
        <v>11.18</v>
      </c>
    </row>
    <row r="463" spans="1:2" x14ac:dyDescent="0.25">
      <c r="A463" s="1">
        <v>39392</v>
      </c>
      <c r="B463">
        <v>11.18</v>
      </c>
    </row>
    <row r="464" spans="1:2" x14ac:dyDescent="0.25">
      <c r="A464" s="1">
        <v>39393</v>
      </c>
      <c r="B464">
        <v>11.18</v>
      </c>
    </row>
    <row r="465" spans="1:2" x14ac:dyDescent="0.25">
      <c r="A465" s="1">
        <v>39394</v>
      </c>
      <c r="B465">
        <v>11.18</v>
      </c>
    </row>
    <row r="466" spans="1:2" x14ac:dyDescent="0.25">
      <c r="A466" s="1">
        <v>39395</v>
      </c>
      <c r="B466">
        <v>11.18</v>
      </c>
    </row>
    <row r="467" spans="1:2" x14ac:dyDescent="0.25">
      <c r="A467" s="1">
        <v>39398</v>
      </c>
      <c r="B467">
        <v>11.18</v>
      </c>
    </row>
    <row r="468" spans="1:2" x14ac:dyDescent="0.25">
      <c r="A468" s="1">
        <v>39399</v>
      </c>
      <c r="B468">
        <v>11.18</v>
      </c>
    </row>
    <row r="469" spans="1:2" x14ac:dyDescent="0.25">
      <c r="A469" s="1">
        <v>39400</v>
      </c>
      <c r="B469">
        <v>11.18</v>
      </c>
    </row>
    <row r="470" spans="1:2" x14ac:dyDescent="0.25">
      <c r="A470" s="1">
        <v>39402</v>
      </c>
      <c r="B470">
        <v>11.18</v>
      </c>
    </row>
    <row r="471" spans="1:2" x14ac:dyDescent="0.25">
      <c r="A471" s="1">
        <v>39405</v>
      </c>
      <c r="B471">
        <v>11.18</v>
      </c>
    </row>
    <row r="472" spans="1:2" x14ac:dyDescent="0.25">
      <c r="A472" s="1">
        <v>39406</v>
      </c>
      <c r="B472">
        <v>11.18</v>
      </c>
    </row>
    <row r="473" spans="1:2" x14ac:dyDescent="0.25">
      <c r="A473" s="1">
        <v>39407</v>
      </c>
      <c r="B473">
        <v>11.18</v>
      </c>
    </row>
    <row r="474" spans="1:2" x14ac:dyDescent="0.25">
      <c r="A474" s="1">
        <v>39408</v>
      </c>
      <c r="B474">
        <v>11.18</v>
      </c>
    </row>
    <row r="475" spans="1:2" x14ac:dyDescent="0.25">
      <c r="A475" s="1">
        <v>39409</v>
      </c>
      <c r="B475">
        <v>11.18</v>
      </c>
    </row>
    <row r="476" spans="1:2" x14ac:dyDescent="0.25">
      <c r="A476" s="1">
        <v>39412</v>
      </c>
      <c r="B476">
        <v>11.18</v>
      </c>
    </row>
    <row r="477" spans="1:2" x14ac:dyDescent="0.25">
      <c r="A477" s="1">
        <v>39413</v>
      </c>
      <c r="B477">
        <v>11.18</v>
      </c>
    </row>
    <row r="478" spans="1:2" x14ac:dyDescent="0.25">
      <c r="A478" s="1">
        <v>39414</v>
      </c>
      <c r="B478">
        <v>11.18</v>
      </c>
    </row>
    <row r="479" spans="1:2" x14ac:dyDescent="0.25">
      <c r="A479" s="1">
        <v>39415</v>
      </c>
      <c r="B479">
        <v>11.18</v>
      </c>
    </row>
    <row r="480" spans="1:2" x14ac:dyDescent="0.25">
      <c r="A480" s="1">
        <v>39416</v>
      </c>
      <c r="B480">
        <v>11.18</v>
      </c>
    </row>
    <row r="481" spans="1:2" x14ac:dyDescent="0.25">
      <c r="A481" s="1">
        <v>39419</v>
      </c>
      <c r="B481">
        <v>11.18</v>
      </c>
    </row>
    <row r="482" spans="1:2" x14ac:dyDescent="0.25">
      <c r="A482" s="1">
        <v>39420</v>
      </c>
      <c r="B482">
        <v>11.18</v>
      </c>
    </row>
    <row r="483" spans="1:2" x14ac:dyDescent="0.25">
      <c r="A483" s="1">
        <v>39421</v>
      </c>
      <c r="B483">
        <v>11.18</v>
      </c>
    </row>
    <row r="484" spans="1:2" x14ac:dyDescent="0.25">
      <c r="A484" s="1">
        <v>39422</v>
      </c>
      <c r="B484">
        <v>11.18</v>
      </c>
    </row>
    <row r="485" spans="1:2" x14ac:dyDescent="0.25">
      <c r="A485" s="1">
        <v>39423</v>
      </c>
      <c r="B485">
        <v>11.18</v>
      </c>
    </row>
    <row r="486" spans="1:2" x14ac:dyDescent="0.25">
      <c r="A486" s="1">
        <v>39426</v>
      </c>
      <c r="B486">
        <v>11.18</v>
      </c>
    </row>
    <row r="487" spans="1:2" x14ac:dyDescent="0.25">
      <c r="A487" s="1">
        <v>39427</v>
      </c>
      <c r="B487">
        <v>11.18</v>
      </c>
    </row>
    <row r="488" spans="1:2" x14ac:dyDescent="0.25">
      <c r="A488" s="1">
        <v>39428</v>
      </c>
      <c r="B488">
        <v>11.18</v>
      </c>
    </row>
    <row r="489" spans="1:2" x14ac:dyDescent="0.25">
      <c r="A489" s="1">
        <v>39429</v>
      </c>
      <c r="B489">
        <v>11.18</v>
      </c>
    </row>
    <row r="490" spans="1:2" x14ac:dyDescent="0.25">
      <c r="A490" s="1">
        <v>39430</v>
      </c>
      <c r="B490">
        <v>11.18</v>
      </c>
    </row>
    <row r="491" spans="1:2" x14ac:dyDescent="0.25">
      <c r="A491" s="1">
        <v>39433</v>
      </c>
      <c r="B491">
        <v>11.18</v>
      </c>
    </row>
    <row r="492" spans="1:2" x14ac:dyDescent="0.25">
      <c r="A492" s="1">
        <v>39434</v>
      </c>
      <c r="B492">
        <v>11.18</v>
      </c>
    </row>
    <row r="493" spans="1:2" x14ac:dyDescent="0.25">
      <c r="A493" s="1">
        <v>39435</v>
      </c>
      <c r="B493">
        <v>11.18</v>
      </c>
    </row>
    <row r="494" spans="1:2" x14ac:dyDescent="0.25">
      <c r="A494" s="1">
        <v>39436</v>
      </c>
      <c r="B494">
        <v>11.18</v>
      </c>
    </row>
    <row r="495" spans="1:2" x14ac:dyDescent="0.25">
      <c r="A495" s="1">
        <v>39437</v>
      </c>
      <c r="B495">
        <v>11.18</v>
      </c>
    </row>
    <row r="496" spans="1:2" x14ac:dyDescent="0.25">
      <c r="A496" s="1">
        <v>39440</v>
      </c>
      <c r="B496">
        <v>11.18</v>
      </c>
    </row>
    <row r="497" spans="1:2" x14ac:dyDescent="0.25">
      <c r="A497" s="1">
        <v>39442</v>
      </c>
      <c r="B497">
        <v>11.18</v>
      </c>
    </row>
    <row r="498" spans="1:2" x14ac:dyDescent="0.25">
      <c r="A498" s="1">
        <v>39443</v>
      </c>
      <c r="B498">
        <v>11.18</v>
      </c>
    </row>
    <row r="499" spans="1:2" x14ac:dyDescent="0.25">
      <c r="A499" s="1">
        <v>39444</v>
      </c>
      <c r="B499">
        <v>11.18</v>
      </c>
    </row>
    <row r="500" spans="1:2" x14ac:dyDescent="0.25">
      <c r="A500" s="1">
        <v>39447</v>
      </c>
      <c r="B500">
        <v>11.18</v>
      </c>
    </row>
    <row r="501" spans="1:2" x14ac:dyDescent="0.25">
      <c r="A501" s="1">
        <v>39449</v>
      </c>
      <c r="B501">
        <v>11.18</v>
      </c>
    </row>
    <row r="502" spans="1:2" x14ac:dyDescent="0.25">
      <c r="A502" s="1">
        <v>39450</v>
      </c>
      <c r="B502">
        <v>11.18</v>
      </c>
    </row>
    <row r="503" spans="1:2" x14ac:dyDescent="0.25">
      <c r="A503" s="1">
        <v>39451</v>
      </c>
      <c r="B503">
        <v>11.18</v>
      </c>
    </row>
    <row r="504" spans="1:2" x14ac:dyDescent="0.25">
      <c r="A504" s="1">
        <v>39454</v>
      </c>
      <c r="B504">
        <v>11.17</v>
      </c>
    </row>
    <row r="505" spans="1:2" x14ac:dyDescent="0.25">
      <c r="A505" s="1">
        <v>39455</v>
      </c>
      <c r="B505">
        <v>11.17</v>
      </c>
    </row>
    <row r="506" spans="1:2" x14ac:dyDescent="0.25">
      <c r="A506" s="1">
        <v>39456</v>
      </c>
      <c r="B506">
        <v>11.18</v>
      </c>
    </row>
    <row r="507" spans="1:2" x14ac:dyDescent="0.25">
      <c r="A507" s="1">
        <v>39457</v>
      </c>
      <c r="B507">
        <v>11.18</v>
      </c>
    </row>
    <row r="508" spans="1:2" x14ac:dyDescent="0.25">
      <c r="A508" s="1">
        <v>39458</v>
      </c>
      <c r="B508">
        <v>11.18</v>
      </c>
    </row>
    <row r="509" spans="1:2" x14ac:dyDescent="0.25">
      <c r="A509" s="1">
        <v>39461</v>
      </c>
      <c r="B509">
        <v>11.18</v>
      </c>
    </row>
    <row r="510" spans="1:2" x14ac:dyDescent="0.25">
      <c r="A510" s="1">
        <v>39462</v>
      </c>
      <c r="B510">
        <v>11.18</v>
      </c>
    </row>
    <row r="511" spans="1:2" x14ac:dyDescent="0.25">
      <c r="A511" s="1">
        <v>39463</v>
      </c>
      <c r="B511">
        <v>11.18</v>
      </c>
    </row>
    <row r="512" spans="1:2" x14ac:dyDescent="0.25">
      <c r="A512" s="1">
        <v>39464</v>
      </c>
      <c r="B512">
        <v>11.18</v>
      </c>
    </row>
    <row r="513" spans="1:2" x14ac:dyDescent="0.25">
      <c r="A513" s="1">
        <v>39465</v>
      </c>
      <c r="B513">
        <v>11.18</v>
      </c>
    </row>
    <row r="514" spans="1:2" x14ac:dyDescent="0.25">
      <c r="A514" s="1">
        <v>39468</v>
      </c>
      <c r="B514">
        <v>11.17</v>
      </c>
    </row>
    <row r="515" spans="1:2" x14ac:dyDescent="0.25">
      <c r="A515" s="1">
        <v>39469</v>
      </c>
      <c r="B515">
        <v>11.18</v>
      </c>
    </row>
    <row r="516" spans="1:2" x14ac:dyDescent="0.25">
      <c r="A516" s="1">
        <v>39470</v>
      </c>
      <c r="B516">
        <v>11.18</v>
      </c>
    </row>
    <row r="517" spans="1:2" x14ac:dyDescent="0.25">
      <c r="A517" s="1">
        <v>39471</v>
      </c>
      <c r="B517">
        <v>11.17</v>
      </c>
    </row>
    <row r="518" spans="1:2" x14ac:dyDescent="0.25">
      <c r="A518" s="1">
        <v>39472</v>
      </c>
      <c r="B518">
        <v>11.18</v>
      </c>
    </row>
    <row r="519" spans="1:2" x14ac:dyDescent="0.25">
      <c r="A519" s="1">
        <v>39475</v>
      </c>
      <c r="B519">
        <v>11.18</v>
      </c>
    </row>
    <row r="520" spans="1:2" x14ac:dyDescent="0.25">
      <c r="A520" s="1">
        <v>39476</v>
      </c>
      <c r="B520">
        <v>11.18</v>
      </c>
    </row>
    <row r="521" spans="1:2" x14ac:dyDescent="0.25">
      <c r="A521" s="1">
        <v>39477</v>
      </c>
      <c r="B521">
        <v>11.18</v>
      </c>
    </row>
    <row r="522" spans="1:2" x14ac:dyDescent="0.25">
      <c r="A522" s="1">
        <v>39478</v>
      </c>
      <c r="B522">
        <v>11.18</v>
      </c>
    </row>
    <row r="523" spans="1:2" x14ac:dyDescent="0.25">
      <c r="A523" s="1">
        <v>39479</v>
      </c>
      <c r="B523">
        <v>11.18</v>
      </c>
    </row>
    <row r="524" spans="1:2" x14ac:dyDescent="0.25">
      <c r="A524" s="1">
        <v>39484</v>
      </c>
      <c r="B524">
        <v>11.18</v>
      </c>
    </row>
    <row r="525" spans="1:2" x14ac:dyDescent="0.25">
      <c r="A525" s="1">
        <v>39485</v>
      </c>
      <c r="B525">
        <v>11.18</v>
      </c>
    </row>
    <row r="526" spans="1:2" x14ac:dyDescent="0.25">
      <c r="A526" s="1">
        <v>39486</v>
      </c>
      <c r="B526">
        <v>11.18</v>
      </c>
    </row>
    <row r="527" spans="1:2" x14ac:dyDescent="0.25">
      <c r="A527" s="1">
        <v>39489</v>
      </c>
      <c r="B527">
        <v>11.18</v>
      </c>
    </row>
    <row r="528" spans="1:2" x14ac:dyDescent="0.25">
      <c r="A528" s="1">
        <v>39490</v>
      </c>
      <c r="B528">
        <v>11.18</v>
      </c>
    </row>
    <row r="529" spans="1:2" x14ac:dyDescent="0.25">
      <c r="A529" s="1">
        <v>39491</v>
      </c>
      <c r="B529">
        <v>11.18</v>
      </c>
    </row>
    <row r="530" spans="1:2" x14ac:dyDescent="0.25">
      <c r="A530" s="1">
        <v>39492</v>
      </c>
      <c r="B530">
        <v>11.18</v>
      </c>
    </row>
    <row r="531" spans="1:2" x14ac:dyDescent="0.25">
      <c r="A531" s="1">
        <v>39493</v>
      </c>
      <c r="B531">
        <v>11.17</v>
      </c>
    </row>
    <row r="532" spans="1:2" x14ac:dyDescent="0.25">
      <c r="A532" s="1">
        <v>39496</v>
      </c>
      <c r="B532">
        <v>11.18</v>
      </c>
    </row>
    <row r="533" spans="1:2" x14ac:dyDescent="0.25">
      <c r="A533" s="1">
        <v>39497</v>
      </c>
      <c r="B533">
        <v>11.18</v>
      </c>
    </row>
    <row r="534" spans="1:2" x14ac:dyDescent="0.25">
      <c r="A534" s="1">
        <v>39498</v>
      </c>
      <c r="B534">
        <v>11.18</v>
      </c>
    </row>
    <row r="535" spans="1:2" x14ac:dyDescent="0.25">
      <c r="A535" s="1">
        <v>39499</v>
      </c>
      <c r="B535">
        <v>11.18</v>
      </c>
    </row>
    <row r="536" spans="1:2" x14ac:dyDescent="0.25">
      <c r="A536" s="1">
        <v>39500</v>
      </c>
      <c r="B536">
        <v>11.18</v>
      </c>
    </row>
    <row r="537" spans="1:2" x14ac:dyDescent="0.25">
      <c r="A537" s="1">
        <v>39503</v>
      </c>
      <c r="B537">
        <v>11.18</v>
      </c>
    </row>
    <row r="538" spans="1:2" x14ac:dyDescent="0.25">
      <c r="A538" s="1">
        <v>39504</v>
      </c>
      <c r="B538">
        <v>11.18</v>
      </c>
    </row>
    <row r="539" spans="1:2" x14ac:dyDescent="0.25">
      <c r="A539" s="1">
        <v>39505</v>
      </c>
      <c r="B539">
        <v>11.18</v>
      </c>
    </row>
    <row r="540" spans="1:2" x14ac:dyDescent="0.25">
      <c r="A540" s="1">
        <v>39506</v>
      </c>
      <c r="B540">
        <v>11.18</v>
      </c>
    </row>
    <row r="541" spans="1:2" x14ac:dyDescent="0.25">
      <c r="A541" s="1">
        <v>39507</v>
      </c>
      <c r="B541">
        <v>11.18</v>
      </c>
    </row>
    <row r="542" spans="1:2" x14ac:dyDescent="0.25">
      <c r="A542" s="1">
        <v>39510</v>
      </c>
      <c r="B542">
        <v>11.18</v>
      </c>
    </row>
    <row r="543" spans="1:2" x14ac:dyDescent="0.25">
      <c r="A543" s="1">
        <v>39511</v>
      </c>
      <c r="B543">
        <v>11.17</v>
      </c>
    </row>
    <row r="544" spans="1:2" x14ac:dyDescent="0.25">
      <c r="A544" s="1">
        <v>39512</v>
      </c>
      <c r="B544">
        <v>11.18</v>
      </c>
    </row>
    <row r="545" spans="1:2" x14ac:dyDescent="0.25">
      <c r="A545" s="1">
        <v>39513</v>
      </c>
      <c r="B545">
        <v>11.18</v>
      </c>
    </row>
    <row r="546" spans="1:2" x14ac:dyDescent="0.25">
      <c r="A546" s="1">
        <v>39514</v>
      </c>
      <c r="B546">
        <v>11.18</v>
      </c>
    </row>
    <row r="547" spans="1:2" x14ac:dyDescent="0.25">
      <c r="A547" s="1">
        <v>39517</v>
      </c>
      <c r="B547">
        <v>11.18</v>
      </c>
    </row>
    <row r="548" spans="1:2" x14ac:dyDescent="0.25">
      <c r="A548" s="1">
        <v>39518</v>
      </c>
      <c r="B548">
        <v>11.18</v>
      </c>
    </row>
    <row r="549" spans="1:2" x14ac:dyDescent="0.25">
      <c r="A549" s="1">
        <v>39519</v>
      </c>
      <c r="B549">
        <v>11.18</v>
      </c>
    </row>
    <row r="550" spans="1:2" x14ac:dyDescent="0.25">
      <c r="A550" s="1">
        <v>39520</v>
      </c>
      <c r="B550">
        <v>11.18</v>
      </c>
    </row>
    <row r="551" spans="1:2" x14ac:dyDescent="0.25">
      <c r="A551" s="1">
        <v>39521</v>
      </c>
      <c r="B551">
        <v>11.18</v>
      </c>
    </row>
    <row r="552" spans="1:2" x14ac:dyDescent="0.25">
      <c r="A552" s="1">
        <v>39524</v>
      </c>
      <c r="B552">
        <v>11.18</v>
      </c>
    </row>
    <row r="553" spans="1:2" x14ac:dyDescent="0.25">
      <c r="A553" s="1">
        <v>39525</v>
      </c>
      <c r="B553">
        <v>11.17</v>
      </c>
    </row>
    <row r="554" spans="1:2" x14ac:dyDescent="0.25">
      <c r="A554" s="1">
        <v>39526</v>
      </c>
      <c r="B554">
        <v>11.18</v>
      </c>
    </row>
    <row r="555" spans="1:2" x14ac:dyDescent="0.25">
      <c r="A555" s="1">
        <v>39527</v>
      </c>
      <c r="B555">
        <v>11.18</v>
      </c>
    </row>
    <row r="556" spans="1:2" x14ac:dyDescent="0.25">
      <c r="A556" s="1">
        <v>39531</v>
      </c>
      <c r="B556">
        <v>11.18</v>
      </c>
    </row>
    <row r="557" spans="1:2" x14ac:dyDescent="0.25">
      <c r="A557" s="1">
        <v>39532</v>
      </c>
      <c r="B557">
        <v>11.18</v>
      </c>
    </row>
    <row r="558" spans="1:2" x14ac:dyDescent="0.25">
      <c r="A558" s="1">
        <v>39533</v>
      </c>
      <c r="B558">
        <v>11.18</v>
      </c>
    </row>
    <row r="559" spans="1:2" x14ac:dyDescent="0.25">
      <c r="A559" s="1">
        <v>39534</v>
      </c>
      <c r="B559">
        <v>11.18</v>
      </c>
    </row>
    <row r="560" spans="1:2" x14ac:dyDescent="0.25">
      <c r="A560" s="1">
        <v>39535</v>
      </c>
      <c r="B560">
        <v>11.18</v>
      </c>
    </row>
    <row r="561" spans="1:2" x14ac:dyDescent="0.25">
      <c r="A561" s="1">
        <v>39538</v>
      </c>
      <c r="B561">
        <v>11.18</v>
      </c>
    </row>
    <row r="562" spans="1:2" x14ac:dyDescent="0.25">
      <c r="A562" s="1">
        <v>39539</v>
      </c>
      <c r="B562">
        <v>11.18</v>
      </c>
    </row>
    <row r="563" spans="1:2" x14ac:dyDescent="0.25">
      <c r="A563" s="1">
        <v>39540</v>
      </c>
      <c r="B563">
        <v>11.13</v>
      </c>
    </row>
    <row r="564" spans="1:2" x14ac:dyDescent="0.25">
      <c r="A564" s="1">
        <v>39541</v>
      </c>
      <c r="B564">
        <v>11.18</v>
      </c>
    </row>
    <row r="565" spans="1:2" x14ac:dyDescent="0.25">
      <c r="A565" s="1">
        <v>39542</v>
      </c>
      <c r="B565">
        <v>11.18</v>
      </c>
    </row>
    <row r="566" spans="1:2" x14ac:dyDescent="0.25">
      <c r="A566" s="1">
        <v>39545</v>
      </c>
      <c r="B566">
        <v>11.18</v>
      </c>
    </row>
    <row r="567" spans="1:2" x14ac:dyDescent="0.25">
      <c r="A567" s="1">
        <v>39546</v>
      </c>
      <c r="B567">
        <v>11.18</v>
      </c>
    </row>
    <row r="568" spans="1:2" x14ac:dyDescent="0.25">
      <c r="A568" s="1">
        <v>39547</v>
      </c>
      <c r="B568">
        <v>11.18</v>
      </c>
    </row>
    <row r="569" spans="1:2" x14ac:dyDescent="0.25">
      <c r="A569" s="1">
        <v>39548</v>
      </c>
      <c r="B569">
        <v>11.18</v>
      </c>
    </row>
    <row r="570" spans="1:2" x14ac:dyDescent="0.25">
      <c r="A570" s="1">
        <v>39549</v>
      </c>
      <c r="B570">
        <v>11.18</v>
      </c>
    </row>
    <row r="571" spans="1:2" x14ac:dyDescent="0.25">
      <c r="A571" s="1">
        <v>39552</v>
      </c>
      <c r="B571">
        <v>11.18</v>
      </c>
    </row>
    <row r="572" spans="1:2" x14ac:dyDescent="0.25">
      <c r="A572" s="1">
        <v>39553</v>
      </c>
      <c r="B572">
        <v>11.18</v>
      </c>
    </row>
    <row r="573" spans="1:2" x14ac:dyDescent="0.25">
      <c r="A573" s="1">
        <v>39554</v>
      </c>
      <c r="B573">
        <v>11.18</v>
      </c>
    </row>
    <row r="574" spans="1:2" x14ac:dyDescent="0.25">
      <c r="A574" s="1">
        <v>39555</v>
      </c>
      <c r="B574">
        <v>11.68</v>
      </c>
    </row>
    <row r="575" spans="1:2" x14ac:dyDescent="0.25">
      <c r="A575" s="1">
        <v>39556</v>
      </c>
      <c r="B575">
        <v>11.65</v>
      </c>
    </row>
    <row r="576" spans="1:2" x14ac:dyDescent="0.25">
      <c r="A576" s="1">
        <v>39560</v>
      </c>
      <c r="B576">
        <v>11.64</v>
      </c>
    </row>
    <row r="577" spans="1:2" x14ac:dyDescent="0.25">
      <c r="A577" s="1">
        <v>39561</v>
      </c>
      <c r="B577">
        <v>11.64</v>
      </c>
    </row>
    <row r="578" spans="1:2" x14ac:dyDescent="0.25">
      <c r="A578" s="1">
        <v>39562</v>
      </c>
      <c r="B578">
        <v>11.62</v>
      </c>
    </row>
    <row r="579" spans="1:2" x14ac:dyDescent="0.25">
      <c r="A579" s="1">
        <v>39563</v>
      </c>
      <c r="B579">
        <v>11.6</v>
      </c>
    </row>
    <row r="580" spans="1:2" x14ac:dyDescent="0.25">
      <c r="A580" s="1">
        <v>39566</v>
      </c>
      <c r="B580">
        <v>11.61</v>
      </c>
    </row>
    <row r="581" spans="1:2" x14ac:dyDescent="0.25">
      <c r="A581" s="1">
        <v>39567</v>
      </c>
      <c r="B581">
        <v>11.61</v>
      </c>
    </row>
    <row r="582" spans="1:2" x14ac:dyDescent="0.25">
      <c r="A582" s="1">
        <v>39568</v>
      </c>
      <c r="B582">
        <v>11.61</v>
      </c>
    </row>
    <row r="583" spans="1:2" x14ac:dyDescent="0.25">
      <c r="A583" s="1">
        <v>39570</v>
      </c>
      <c r="B583">
        <v>11.61</v>
      </c>
    </row>
    <row r="584" spans="1:2" x14ac:dyDescent="0.25">
      <c r="A584" s="1">
        <v>39573</v>
      </c>
      <c r="B584">
        <v>11.61</v>
      </c>
    </row>
    <row r="585" spans="1:2" x14ac:dyDescent="0.25">
      <c r="A585" s="1">
        <v>39574</v>
      </c>
      <c r="B585">
        <v>11.61</v>
      </c>
    </row>
    <row r="586" spans="1:2" x14ac:dyDescent="0.25">
      <c r="A586" s="1">
        <v>39575</v>
      </c>
      <c r="B586">
        <v>11.61</v>
      </c>
    </row>
    <row r="587" spans="1:2" x14ac:dyDescent="0.25">
      <c r="A587" s="1">
        <v>39576</v>
      </c>
      <c r="B587">
        <v>11.6</v>
      </c>
    </row>
    <row r="588" spans="1:2" x14ac:dyDescent="0.25">
      <c r="A588" s="1">
        <v>39577</v>
      </c>
      <c r="B588">
        <v>11.61</v>
      </c>
    </row>
    <row r="589" spans="1:2" x14ac:dyDescent="0.25">
      <c r="A589" s="1">
        <v>39580</v>
      </c>
      <c r="B589">
        <v>11.61</v>
      </c>
    </row>
    <row r="590" spans="1:2" x14ac:dyDescent="0.25">
      <c r="A590" s="1">
        <v>39581</v>
      </c>
      <c r="B590">
        <v>11.62</v>
      </c>
    </row>
    <row r="591" spans="1:2" x14ac:dyDescent="0.25">
      <c r="A591" s="1">
        <v>39582</v>
      </c>
      <c r="B591">
        <v>11.63</v>
      </c>
    </row>
    <row r="592" spans="1:2" x14ac:dyDescent="0.25">
      <c r="A592" s="1">
        <v>39583</v>
      </c>
      <c r="B592">
        <v>11.63</v>
      </c>
    </row>
    <row r="593" spans="1:2" x14ac:dyDescent="0.25">
      <c r="A593" s="1">
        <v>39584</v>
      </c>
      <c r="B593">
        <v>11.64</v>
      </c>
    </row>
    <row r="594" spans="1:2" x14ac:dyDescent="0.25">
      <c r="A594" s="1">
        <v>39587</v>
      </c>
      <c r="B594">
        <v>11.64</v>
      </c>
    </row>
    <row r="595" spans="1:2" x14ac:dyDescent="0.25">
      <c r="A595" s="1">
        <v>39588</v>
      </c>
      <c r="B595">
        <v>11.64</v>
      </c>
    </row>
    <row r="596" spans="1:2" x14ac:dyDescent="0.25">
      <c r="A596" s="1">
        <v>39589</v>
      </c>
      <c r="B596">
        <v>11.64</v>
      </c>
    </row>
    <row r="597" spans="1:2" x14ac:dyDescent="0.25">
      <c r="A597" s="1">
        <v>39591</v>
      </c>
      <c r="B597">
        <v>11.64</v>
      </c>
    </row>
    <row r="598" spans="1:2" x14ac:dyDescent="0.25">
      <c r="A598" s="1">
        <v>39594</v>
      </c>
      <c r="B598">
        <v>11.64</v>
      </c>
    </row>
    <row r="599" spans="1:2" x14ac:dyDescent="0.25">
      <c r="A599" s="1">
        <v>39595</v>
      </c>
      <c r="B599">
        <v>11.64</v>
      </c>
    </row>
    <row r="600" spans="1:2" x14ac:dyDescent="0.25">
      <c r="A600" s="1">
        <v>39596</v>
      </c>
      <c r="B600">
        <v>11.64</v>
      </c>
    </row>
    <row r="601" spans="1:2" x14ac:dyDescent="0.25">
      <c r="A601" s="1">
        <v>39597</v>
      </c>
      <c r="B601">
        <v>11.64</v>
      </c>
    </row>
    <row r="602" spans="1:2" x14ac:dyDescent="0.25">
      <c r="A602" s="1">
        <v>39598</v>
      </c>
      <c r="B602">
        <v>11.64</v>
      </c>
    </row>
    <row r="603" spans="1:2" x14ac:dyDescent="0.25">
      <c r="A603" s="1">
        <v>39601</v>
      </c>
      <c r="B603">
        <v>11.64</v>
      </c>
    </row>
    <row r="604" spans="1:2" x14ac:dyDescent="0.25">
      <c r="A604" s="1">
        <v>39602</v>
      </c>
      <c r="B604">
        <v>11.64</v>
      </c>
    </row>
    <row r="605" spans="1:2" x14ac:dyDescent="0.25">
      <c r="A605" s="1">
        <v>39603</v>
      </c>
      <c r="B605">
        <v>11.64</v>
      </c>
    </row>
    <row r="606" spans="1:2" x14ac:dyDescent="0.25">
      <c r="A606" s="1">
        <v>39604</v>
      </c>
      <c r="B606">
        <v>12.14</v>
      </c>
    </row>
    <row r="607" spans="1:2" x14ac:dyDescent="0.25">
      <c r="A607" s="1">
        <v>39605</v>
      </c>
      <c r="B607">
        <v>12.14</v>
      </c>
    </row>
    <row r="608" spans="1:2" x14ac:dyDescent="0.25">
      <c r="A608" s="1">
        <v>39608</v>
      </c>
      <c r="B608">
        <v>12.14</v>
      </c>
    </row>
    <row r="609" spans="1:2" x14ac:dyDescent="0.25">
      <c r="A609" s="1">
        <v>39609</v>
      </c>
      <c r="B609">
        <v>12.16</v>
      </c>
    </row>
    <row r="610" spans="1:2" x14ac:dyDescent="0.25">
      <c r="A610" s="1">
        <v>39610</v>
      </c>
      <c r="B610">
        <v>12.17</v>
      </c>
    </row>
    <row r="611" spans="1:2" x14ac:dyDescent="0.25">
      <c r="A611" s="1">
        <v>39611</v>
      </c>
      <c r="B611">
        <v>12.17</v>
      </c>
    </row>
    <row r="612" spans="1:2" x14ac:dyDescent="0.25">
      <c r="A612" s="1">
        <v>39612</v>
      </c>
      <c r="B612">
        <v>12.17</v>
      </c>
    </row>
    <row r="613" spans="1:2" x14ac:dyDescent="0.25">
      <c r="A613" s="1">
        <v>39615</v>
      </c>
      <c r="B613">
        <v>12.17</v>
      </c>
    </row>
    <row r="614" spans="1:2" x14ac:dyDescent="0.25">
      <c r="A614" s="1">
        <v>39616</v>
      </c>
      <c r="B614">
        <v>12.17</v>
      </c>
    </row>
    <row r="615" spans="1:2" x14ac:dyDescent="0.25">
      <c r="A615" s="1">
        <v>39617</v>
      </c>
      <c r="B615">
        <v>12.17</v>
      </c>
    </row>
    <row r="616" spans="1:2" x14ac:dyDescent="0.25">
      <c r="A616" s="1">
        <v>39618</v>
      </c>
      <c r="B616">
        <v>12.17</v>
      </c>
    </row>
    <row r="617" spans="1:2" x14ac:dyDescent="0.25">
      <c r="A617" s="1">
        <v>39619</v>
      </c>
      <c r="B617">
        <v>12.17</v>
      </c>
    </row>
    <row r="618" spans="1:2" x14ac:dyDescent="0.25">
      <c r="A618" s="1">
        <v>39622</v>
      </c>
      <c r="B618">
        <v>12.17</v>
      </c>
    </row>
    <row r="619" spans="1:2" x14ac:dyDescent="0.25">
      <c r="A619" s="1">
        <v>39623</v>
      </c>
      <c r="B619">
        <v>12.17</v>
      </c>
    </row>
    <row r="620" spans="1:2" x14ac:dyDescent="0.25">
      <c r="A620" s="1">
        <v>39624</v>
      </c>
      <c r="B620">
        <v>12.17</v>
      </c>
    </row>
    <row r="621" spans="1:2" x14ac:dyDescent="0.25">
      <c r="A621" s="1">
        <v>39625</v>
      </c>
      <c r="B621">
        <v>12.17</v>
      </c>
    </row>
    <row r="622" spans="1:2" x14ac:dyDescent="0.25">
      <c r="A622" s="1">
        <v>39626</v>
      </c>
      <c r="B622">
        <v>12.17</v>
      </c>
    </row>
    <row r="623" spans="1:2" x14ac:dyDescent="0.25">
      <c r="A623" s="1">
        <v>39629</v>
      </c>
      <c r="B623">
        <v>12.17</v>
      </c>
    </row>
    <row r="624" spans="1:2" x14ac:dyDescent="0.25">
      <c r="A624" s="1">
        <v>39630</v>
      </c>
      <c r="B624">
        <v>12.17</v>
      </c>
    </row>
    <row r="625" spans="1:2" x14ac:dyDescent="0.25">
      <c r="A625" s="1">
        <v>39631</v>
      </c>
      <c r="B625">
        <v>12.17</v>
      </c>
    </row>
    <row r="626" spans="1:2" x14ac:dyDescent="0.25">
      <c r="A626" s="1">
        <v>39632</v>
      </c>
      <c r="B626">
        <v>12.17</v>
      </c>
    </row>
    <row r="627" spans="1:2" x14ac:dyDescent="0.25">
      <c r="A627" s="1">
        <v>39633</v>
      </c>
      <c r="B627">
        <v>12.17</v>
      </c>
    </row>
    <row r="628" spans="1:2" x14ac:dyDescent="0.25">
      <c r="A628" s="1">
        <v>39636</v>
      </c>
      <c r="B628">
        <v>12.17</v>
      </c>
    </row>
    <row r="629" spans="1:2" x14ac:dyDescent="0.25">
      <c r="A629" s="1">
        <v>39637</v>
      </c>
      <c r="B629">
        <v>12.17</v>
      </c>
    </row>
    <row r="630" spans="1:2" x14ac:dyDescent="0.25">
      <c r="A630" s="1">
        <v>39638</v>
      </c>
      <c r="B630">
        <v>12.17</v>
      </c>
    </row>
    <row r="631" spans="1:2" x14ac:dyDescent="0.25">
      <c r="A631" s="1">
        <v>39639</v>
      </c>
      <c r="B631">
        <v>12.17</v>
      </c>
    </row>
    <row r="632" spans="1:2" x14ac:dyDescent="0.25">
      <c r="A632" s="1">
        <v>39640</v>
      </c>
      <c r="B632">
        <v>12.17</v>
      </c>
    </row>
    <row r="633" spans="1:2" x14ac:dyDescent="0.25">
      <c r="A633" s="1">
        <v>39643</v>
      </c>
      <c r="B633">
        <v>12.17</v>
      </c>
    </row>
    <row r="634" spans="1:2" x14ac:dyDescent="0.25">
      <c r="A634" s="1">
        <v>39644</v>
      </c>
      <c r="B634">
        <v>12.17</v>
      </c>
    </row>
    <row r="635" spans="1:2" x14ac:dyDescent="0.25">
      <c r="A635" s="1">
        <v>39645</v>
      </c>
      <c r="B635">
        <v>12.17</v>
      </c>
    </row>
    <row r="636" spans="1:2" x14ac:dyDescent="0.25">
      <c r="A636" s="1">
        <v>39646</v>
      </c>
      <c r="B636">
        <v>12.17</v>
      </c>
    </row>
    <row r="637" spans="1:2" x14ac:dyDescent="0.25">
      <c r="A637" s="1">
        <v>39647</v>
      </c>
      <c r="B637">
        <v>12.17</v>
      </c>
    </row>
    <row r="638" spans="1:2" x14ac:dyDescent="0.25">
      <c r="A638" s="1">
        <v>39650</v>
      </c>
      <c r="B638">
        <v>12.17</v>
      </c>
    </row>
    <row r="639" spans="1:2" x14ac:dyDescent="0.25">
      <c r="A639" s="1">
        <v>39651</v>
      </c>
      <c r="B639">
        <v>12.17</v>
      </c>
    </row>
    <row r="640" spans="1:2" x14ac:dyDescent="0.25">
      <c r="A640" s="1">
        <v>39652</v>
      </c>
      <c r="B640">
        <v>12.16</v>
      </c>
    </row>
    <row r="641" spans="1:2" x14ac:dyDescent="0.25">
      <c r="A641" s="1">
        <v>39653</v>
      </c>
      <c r="B641">
        <v>12.91</v>
      </c>
    </row>
    <row r="642" spans="1:2" x14ac:dyDescent="0.25">
      <c r="A642" s="1">
        <v>39654</v>
      </c>
      <c r="B642">
        <v>12.92</v>
      </c>
    </row>
    <row r="643" spans="1:2" x14ac:dyDescent="0.25">
      <c r="A643" s="1">
        <v>39657</v>
      </c>
      <c r="B643">
        <v>12.92</v>
      </c>
    </row>
    <row r="644" spans="1:2" x14ac:dyDescent="0.25">
      <c r="A644" s="1">
        <v>39658</v>
      </c>
      <c r="B644">
        <v>12.92</v>
      </c>
    </row>
    <row r="645" spans="1:2" x14ac:dyDescent="0.25">
      <c r="A645" s="1">
        <v>39659</v>
      </c>
      <c r="B645">
        <v>12.92</v>
      </c>
    </row>
    <row r="646" spans="1:2" x14ac:dyDescent="0.25">
      <c r="A646" s="1">
        <v>39660</v>
      </c>
      <c r="B646">
        <v>12.92</v>
      </c>
    </row>
    <row r="647" spans="1:2" x14ac:dyDescent="0.25">
      <c r="A647" s="1">
        <v>39661</v>
      </c>
      <c r="B647">
        <v>12.92</v>
      </c>
    </row>
    <row r="648" spans="1:2" x14ac:dyDescent="0.25">
      <c r="A648" s="1">
        <v>39664</v>
      </c>
      <c r="B648">
        <v>12.92</v>
      </c>
    </row>
    <row r="649" spans="1:2" x14ac:dyDescent="0.25">
      <c r="A649" s="1">
        <v>39665</v>
      </c>
      <c r="B649">
        <v>12.92</v>
      </c>
    </row>
    <row r="650" spans="1:2" x14ac:dyDescent="0.25">
      <c r="A650" s="1">
        <v>39666</v>
      </c>
      <c r="B650">
        <v>12.92</v>
      </c>
    </row>
    <row r="651" spans="1:2" x14ac:dyDescent="0.25">
      <c r="A651" s="1">
        <v>39667</v>
      </c>
      <c r="B651">
        <v>12.92</v>
      </c>
    </row>
    <row r="652" spans="1:2" x14ac:dyDescent="0.25">
      <c r="A652" s="1">
        <v>39668</v>
      </c>
      <c r="B652">
        <v>12.92</v>
      </c>
    </row>
    <row r="653" spans="1:2" x14ac:dyDescent="0.25">
      <c r="A653" s="1">
        <v>39671</v>
      </c>
      <c r="B653">
        <v>12.92</v>
      </c>
    </row>
    <row r="654" spans="1:2" x14ac:dyDescent="0.25">
      <c r="A654" s="1">
        <v>39672</v>
      </c>
      <c r="B654">
        <v>12.91</v>
      </c>
    </row>
    <row r="655" spans="1:2" x14ac:dyDescent="0.25">
      <c r="A655" s="1">
        <v>39673</v>
      </c>
      <c r="B655">
        <v>12.91</v>
      </c>
    </row>
    <row r="656" spans="1:2" x14ac:dyDescent="0.25">
      <c r="A656" s="1">
        <v>39674</v>
      </c>
      <c r="B656">
        <v>12.92</v>
      </c>
    </row>
    <row r="657" spans="1:2" x14ac:dyDescent="0.25">
      <c r="A657" s="1">
        <v>39675</v>
      </c>
      <c r="B657">
        <v>12.92</v>
      </c>
    </row>
    <row r="658" spans="1:2" x14ac:dyDescent="0.25">
      <c r="A658" s="1">
        <v>39678</v>
      </c>
      <c r="B658">
        <v>12.92</v>
      </c>
    </row>
    <row r="659" spans="1:2" x14ac:dyDescent="0.25">
      <c r="A659" s="1">
        <v>39679</v>
      </c>
      <c r="B659">
        <v>12.92</v>
      </c>
    </row>
    <row r="660" spans="1:2" x14ac:dyDescent="0.25">
      <c r="A660" s="1">
        <v>39680</v>
      </c>
      <c r="B660">
        <v>12.92</v>
      </c>
    </row>
    <row r="661" spans="1:2" x14ac:dyDescent="0.25">
      <c r="A661" s="1">
        <v>39681</v>
      </c>
      <c r="B661">
        <v>12.92</v>
      </c>
    </row>
    <row r="662" spans="1:2" x14ac:dyDescent="0.25">
      <c r="A662" s="1">
        <v>39682</v>
      </c>
      <c r="B662">
        <v>12.92</v>
      </c>
    </row>
    <row r="663" spans="1:2" x14ac:dyDescent="0.25">
      <c r="A663" s="1">
        <v>39685</v>
      </c>
      <c r="B663">
        <v>12.92</v>
      </c>
    </row>
    <row r="664" spans="1:2" x14ac:dyDescent="0.25">
      <c r="A664" s="1">
        <v>39686</v>
      </c>
      <c r="B664">
        <v>12.92</v>
      </c>
    </row>
    <row r="665" spans="1:2" x14ac:dyDescent="0.25">
      <c r="A665" s="1">
        <v>39687</v>
      </c>
      <c r="B665">
        <v>12.92</v>
      </c>
    </row>
    <row r="666" spans="1:2" x14ac:dyDescent="0.25">
      <c r="A666" s="1">
        <v>39688</v>
      </c>
      <c r="B666">
        <v>12.92</v>
      </c>
    </row>
    <row r="667" spans="1:2" x14ac:dyDescent="0.25">
      <c r="A667" s="1">
        <v>39689</v>
      </c>
      <c r="B667">
        <v>12.92</v>
      </c>
    </row>
    <row r="668" spans="1:2" x14ac:dyDescent="0.25">
      <c r="A668" s="1">
        <v>39692</v>
      </c>
      <c r="B668">
        <v>12.91</v>
      </c>
    </row>
    <row r="669" spans="1:2" x14ac:dyDescent="0.25">
      <c r="A669" s="1">
        <v>39693</v>
      </c>
      <c r="B669">
        <v>12.92</v>
      </c>
    </row>
    <row r="670" spans="1:2" x14ac:dyDescent="0.25">
      <c r="A670" s="1">
        <v>39694</v>
      </c>
      <c r="B670">
        <v>12.92</v>
      </c>
    </row>
    <row r="671" spans="1:2" x14ac:dyDescent="0.25">
      <c r="A671" s="1">
        <v>39695</v>
      </c>
      <c r="B671">
        <v>12.92</v>
      </c>
    </row>
    <row r="672" spans="1:2" x14ac:dyDescent="0.25">
      <c r="A672" s="1">
        <v>39696</v>
      </c>
      <c r="B672">
        <v>12.92</v>
      </c>
    </row>
    <row r="673" spans="1:2" x14ac:dyDescent="0.25">
      <c r="A673" s="1">
        <v>39699</v>
      </c>
      <c r="B673">
        <v>12.91</v>
      </c>
    </row>
    <row r="674" spans="1:2" x14ac:dyDescent="0.25">
      <c r="A674" s="1">
        <v>39700</v>
      </c>
      <c r="B674">
        <v>12.92</v>
      </c>
    </row>
    <row r="675" spans="1:2" x14ac:dyDescent="0.25">
      <c r="A675" s="1">
        <v>39701</v>
      </c>
      <c r="B675">
        <v>12.92</v>
      </c>
    </row>
    <row r="676" spans="1:2" x14ac:dyDescent="0.25">
      <c r="A676" s="1">
        <v>39702</v>
      </c>
      <c r="B676">
        <v>13.66</v>
      </c>
    </row>
    <row r="677" spans="1:2" x14ac:dyDescent="0.25">
      <c r="A677" s="1">
        <v>39703</v>
      </c>
      <c r="B677">
        <v>13.66</v>
      </c>
    </row>
    <row r="678" spans="1:2" x14ac:dyDescent="0.25">
      <c r="A678" s="1">
        <v>39706</v>
      </c>
      <c r="B678">
        <v>13.66</v>
      </c>
    </row>
    <row r="679" spans="1:2" x14ac:dyDescent="0.25">
      <c r="A679" s="1">
        <v>39707</v>
      </c>
      <c r="B679">
        <v>13.66</v>
      </c>
    </row>
    <row r="680" spans="1:2" x14ac:dyDescent="0.25">
      <c r="A680" s="1">
        <v>39708</v>
      </c>
      <c r="B680">
        <v>13.66</v>
      </c>
    </row>
    <row r="681" spans="1:2" x14ac:dyDescent="0.25">
      <c r="A681" s="1">
        <v>39709</v>
      </c>
      <c r="B681">
        <v>13.66</v>
      </c>
    </row>
    <row r="682" spans="1:2" x14ac:dyDescent="0.25">
      <c r="A682" s="1">
        <v>39710</v>
      </c>
      <c r="B682">
        <v>13.66</v>
      </c>
    </row>
    <row r="683" spans="1:2" x14ac:dyDescent="0.25">
      <c r="A683" s="1">
        <v>39713</v>
      </c>
      <c r="B683">
        <v>13.66</v>
      </c>
    </row>
    <row r="684" spans="1:2" x14ac:dyDescent="0.25">
      <c r="A684" s="1">
        <v>39714</v>
      </c>
      <c r="B684">
        <v>13.66</v>
      </c>
    </row>
    <row r="685" spans="1:2" x14ac:dyDescent="0.25">
      <c r="A685" s="1">
        <v>39715</v>
      </c>
      <c r="B685">
        <v>13.66</v>
      </c>
    </row>
    <row r="686" spans="1:2" x14ac:dyDescent="0.25">
      <c r="A686" s="1">
        <v>39716</v>
      </c>
      <c r="B686">
        <v>13.66</v>
      </c>
    </row>
    <row r="687" spans="1:2" x14ac:dyDescent="0.25">
      <c r="A687" s="1">
        <v>39717</v>
      </c>
      <c r="B687">
        <v>13.66</v>
      </c>
    </row>
    <row r="688" spans="1:2" x14ac:dyDescent="0.25">
      <c r="A688" s="1">
        <v>39720</v>
      </c>
      <c r="B688">
        <v>13.67</v>
      </c>
    </row>
    <row r="689" spans="1:2" x14ac:dyDescent="0.25">
      <c r="A689" s="1">
        <v>39721</v>
      </c>
      <c r="B689">
        <v>13.66</v>
      </c>
    </row>
    <row r="690" spans="1:2" x14ac:dyDescent="0.25">
      <c r="A690" s="1">
        <v>39722</v>
      </c>
      <c r="B690">
        <v>13.66</v>
      </c>
    </row>
    <row r="691" spans="1:2" x14ac:dyDescent="0.25">
      <c r="A691" s="1">
        <v>39723</v>
      </c>
      <c r="B691">
        <v>13.67</v>
      </c>
    </row>
    <row r="692" spans="1:2" x14ac:dyDescent="0.25">
      <c r="A692" s="1">
        <v>39724</v>
      </c>
      <c r="B692">
        <v>13.67</v>
      </c>
    </row>
    <row r="693" spans="1:2" x14ac:dyDescent="0.25">
      <c r="A693" s="1">
        <v>39727</v>
      </c>
      <c r="B693">
        <v>13.67</v>
      </c>
    </row>
    <row r="694" spans="1:2" x14ac:dyDescent="0.25">
      <c r="A694" s="1">
        <v>39728</v>
      </c>
      <c r="B694">
        <v>13.67</v>
      </c>
    </row>
    <row r="695" spans="1:2" x14ac:dyDescent="0.25">
      <c r="A695" s="1">
        <v>39729</v>
      </c>
      <c r="B695">
        <v>13.67</v>
      </c>
    </row>
    <row r="696" spans="1:2" x14ac:dyDescent="0.25">
      <c r="A696" s="1">
        <v>39730</v>
      </c>
      <c r="B696">
        <v>13.67</v>
      </c>
    </row>
    <row r="697" spans="1:2" x14ac:dyDescent="0.25">
      <c r="A697" s="1">
        <v>39731</v>
      </c>
      <c r="B697">
        <v>13.67</v>
      </c>
    </row>
    <row r="698" spans="1:2" x14ac:dyDescent="0.25">
      <c r="A698" s="1">
        <v>39734</v>
      </c>
      <c r="B698">
        <v>13.67</v>
      </c>
    </row>
    <row r="699" spans="1:2" x14ac:dyDescent="0.25">
      <c r="A699" s="1">
        <v>39735</v>
      </c>
      <c r="B699">
        <v>13.67</v>
      </c>
    </row>
    <row r="700" spans="1:2" x14ac:dyDescent="0.25">
      <c r="A700" s="1">
        <v>39736</v>
      </c>
      <c r="B700">
        <v>13.67</v>
      </c>
    </row>
    <row r="701" spans="1:2" x14ac:dyDescent="0.25">
      <c r="A701" s="1">
        <v>39737</v>
      </c>
      <c r="B701">
        <v>13.66</v>
      </c>
    </row>
    <row r="702" spans="1:2" x14ac:dyDescent="0.25">
      <c r="A702" s="1">
        <v>39738</v>
      </c>
      <c r="B702">
        <v>13.66</v>
      </c>
    </row>
    <row r="703" spans="1:2" x14ac:dyDescent="0.25">
      <c r="A703" s="1">
        <v>39741</v>
      </c>
      <c r="B703">
        <v>13.66</v>
      </c>
    </row>
    <row r="704" spans="1:2" x14ac:dyDescent="0.25">
      <c r="A704" s="1">
        <v>39742</v>
      </c>
      <c r="B704">
        <v>13.66</v>
      </c>
    </row>
    <row r="705" spans="1:2" x14ac:dyDescent="0.25">
      <c r="A705" s="1">
        <v>39743</v>
      </c>
      <c r="B705">
        <v>13.66</v>
      </c>
    </row>
    <row r="706" spans="1:2" x14ac:dyDescent="0.25">
      <c r="A706" s="1">
        <v>39744</v>
      </c>
      <c r="B706">
        <v>13.66</v>
      </c>
    </row>
    <row r="707" spans="1:2" x14ac:dyDescent="0.25">
      <c r="A707" s="1">
        <v>39745</v>
      </c>
      <c r="B707">
        <v>13.66</v>
      </c>
    </row>
    <row r="708" spans="1:2" x14ac:dyDescent="0.25">
      <c r="A708" s="1">
        <v>39748</v>
      </c>
      <c r="B708">
        <v>13.66</v>
      </c>
    </row>
    <row r="709" spans="1:2" x14ac:dyDescent="0.25">
      <c r="A709" s="1">
        <v>39749</v>
      </c>
      <c r="B709">
        <v>13.66</v>
      </c>
    </row>
    <row r="710" spans="1:2" x14ac:dyDescent="0.25">
      <c r="A710" s="1">
        <v>39750</v>
      </c>
      <c r="B710">
        <v>13.67</v>
      </c>
    </row>
    <row r="711" spans="1:2" x14ac:dyDescent="0.25">
      <c r="A711" s="1">
        <v>39751</v>
      </c>
      <c r="B711">
        <v>13.67</v>
      </c>
    </row>
    <row r="712" spans="1:2" x14ac:dyDescent="0.25">
      <c r="A712" s="1">
        <v>39752</v>
      </c>
      <c r="B712">
        <v>13.65</v>
      </c>
    </row>
    <row r="713" spans="1:2" x14ac:dyDescent="0.25">
      <c r="A713" s="1">
        <v>39755</v>
      </c>
      <c r="B713">
        <v>13.65</v>
      </c>
    </row>
    <row r="714" spans="1:2" x14ac:dyDescent="0.25">
      <c r="A714" s="1">
        <v>39756</v>
      </c>
      <c r="B714">
        <v>13.65</v>
      </c>
    </row>
    <row r="715" spans="1:2" x14ac:dyDescent="0.25">
      <c r="A715" s="1">
        <v>39757</v>
      </c>
      <c r="B715">
        <v>13.65</v>
      </c>
    </row>
    <row r="716" spans="1:2" x14ac:dyDescent="0.25">
      <c r="A716" s="1">
        <v>39758</v>
      </c>
      <c r="B716">
        <v>13.65</v>
      </c>
    </row>
    <row r="717" spans="1:2" x14ac:dyDescent="0.25">
      <c r="A717" s="1">
        <v>39759</v>
      </c>
      <c r="B717">
        <v>13.64</v>
      </c>
    </row>
    <row r="718" spans="1:2" x14ac:dyDescent="0.25">
      <c r="A718" s="1">
        <v>39762</v>
      </c>
      <c r="B718">
        <v>13.64</v>
      </c>
    </row>
    <row r="719" spans="1:2" x14ac:dyDescent="0.25">
      <c r="A719" s="1">
        <v>39763</v>
      </c>
      <c r="B719">
        <v>13.64</v>
      </c>
    </row>
    <row r="720" spans="1:2" x14ac:dyDescent="0.25">
      <c r="A720" s="1">
        <v>39764</v>
      </c>
      <c r="B720">
        <v>13.64</v>
      </c>
    </row>
    <row r="721" spans="1:2" x14ac:dyDescent="0.25">
      <c r="A721" s="1">
        <v>39765</v>
      </c>
      <c r="B721">
        <v>13.64</v>
      </c>
    </row>
    <row r="722" spans="1:2" x14ac:dyDescent="0.25">
      <c r="A722" s="1">
        <v>39766</v>
      </c>
      <c r="B722">
        <v>13.63</v>
      </c>
    </row>
    <row r="723" spans="1:2" x14ac:dyDescent="0.25">
      <c r="A723" s="1">
        <v>39769</v>
      </c>
      <c r="B723">
        <v>13.63</v>
      </c>
    </row>
    <row r="724" spans="1:2" x14ac:dyDescent="0.25">
      <c r="A724" s="1">
        <v>39770</v>
      </c>
      <c r="B724">
        <v>13.63</v>
      </c>
    </row>
    <row r="725" spans="1:2" x14ac:dyDescent="0.25">
      <c r="A725" s="1">
        <v>39771</v>
      </c>
      <c r="B725">
        <v>13.64</v>
      </c>
    </row>
    <row r="726" spans="1:2" x14ac:dyDescent="0.25">
      <c r="A726" s="1">
        <v>39772</v>
      </c>
      <c r="B726">
        <v>13.63</v>
      </c>
    </row>
    <row r="727" spans="1:2" x14ac:dyDescent="0.25">
      <c r="A727" s="1">
        <v>39773</v>
      </c>
      <c r="B727">
        <v>13.63</v>
      </c>
    </row>
    <row r="728" spans="1:2" x14ac:dyDescent="0.25">
      <c r="A728" s="1">
        <v>39776</v>
      </c>
      <c r="B728">
        <v>13.64</v>
      </c>
    </row>
    <row r="729" spans="1:2" x14ac:dyDescent="0.25">
      <c r="A729" s="1">
        <v>39777</v>
      </c>
      <c r="B729">
        <v>13.64</v>
      </c>
    </row>
    <row r="730" spans="1:2" x14ac:dyDescent="0.25">
      <c r="A730" s="1">
        <v>39778</v>
      </c>
      <c r="B730">
        <v>13.64</v>
      </c>
    </row>
    <row r="731" spans="1:2" x14ac:dyDescent="0.25">
      <c r="A731" s="1">
        <v>39779</v>
      </c>
      <c r="B731">
        <v>13.64</v>
      </c>
    </row>
    <row r="732" spans="1:2" x14ac:dyDescent="0.25">
      <c r="A732" s="1">
        <v>39780</v>
      </c>
      <c r="B732">
        <v>13.65</v>
      </c>
    </row>
    <row r="733" spans="1:2" x14ac:dyDescent="0.25">
      <c r="A733" s="1">
        <v>39783</v>
      </c>
      <c r="B733">
        <v>13.65</v>
      </c>
    </row>
    <row r="734" spans="1:2" x14ac:dyDescent="0.25">
      <c r="A734" s="1">
        <v>39784</v>
      </c>
      <c r="B734">
        <v>13.66</v>
      </c>
    </row>
    <row r="735" spans="1:2" x14ac:dyDescent="0.25">
      <c r="A735" s="1">
        <v>39785</v>
      </c>
      <c r="B735">
        <v>13.66</v>
      </c>
    </row>
    <row r="736" spans="1:2" x14ac:dyDescent="0.25">
      <c r="A736" s="1">
        <v>39786</v>
      </c>
      <c r="B736">
        <v>13.66</v>
      </c>
    </row>
    <row r="737" spans="1:2" x14ac:dyDescent="0.25">
      <c r="A737" s="1">
        <v>39787</v>
      </c>
      <c r="B737">
        <v>13.66</v>
      </c>
    </row>
    <row r="738" spans="1:2" x14ac:dyDescent="0.25">
      <c r="A738" s="1">
        <v>39790</v>
      </c>
      <c r="B738">
        <v>13.66</v>
      </c>
    </row>
    <row r="739" spans="1:2" x14ac:dyDescent="0.25">
      <c r="A739" s="1">
        <v>39791</v>
      </c>
      <c r="B739">
        <v>13.66</v>
      </c>
    </row>
    <row r="740" spans="1:2" x14ac:dyDescent="0.25">
      <c r="A740" s="1">
        <v>39792</v>
      </c>
      <c r="B740">
        <v>13.66</v>
      </c>
    </row>
    <row r="741" spans="1:2" x14ac:dyDescent="0.25">
      <c r="A741" s="1">
        <v>39793</v>
      </c>
      <c r="B741">
        <v>13.66</v>
      </c>
    </row>
    <row r="742" spans="1:2" x14ac:dyDescent="0.25">
      <c r="A742" s="1">
        <v>39794</v>
      </c>
      <c r="B742">
        <v>13.66</v>
      </c>
    </row>
    <row r="743" spans="1:2" x14ac:dyDescent="0.25">
      <c r="A743" s="1">
        <v>39797</v>
      </c>
      <c r="B743">
        <v>13.66</v>
      </c>
    </row>
    <row r="744" spans="1:2" x14ac:dyDescent="0.25">
      <c r="A744" s="1">
        <v>39798</v>
      </c>
      <c r="B744">
        <v>13.66</v>
      </c>
    </row>
    <row r="745" spans="1:2" x14ac:dyDescent="0.25">
      <c r="A745" s="1">
        <v>39799</v>
      </c>
      <c r="B745">
        <v>13.66</v>
      </c>
    </row>
    <row r="746" spans="1:2" x14ac:dyDescent="0.25">
      <c r="A746" s="1">
        <v>39800</v>
      </c>
      <c r="B746">
        <v>13.66</v>
      </c>
    </row>
    <row r="747" spans="1:2" x14ac:dyDescent="0.25">
      <c r="A747" s="1">
        <v>39801</v>
      </c>
      <c r="B747">
        <v>13.66</v>
      </c>
    </row>
    <row r="748" spans="1:2" x14ac:dyDescent="0.25">
      <c r="A748" s="1">
        <v>39804</v>
      </c>
      <c r="B748">
        <v>13.66</v>
      </c>
    </row>
    <row r="749" spans="1:2" x14ac:dyDescent="0.25">
      <c r="A749" s="1">
        <v>39805</v>
      </c>
      <c r="B749">
        <v>13.66</v>
      </c>
    </row>
    <row r="750" spans="1:2" x14ac:dyDescent="0.25">
      <c r="A750" s="1">
        <v>39806</v>
      </c>
      <c r="B750">
        <v>13.66</v>
      </c>
    </row>
    <row r="751" spans="1:2" x14ac:dyDescent="0.25">
      <c r="A751" s="1">
        <v>39808</v>
      </c>
      <c r="B751">
        <v>13.66</v>
      </c>
    </row>
    <row r="752" spans="1:2" x14ac:dyDescent="0.25">
      <c r="A752" s="1">
        <v>39811</v>
      </c>
      <c r="B752">
        <v>13.66</v>
      </c>
    </row>
    <row r="753" spans="1:2" x14ac:dyDescent="0.25">
      <c r="A753" s="1">
        <v>39812</v>
      </c>
      <c r="B753">
        <v>13.66</v>
      </c>
    </row>
    <row r="754" spans="1:2" x14ac:dyDescent="0.25">
      <c r="A754" s="1">
        <v>39813</v>
      </c>
      <c r="B754">
        <v>13.67</v>
      </c>
    </row>
    <row r="755" spans="1:2" x14ac:dyDescent="0.25">
      <c r="A755" s="1">
        <v>39815</v>
      </c>
      <c r="B755">
        <v>13.67</v>
      </c>
    </row>
    <row r="756" spans="1:2" x14ac:dyDescent="0.25">
      <c r="A756" s="1">
        <v>39818</v>
      </c>
      <c r="B756">
        <v>13.66</v>
      </c>
    </row>
    <row r="757" spans="1:2" x14ac:dyDescent="0.25">
      <c r="A757" s="1">
        <v>39819</v>
      </c>
      <c r="B757">
        <v>13.66</v>
      </c>
    </row>
    <row r="758" spans="1:2" x14ac:dyDescent="0.25">
      <c r="A758" s="1">
        <v>39820</v>
      </c>
      <c r="B758">
        <v>13.66</v>
      </c>
    </row>
    <row r="759" spans="1:2" x14ac:dyDescent="0.25">
      <c r="A759" s="1">
        <v>39821</v>
      </c>
      <c r="B759">
        <v>13.66</v>
      </c>
    </row>
    <row r="760" spans="1:2" x14ac:dyDescent="0.25">
      <c r="A760" s="1">
        <v>39822</v>
      </c>
      <c r="B760">
        <v>13.66</v>
      </c>
    </row>
    <row r="761" spans="1:2" x14ac:dyDescent="0.25">
      <c r="A761" s="1">
        <v>39825</v>
      </c>
      <c r="B761">
        <v>13.66</v>
      </c>
    </row>
    <row r="762" spans="1:2" x14ac:dyDescent="0.25">
      <c r="A762" s="1">
        <v>39826</v>
      </c>
      <c r="B762">
        <v>13.66</v>
      </c>
    </row>
    <row r="763" spans="1:2" x14ac:dyDescent="0.25">
      <c r="A763" s="1">
        <v>39827</v>
      </c>
      <c r="B763">
        <v>13.66</v>
      </c>
    </row>
    <row r="764" spans="1:2" x14ac:dyDescent="0.25">
      <c r="A764" s="1">
        <v>39828</v>
      </c>
      <c r="B764">
        <v>13.66</v>
      </c>
    </row>
    <row r="765" spans="1:2" x14ac:dyDescent="0.25">
      <c r="A765" s="1">
        <v>39829</v>
      </c>
      <c r="B765">
        <v>13.66</v>
      </c>
    </row>
    <row r="766" spans="1:2" x14ac:dyDescent="0.25">
      <c r="A766" s="1">
        <v>39832</v>
      </c>
      <c r="B766">
        <v>13.66</v>
      </c>
    </row>
    <row r="767" spans="1:2" x14ac:dyDescent="0.25">
      <c r="A767" s="1">
        <v>39833</v>
      </c>
      <c r="B767">
        <v>13.65</v>
      </c>
    </row>
    <row r="768" spans="1:2" x14ac:dyDescent="0.25">
      <c r="A768" s="1">
        <v>39834</v>
      </c>
      <c r="B768">
        <v>13.65</v>
      </c>
    </row>
    <row r="769" spans="1:2" x14ac:dyDescent="0.25">
      <c r="A769" s="1">
        <v>39835</v>
      </c>
      <c r="B769">
        <v>12.65</v>
      </c>
    </row>
    <row r="770" spans="1:2" x14ac:dyDescent="0.25">
      <c r="A770" s="1">
        <v>39836</v>
      </c>
      <c r="B770">
        <v>12.66</v>
      </c>
    </row>
    <row r="771" spans="1:2" x14ac:dyDescent="0.25">
      <c r="A771" s="1">
        <v>39839</v>
      </c>
      <c r="B771">
        <v>12.65</v>
      </c>
    </row>
    <row r="772" spans="1:2" x14ac:dyDescent="0.25">
      <c r="A772" s="1">
        <v>39840</v>
      </c>
      <c r="B772">
        <v>12.66</v>
      </c>
    </row>
    <row r="773" spans="1:2" x14ac:dyDescent="0.25">
      <c r="A773" s="1">
        <v>39841</v>
      </c>
      <c r="B773">
        <v>12.66</v>
      </c>
    </row>
    <row r="774" spans="1:2" x14ac:dyDescent="0.25">
      <c r="A774" s="1">
        <v>39842</v>
      </c>
      <c r="B774">
        <v>12.66</v>
      </c>
    </row>
    <row r="775" spans="1:2" x14ac:dyDescent="0.25">
      <c r="A775" s="1">
        <v>39843</v>
      </c>
      <c r="B775">
        <v>12.66</v>
      </c>
    </row>
    <row r="776" spans="1:2" x14ac:dyDescent="0.25">
      <c r="A776" s="1">
        <v>39846</v>
      </c>
      <c r="B776">
        <v>12.66</v>
      </c>
    </row>
    <row r="777" spans="1:2" x14ac:dyDescent="0.25">
      <c r="A777" s="1">
        <v>39847</v>
      </c>
      <c r="B777">
        <v>12.66</v>
      </c>
    </row>
    <row r="778" spans="1:2" x14ac:dyDescent="0.25">
      <c r="A778" s="1">
        <v>39848</v>
      </c>
      <c r="B778">
        <v>12.66</v>
      </c>
    </row>
    <row r="779" spans="1:2" x14ac:dyDescent="0.25">
      <c r="A779" s="1">
        <v>39849</v>
      </c>
      <c r="B779">
        <v>12.66</v>
      </c>
    </row>
    <row r="780" spans="1:2" x14ac:dyDescent="0.25">
      <c r="A780" s="1">
        <v>39850</v>
      </c>
      <c r="B780">
        <v>12.66</v>
      </c>
    </row>
    <row r="781" spans="1:2" x14ac:dyDescent="0.25">
      <c r="A781" s="1">
        <v>39853</v>
      </c>
      <c r="B781">
        <v>12.66</v>
      </c>
    </row>
    <row r="782" spans="1:2" x14ac:dyDescent="0.25">
      <c r="A782" s="1">
        <v>39854</v>
      </c>
      <c r="B782">
        <v>12.66</v>
      </c>
    </row>
    <row r="783" spans="1:2" x14ac:dyDescent="0.25">
      <c r="A783" s="1">
        <v>39855</v>
      </c>
      <c r="B783">
        <v>12.66</v>
      </c>
    </row>
    <row r="784" spans="1:2" x14ac:dyDescent="0.25">
      <c r="A784" s="1">
        <v>39856</v>
      </c>
      <c r="B784">
        <v>12.66</v>
      </c>
    </row>
    <row r="785" spans="1:2" x14ac:dyDescent="0.25">
      <c r="A785" s="1">
        <v>39857</v>
      </c>
      <c r="B785">
        <v>12.66</v>
      </c>
    </row>
    <row r="786" spans="1:2" x14ac:dyDescent="0.25">
      <c r="A786" s="1">
        <v>39860</v>
      </c>
      <c r="B786">
        <v>12.66</v>
      </c>
    </row>
    <row r="787" spans="1:2" x14ac:dyDescent="0.25">
      <c r="A787" s="1">
        <v>39861</v>
      </c>
      <c r="B787">
        <v>12.66</v>
      </c>
    </row>
    <row r="788" spans="1:2" x14ac:dyDescent="0.25">
      <c r="A788" s="1">
        <v>39862</v>
      </c>
      <c r="B788">
        <v>12.66</v>
      </c>
    </row>
    <row r="789" spans="1:2" x14ac:dyDescent="0.25">
      <c r="A789" s="1">
        <v>39863</v>
      </c>
      <c r="B789">
        <v>12.66</v>
      </c>
    </row>
    <row r="790" spans="1:2" x14ac:dyDescent="0.25">
      <c r="A790" s="1">
        <v>39864</v>
      </c>
      <c r="B790">
        <v>12.66</v>
      </c>
    </row>
    <row r="791" spans="1:2" x14ac:dyDescent="0.25">
      <c r="A791" s="1">
        <v>39869</v>
      </c>
      <c r="B791">
        <v>12.66</v>
      </c>
    </row>
    <row r="792" spans="1:2" x14ac:dyDescent="0.25">
      <c r="A792" s="1">
        <v>39870</v>
      </c>
      <c r="B792">
        <v>12.66</v>
      </c>
    </row>
    <row r="793" spans="1:2" x14ac:dyDescent="0.25">
      <c r="A793" s="1">
        <v>39871</v>
      </c>
      <c r="B793">
        <v>12.66</v>
      </c>
    </row>
    <row r="794" spans="1:2" x14ac:dyDescent="0.25">
      <c r="A794" s="1">
        <v>39874</v>
      </c>
      <c r="B794">
        <v>12.66</v>
      </c>
    </row>
    <row r="795" spans="1:2" x14ac:dyDescent="0.25">
      <c r="A795" s="1">
        <v>39875</v>
      </c>
      <c r="B795">
        <v>12.66</v>
      </c>
    </row>
    <row r="796" spans="1:2" x14ac:dyDescent="0.25">
      <c r="A796" s="1">
        <v>39876</v>
      </c>
      <c r="B796">
        <v>12.66</v>
      </c>
    </row>
    <row r="797" spans="1:2" x14ac:dyDescent="0.25">
      <c r="A797" s="1">
        <v>39877</v>
      </c>
      <c r="B797">
        <v>12.66</v>
      </c>
    </row>
    <row r="798" spans="1:2" x14ac:dyDescent="0.25">
      <c r="A798" s="1">
        <v>39878</v>
      </c>
      <c r="B798">
        <v>12.66</v>
      </c>
    </row>
    <row r="799" spans="1:2" x14ac:dyDescent="0.25">
      <c r="A799" s="1">
        <v>39881</v>
      </c>
      <c r="B799">
        <v>12.66</v>
      </c>
    </row>
    <row r="800" spans="1:2" x14ac:dyDescent="0.25">
      <c r="A800" s="1">
        <v>39882</v>
      </c>
      <c r="B800">
        <v>12.66</v>
      </c>
    </row>
    <row r="801" spans="1:2" x14ac:dyDescent="0.25">
      <c r="A801" s="1">
        <v>39883</v>
      </c>
      <c r="B801">
        <v>12.66</v>
      </c>
    </row>
    <row r="802" spans="1:2" x14ac:dyDescent="0.25">
      <c r="A802" s="1">
        <v>39884</v>
      </c>
      <c r="B802">
        <v>11.16</v>
      </c>
    </row>
    <row r="803" spans="1:2" x14ac:dyDescent="0.25">
      <c r="A803" s="1">
        <v>39885</v>
      </c>
      <c r="B803">
        <v>11.16</v>
      </c>
    </row>
    <row r="804" spans="1:2" x14ac:dyDescent="0.25">
      <c r="A804" s="1">
        <v>39888</v>
      </c>
      <c r="B804">
        <v>11.16</v>
      </c>
    </row>
    <row r="805" spans="1:2" x14ac:dyDescent="0.25">
      <c r="A805" s="1">
        <v>39889</v>
      </c>
      <c r="B805">
        <v>11.16</v>
      </c>
    </row>
    <row r="806" spans="1:2" x14ac:dyDescent="0.25">
      <c r="A806" s="1">
        <v>39890</v>
      </c>
      <c r="B806">
        <v>11.16</v>
      </c>
    </row>
    <row r="807" spans="1:2" x14ac:dyDescent="0.25">
      <c r="A807" s="1">
        <v>39891</v>
      </c>
      <c r="B807">
        <v>11.16</v>
      </c>
    </row>
    <row r="808" spans="1:2" x14ac:dyDescent="0.25">
      <c r="A808" s="1">
        <v>39892</v>
      </c>
      <c r="B808">
        <v>11.16</v>
      </c>
    </row>
    <row r="809" spans="1:2" x14ac:dyDescent="0.25">
      <c r="A809" s="1">
        <v>39895</v>
      </c>
      <c r="B809">
        <v>11.16</v>
      </c>
    </row>
    <row r="810" spans="1:2" x14ac:dyDescent="0.25">
      <c r="A810" s="1">
        <v>39896</v>
      </c>
      <c r="B810">
        <v>11.16</v>
      </c>
    </row>
    <row r="811" spans="1:2" x14ac:dyDescent="0.25">
      <c r="A811" s="1">
        <v>39897</v>
      </c>
      <c r="B811">
        <v>11.16</v>
      </c>
    </row>
    <row r="812" spans="1:2" x14ac:dyDescent="0.25">
      <c r="A812" s="1">
        <v>39898</v>
      </c>
      <c r="B812">
        <v>11.16</v>
      </c>
    </row>
    <row r="813" spans="1:2" x14ac:dyDescent="0.25">
      <c r="A813" s="1">
        <v>39899</v>
      </c>
      <c r="B813">
        <v>11.16</v>
      </c>
    </row>
    <row r="814" spans="1:2" x14ac:dyDescent="0.25">
      <c r="A814" s="1">
        <v>39902</v>
      </c>
      <c r="B814">
        <v>11.16</v>
      </c>
    </row>
    <row r="815" spans="1:2" x14ac:dyDescent="0.25">
      <c r="A815" s="1">
        <v>39903</v>
      </c>
      <c r="B815">
        <v>11.16</v>
      </c>
    </row>
    <row r="816" spans="1:2" x14ac:dyDescent="0.25">
      <c r="A816" s="1">
        <v>39904</v>
      </c>
      <c r="B816">
        <v>11.16</v>
      </c>
    </row>
    <row r="817" spans="1:2" x14ac:dyDescent="0.25">
      <c r="A817" s="1">
        <v>39905</v>
      </c>
      <c r="B817">
        <v>11.16</v>
      </c>
    </row>
    <row r="818" spans="1:2" x14ac:dyDescent="0.25">
      <c r="A818" s="1">
        <v>39906</v>
      </c>
      <c r="B818">
        <v>11.16</v>
      </c>
    </row>
    <row r="819" spans="1:2" x14ac:dyDescent="0.25">
      <c r="A819" s="1">
        <v>39909</v>
      </c>
      <c r="B819">
        <v>11.16</v>
      </c>
    </row>
    <row r="820" spans="1:2" x14ac:dyDescent="0.25">
      <c r="A820" s="1">
        <v>39910</v>
      </c>
      <c r="B820">
        <v>11.16</v>
      </c>
    </row>
    <row r="821" spans="1:2" x14ac:dyDescent="0.25">
      <c r="A821" s="1">
        <v>39911</v>
      </c>
      <c r="B821">
        <v>11.16</v>
      </c>
    </row>
    <row r="822" spans="1:2" x14ac:dyDescent="0.25">
      <c r="A822" s="1">
        <v>39912</v>
      </c>
      <c r="B822">
        <v>11.16</v>
      </c>
    </row>
    <row r="823" spans="1:2" x14ac:dyDescent="0.25">
      <c r="A823" s="1">
        <v>39916</v>
      </c>
      <c r="B823">
        <v>11.16</v>
      </c>
    </row>
    <row r="824" spans="1:2" x14ac:dyDescent="0.25">
      <c r="A824" s="1">
        <v>39917</v>
      </c>
      <c r="B824">
        <v>11.16</v>
      </c>
    </row>
    <row r="825" spans="1:2" x14ac:dyDescent="0.25">
      <c r="A825" s="1">
        <v>39918</v>
      </c>
      <c r="B825">
        <v>11.16</v>
      </c>
    </row>
    <row r="826" spans="1:2" x14ac:dyDescent="0.25">
      <c r="A826" s="1">
        <v>39919</v>
      </c>
      <c r="B826">
        <v>11.16</v>
      </c>
    </row>
    <row r="827" spans="1:2" x14ac:dyDescent="0.25">
      <c r="A827" s="1">
        <v>39920</v>
      </c>
      <c r="B827">
        <v>11.16</v>
      </c>
    </row>
    <row r="828" spans="1:2" x14ac:dyDescent="0.25">
      <c r="A828" s="1">
        <v>39923</v>
      </c>
      <c r="B828">
        <v>11.16</v>
      </c>
    </row>
    <row r="829" spans="1:2" x14ac:dyDescent="0.25">
      <c r="A829" s="1">
        <v>39925</v>
      </c>
      <c r="B829">
        <v>11.16</v>
      </c>
    </row>
    <row r="830" spans="1:2" x14ac:dyDescent="0.25">
      <c r="A830" s="1">
        <v>39926</v>
      </c>
      <c r="B830">
        <v>11.16</v>
      </c>
    </row>
    <row r="831" spans="1:2" x14ac:dyDescent="0.25">
      <c r="A831" s="1">
        <v>39927</v>
      </c>
      <c r="B831">
        <v>11.16</v>
      </c>
    </row>
    <row r="832" spans="1:2" x14ac:dyDescent="0.25">
      <c r="A832" s="1">
        <v>39930</v>
      </c>
      <c r="B832">
        <v>11.16</v>
      </c>
    </row>
    <row r="833" spans="1:2" x14ac:dyDescent="0.25">
      <c r="A833" s="1">
        <v>39931</v>
      </c>
      <c r="B833">
        <v>11.16</v>
      </c>
    </row>
    <row r="834" spans="1:2" x14ac:dyDescent="0.25">
      <c r="A834" s="1">
        <v>39932</v>
      </c>
      <c r="B834">
        <v>11.15</v>
      </c>
    </row>
    <row r="835" spans="1:2" x14ac:dyDescent="0.25">
      <c r="A835" s="1">
        <v>39933</v>
      </c>
      <c r="B835">
        <v>10.16</v>
      </c>
    </row>
    <row r="836" spans="1:2" x14ac:dyDescent="0.25">
      <c r="A836" s="1">
        <v>39937</v>
      </c>
      <c r="B836">
        <v>10.16</v>
      </c>
    </row>
    <row r="837" spans="1:2" x14ac:dyDescent="0.25">
      <c r="A837" s="1">
        <v>39938</v>
      </c>
      <c r="B837">
        <v>10.16</v>
      </c>
    </row>
    <row r="838" spans="1:2" x14ac:dyDescent="0.25">
      <c r="A838" s="1">
        <v>39939</v>
      </c>
      <c r="B838">
        <v>10.16</v>
      </c>
    </row>
    <row r="839" spans="1:2" x14ac:dyDescent="0.25">
      <c r="A839" s="1">
        <v>39940</v>
      </c>
      <c r="B839">
        <v>10.16</v>
      </c>
    </row>
    <row r="840" spans="1:2" x14ac:dyDescent="0.25">
      <c r="A840" s="1">
        <v>39941</v>
      </c>
      <c r="B840">
        <v>10.16</v>
      </c>
    </row>
    <row r="841" spans="1:2" x14ac:dyDescent="0.25">
      <c r="A841" s="1">
        <v>39944</v>
      </c>
      <c r="B841">
        <v>10.16</v>
      </c>
    </row>
    <row r="842" spans="1:2" x14ac:dyDescent="0.25">
      <c r="A842" s="1">
        <v>39945</v>
      </c>
      <c r="B842">
        <v>10.15</v>
      </c>
    </row>
    <row r="843" spans="1:2" x14ac:dyDescent="0.25">
      <c r="A843" s="1">
        <v>39946</v>
      </c>
      <c r="B843">
        <v>10.16</v>
      </c>
    </row>
    <row r="844" spans="1:2" x14ac:dyDescent="0.25">
      <c r="A844" s="1">
        <v>39947</v>
      </c>
      <c r="B844">
        <v>10.16</v>
      </c>
    </row>
    <row r="845" spans="1:2" x14ac:dyDescent="0.25">
      <c r="A845" s="1">
        <v>39948</v>
      </c>
      <c r="B845">
        <v>10.16</v>
      </c>
    </row>
    <row r="846" spans="1:2" x14ac:dyDescent="0.25">
      <c r="A846" s="1">
        <v>39951</v>
      </c>
      <c r="B846">
        <v>10.16</v>
      </c>
    </row>
    <row r="847" spans="1:2" x14ac:dyDescent="0.25">
      <c r="A847" s="1">
        <v>39952</v>
      </c>
      <c r="B847">
        <v>10.16</v>
      </c>
    </row>
    <row r="848" spans="1:2" x14ac:dyDescent="0.25">
      <c r="A848" s="1">
        <v>39953</v>
      </c>
      <c r="B848">
        <v>10.16</v>
      </c>
    </row>
    <row r="849" spans="1:2" x14ac:dyDescent="0.25">
      <c r="A849" s="1">
        <v>39954</v>
      </c>
      <c r="B849">
        <v>10.16</v>
      </c>
    </row>
    <row r="850" spans="1:2" x14ac:dyDescent="0.25">
      <c r="A850" s="1">
        <v>39955</v>
      </c>
      <c r="B850">
        <v>10.16</v>
      </c>
    </row>
    <row r="851" spans="1:2" x14ac:dyDescent="0.25">
      <c r="A851" s="1">
        <v>39958</v>
      </c>
      <c r="B851">
        <v>10.16</v>
      </c>
    </row>
    <row r="852" spans="1:2" x14ac:dyDescent="0.25">
      <c r="A852" s="1">
        <v>39959</v>
      </c>
      <c r="B852">
        <v>10.16</v>
      </c>
    </row>
    <row r="853" spans="1:2" x14ac:dyDescent="0.25">
      <c r="A853" s="1">
        <v>39960</v>
      </c>
      <c r="B853">
        <v>10.16</v>
      </c>
    </row>
    <row r="854" spans="1:2" x14ac:dyDescent="0.25">
      <c r="A854" s="1">
        <v>39961</v>
      </c>
      <c r="B854">
        <v>10.16</v>
      </c>
    </row>
    <row r="855" spans="1:2" x14ac:dyDescent="0.25">
      <c r="A855" s="1">
        <v>39962</v>
      </c>
      <c r="B855">
        <v>10.16</v>
      </c>
    </row>
    <row r="856" spans="1:2" x14ac:dyDescent="0.25">
      <c r="A856" s="1">
        <v>39965</v>
      </c>
      <c r="B856">
        <v>10.16</v>
      </c>
    </row>
    <row r="857" spans="1:2" x14ac:dyDescent="0.25">
      <c r="A857" s="1">
        <v>39966</v>
      </c>
      <c r="B857">
        <v>10.16</v>
      </c>
    </row>
    <row r="858" spans="1:2" x14ac:dyDescent="0.25">
      <c r="A858" s="1">
        <v>39967</v>
      </c>
      <c r="B858">
        <v>10.16</v>
      </c>
    </row>
    <row r="859" spans="1:2" x14ac:dyDescent="0.25">
      <c r="A859" s="1">
        <v>39968</v>
      </c>
      <c r="B859">
        <v>10.16</v>
      </c>
    </row>
    <row r="860" spans="1:2" x14ac:dyDescent="0.25">
      <c r="A860" s="1">
        <v>39969</v>
      </c>
      <c r="B860">
        <v>10.16</v>
      </c>
    </row>
    <row r="861" spans="1:2" x14ac:dyDescent="0.25">
      <c r="A861" s="1">
        <v>39972</v>
      </c>
      <c r="B861">
        <v>10.16</v>
      </c>
    </row>
    <row r="862" spans="1:2" x14ac:dyDescent="0.25">
      <c r="A862" s="1">
        <v>39973</v>
      </c>
      <c r="B862">
        <v>10.16</v>
      </c>
    </row>
    <row r="863" spans="1:2" x14ac:dyDescent="0.25">
      <c r="A863" s="1">
        <v>39974</v>
      </c>
      <c r="B863">
        <v>10.15</v>
      </c>
    </row>
    <row r="864" spans="1:2" x14ac:dyDescent="0.25">
      <c r="A864" s="1">
        <v>39976</v>
      </c>
      <c r="B864">
        <v>9.16</v>
      </c>
    </row>
    <row r="865" spans="1:2" x14ac:dyDescent="0.25">
      <c r="A865" s="1">
        <v>39979</v>
      </c>
      <c r="B865">
        <v>9.16</v>
      </c>
    </row>
    <row r="866" spans="1:2" x14ac:dyDescent="0.25">
      <c r="A866" s="1">
        <v>39980</v>
      </c>
      <c r="B866">
        <v>9.16</v>
      </c>
    </row>
    <row r="867" spans="1:2" x14ac:dyDescent="0.25">
      <c r="A867" s="1">
        <v>39981</v>
      </c>
      <c r="B867">
        <v>9.16</v>
      </c>
    </row>
    <row r="868" spans="1:2" x14ac:dyDescent="0.25">
      <c r="A868" s="1">
        <v>39982</v>
      </c>
      <c r="B868">
        <v>9.16</v>
      </c>
    </row>
    <row r="869" spans="1:2" x14ac:dyDescent="0.25">
      <c r="A869" s="1">
        <v>39983</v>
      </c>
      <c r="B869">
        <v>9.16</v>
      </c>
    </row>
    <row r="870" spans="1:2" x14ac:dyDescent="0.25">
      <c r="A870" s="1">
        <v>39986</v>
      </c>
      <c r="B870">
        <v>9.16</v>
      </c>
    </row>
    <row r="871" spans="1:2" x14ac:dyDescent="0.25">
      <c r="A871" s="1">
        <v>39987</v>
      </c>
      <c r="B871">
        <v>9.16</v>
      </c>
    </row>
    <row r="872" spans="1:2" x14ac:dyDescent="0.25">
      <c r="A872" s="1">
        <v>39988</v>
      </c>
      <c r="B872">
        <v>9.16</v>
      </c>
    </row>
    <row r="873" spans="1:2" x14ac:dyDescent="0.25">
      <c r="A873" s="1">
        <v>39989</v>
      </c>
      <c r="B873">
        <v>9.16</v>
      </c>
    </row>
    <row r="874" spans="1:2" x14ac:dyDescent="0.25">
      <c r="A874" s="1">
        <v>39990</v>
      </c>
      <c r="B874">
        <v>9.16</v>
      </c>
    </row>
    <row r="875" spans="1:2" x14ac:dyDescent="0.25">
      <c r="A875" s="1">
        <v>39993</v>
      </c>
      <c r="B875">
        <v>9.16</v>
      </c>
    </row>
    <row r="876" spans="1:2" x14ac:dyDescent="0.25">
      <c r="A876" s="1">
        <v>39994</v>
      </c>
      <c r="B876">
        <v>9.16</v>
      </c>
    </row>
    <row r="877" spans="1:2" x14ac:dyDescent="0.25">
      <c r="A877" s="1">
        <v>39995</v>
      </c>
      <c r="B877">
        <v>9.16</v>
      </c>
    </row>
    <row r="878" spans="1:2" x14ac:dyDescent="0.25">
      <c r="A878" s="1">
        <v>39996</v>
      </c>
      <c r="B878">
        <v>9.16</v>
      </c>
    </row>
    <row r="879" spans="1:2" x14ac:dyDescent="0.25">
      <c r="A879" s="1">
        <v>39997</v>
      </c>
      <c r="B879">
        <v>9.16</v>
      </c>
    </row>
    <row r="880" spans="1:2" x14ac:dyDescent="0.25">
      <c r="A880" s="1">
        <v>40000</v>
      </c>
      <c r="B880">
        <v>9.16</v>
      </c>
    </row>
    <row r="881" spans="1:2" x14ac:dyDescent="0.25">
      <c r="A881" s="1">
        <v>40001</v>
      </c>
      <c r="B881">
        <v>9.16</v>
      </c>
    </row>
    <row r="882" spans="1:2" x14ac:dyDescent="0.25">
      <c r="A882" s="1">
        <v>40002</v>
      </c>
      <c r="B882">
        <v>9.16</v>
      </c>
    </row>
    <row r="883" spans="1:2" x14ac:dyDescent="0.25">
      <c r="A883" s="1">
        <v>40003</v>
      </c>
      <c r="B883">
        <v>9.16</v>
      </c>
    </row>
    <row r="884" spans="1:2" x14ac:dyDescent="0.25">
      <c r="A884" s="1">
        <v>40004</v>
      </c>
      <c r="B884">
        <v>9.16</v>
      </c>
    </row>
    <row r="885" spans="1:2" x14ac:dyDescent="0.25">
      <c r="A885" s="1">
        <v>40007</v>
      </c>
      <c r="B885">
        <v>9.16</v>
      </c>
    </row>
    <row r="886" spans="1:2" x14ac:dyDescent="0.25">
      <c r="A886" s="1">
        <v>40008</v>
      </c>
      <c r="B886">
        <v>9.16</v>
      </c>
    </row>
    <row r="887" spans="1:2" x14ac:dyDescent="0.25">
      <c r="A887" s="1">
        <v>40009</v>
      </c>
      <c r="B887">
        <v>9.16</v>
      </c>
    </row>
    <row r="888" spans="1:2" x14ac:dyDescent="0.25">
      <c r="A888" s="1">
        <v>40010</v>
      </c>
      <c r="B888">
        <v>9.16</v>
      </c>
    </row>
    <row r="889" spans="1:2" x14ac:dyDescent="0.25">
      <c r="A889" s="1">
        <v>40011</v>
      </c>
      <c r="B889">
        <v>9.16</v>
      </c>
    </row>
    <row r="890" spans="1:2" x14ac:dyDescent="0.25">
      <c r="A890" s="1">
        <v>40014</v>
      </c>
      <c r="B890">
        <v>9.16</v>
      </c>
    </row>
    <row r="891" spans="1:2" x14ac:dyDescent="0.25">
      <c r="A891" s="1">
        <v>40015</v>
      </c>
      <c r="B891">
        <v>9.16</v>
      </c>
    </row>
    <row r="892" spans="1:2" x14ac:dyDescent="0.25">
      <c r="A892" s="1">
        <v>40016</v>
      </c>
      <c r="B892">
        <v>9.15</v>
      </c>
    </row>
    <row r="893" spans="1:2" x14ac:dyDescent="0.25">
      <c r="A893" s="1">
        <v>40017</v>
      </c>
      <c r="B893">
        <v>8.66</v>
      </c>
    </row>
    <row r="894" spans="1:2" x14ac:dyDescent="0.25">
      <c r="A894" s="1">
        <v>40018</v>
      </c>
      <c r="B894">
        <v>8.66</v>
      </c>
    </row>
    <row r="895" spans="1:2" x14ac:dyDescent="0.25">
      <c r="A895" s="1">
        <v>40021</v>
      </c>
      <c r="B895">
        <v>8.66</v>
      </c>
    </row>
    <row r="896" spans="1:2" x14ac:dyDescent="0.25">
      <c r="A896" s="1">
        <v>40022</v>
      </c>
      <c r="B896">
        <v>8.65</v>
      </c>
    </row>
    <row r="897" spans="1:2" x14ac:dyDescent="0.25">
      <c r="A897" s="1">
        <v>40023</v>
      </c>
      <c r="B897">
        <v>8.66</v>
      </c>
    </row>
    <row r="898" spans="1:2" x14ac:dyDescent="0.25">
      <c r="A898" s="1">
        <v>40024</v>
      </c>
      <c r="B898">
        <v>8.65</v>
      </c>
    </row>
    <row r="899" spans="1:2" x14ac:dyDescent="0.25">
      <c r="A899" s="1">
        <v>40025</v>
      </c>
      <c r="B899">
        <v>8.65</v>
      </c>
    </row>
    <row r="900" spans="1:2" x14ac:dyDescent="0.25">
      <c r="A900" s="1">
        <v>40028</v>
      </c>
      <c r="B900">
        <v>8.65</v>
      </c>
    </row>
    <row r="901" spans="1:2" x14ac:dyDescent="0.25">
      <c r="A901" s="1">
        <v>40029</v>
      </c>
      <c r="B901">
        <v>8.65</v>
      </c>
    </row>
    <row r="902" spans="1:2" x14ac:dyDescent="0.25">
      <c r="A902" s="1">
        <v>40030</v>
      </c>
      <c r="B902">
        <v>8.65</v>
      </c>
    </row>
    <row r="903" spans="1:2" x14ac:dyDescent="0.25">
      <c r="A903" s="1">
        <v>40031</v>
      </c>
      <c r="B903">
        <v>8.65</v>
      </c>
    </row>
    <row r="904" spans="1:2" x14ac:dyDescent="0.25">
      <c r="A904" s="1">
        <v>40032</v>
      </c>
      <c r="B904">
        <v>8.65</v>
      </c>
    </row>
    <row r="905" spans="1:2" x14ac:dyDescent="0.25">
      <c r="A905" s="1">
        <v>40035</v>
      </c>
      <c r="B905">
        <v>8.65</v>
      </c>
    </row>
    <row r="906" spans="1:2" x14ac:dyDescent="0.25">
      <c r="A906" s="1">
        <v>40036</v>
      </c>
      <c r="B906">
        <v>8.65</v>
      </c>
    </row>
    <row r="907" spans="1:2" x14ac:dyDescent="0.25">
      <c r="A907" s="1">
        <v>40037</v>
      </c>
      <c r="B907">
        <v>8.65</v>
      </c>
    </row>
    <row r="908" spans="1:2" x14ac:dyDescent="0.25">
      <c r="A908" s="1">
        <v>40038</v>
      </c>
      <c r="B908">
        <v>8.65</v>
      </c>
    </row>
    <row r="909" spans="1:2" x14ac:dyDescent="0.25">
      <c r="A909" s="1">
        <v>40039</v>
      </c>
      <c r="B909">
        <v>8.65</v>
      </c>
    </row>
    <row r="910" spans="1:2" x14ac:dyDescent="0.25">
      <c r="A910" s="1">
        <v>40042</v>
      </c>
      <c r="B910">
        <v>8.65</v>
      </c>
    </row>
    <row r="911" spans="1:2" x14ac:dyDescent="0.25">
      <c r="A911" s="1">
        <v>40043</v>
      </c>
      <c r="B911">
        <v>8.65</v>
      </c>
    </row>
    <row r="912" spans="1:2" x14ac:dyDescent="0.25">
      <c r="A912" s="1">
        <v>40044</v>
      </c>
      <c r="B912">
        <v>8.65</v>
      </c>
    </row>
    <row r="913" spans="1:2" x14ac:dyDescent="0.25">
      <c r="A913" s="1">
        <v>40045</v>
      </c>
      <c r="B913">
        <v>8.65</v>
      </c>
    </row>
    <row r="914" spans="1:2" x14ac:dyDescent="0.25">
      <c r="A914" s="1">
        <v>40046</v>
      </c>
      <c r="B914">
        <v>8.65</v>
      </c>
    </row>
    <row r="915" spans="1:2" x14ac:dyDescent="0.25">
      <c r="A915" s="1">
        <v>40049</v>
      </c>
      <c r="B915">
        <v>8.65</v>
      </c>
    </row>
    <row r="916" spans="1:2" x14ac:dyDescent="0.25">
      <c r="A916" s="1">
        <v>40050</v>
      </c>
      <c r="B916">
        <v>8.65</v>
      </c>
    </row>
    <row r="917" spans="1:2" x14ac:dyDescent="0.25">
      <c r="A917" s="1">
        <v>40051</v>
      </c>
      <c r="B917">
        <v>8.65</v>
      </c>
    </row>
    <row r="918" spans="1:2" x14ac:dyDescent="0.25">
      <c r="A918" s="1">
        <v>40052</v>
      </c>
      <c r="B918">
        <v>8.65</v>
      </c>
    </row>
    <row r="919" spans="1:2" x14ac:dyDescent="0.25">
      <c r="A919" s="1">
        <v>40053</v>
      </c>
      <c r="B919">
        <v>8.65</v>
      </c>
    </row>
    <row r="920" spans="1:2" x14ac:dyDescent="0.25">
      <c r="A920" s="1">
        <v>40056</v>
      </c>
      <c r="B920">
        <v>8.65</v>
      </c>
    </row>
    <row r="921" spans="1:2" x14ac:dyDescent="0.25">
      <c r="A921" s="1">
        <v>40057</v>
      </c>
      <c r="B921">
        <v>8.65</v>
      </c>
    </row>
    <row r="922" spans="1:2" x14ac:dyDescent="0.25">
      <c r="A922" s="1">
        <v>40058</v>
      </c>
      <c r="B922">
        <v>8.65</v>
      </c>
    </row>
    <row r="923" spans="1:2" x14ac:dyDescent="0.25">
      <c r="A923" s="1">
        <v>40059</v>
      </c>
      <c r="B923">
        <v>8.65</v>
      </c>
    </row>
    <row r="924" spans="1:2" x14ac:dyDescent="0.25">
      <c r="A924" s="1">
        <v>40060</v>
      </c>
      <c r="B924">
        <v>8.65</v>
      </c>
    </row>
    <row r="925" spans="1:2" x14ac:dyDescent="0.25">
      <c r="A925" s="1">
        <v>40064</v>
      </c>
      <c r="B925">
        <v>8.65</v>
      </c>
    </row>
    <row r="926" spans="1:2" x14ac:dyDescent="0.25">
      <c r="A926" s="1">
        <v>40065</v>
      </c>
      <c r="B926">
        <v>8.65</v>
      </c>
    </row>
    <row r="927" spans="1:2" x14ac:dyDescent="0.25">
      <c r="A927" s="1">
        <v>40066</v>
      </c>
      <c r="B927">
        <v>8.65</v>
      </c>
    </row>
    <row r="928" spans="1:2" x14ac:dyDescent="0.25">
      <c r="A928" s="1">
        <v>40067</v>
      </c>
      <c r="B928">
        <v>8.65</v>
      </c>
    </row>
    <row r="929" spans="1:2" x14ac:dyDescent="0.25">
      <c r="A929" s="1">
        <v>40070</v>
      </c>
      <c r="B929">
        <v>8.65</v>
      </c>
    </row>
    <row r="930" spans="1:2" x14ac:dyDescent="0.25">
      <c r="A930" s="1">
        <v>40071</v>
      </c>
      <c r="B930">
        <v>8.65</v>
      </c>
    </row>
    <row r="931" spans="1:2" x14ac:dyDescent="0.25">
      <c r="A931" s="1">
        <v>40072</v>
      </c>
      <c r="B931">
        <v>8.65</v>
      </c>
    </row>
    <row r="932" spans="1:2" x14ac:dyDescent="0.25">
      <c r="A932" s="1">
        <v>40073</v>
      </c>
      <c r="B932">
        <v>8.65</v>
      </c>
    </row>
    <row r="933" spans="1:2" x14ac:dyDescent="0.25">
      <c r="A933" s="1">
        <v>40074</v>
      </c>
      <c r="B933">
        <v>8.65</v>
      </c>
    </row>
    <row r="934" spans="1:2" x14ac:dyDescent="0.25">
      <c r="A934" s="1">
        <v>40077</v>
      </c>
      <c r="B934">
        <v>8.65</v>
      </c>
    </row>
    <row r="935" spans="1:2" x14ac:dyDescent="0.25">
      <c r="A935" s="1">
        <v>40078</v>
      </c>
      <c r="B935">
        <v>8.65</v>
      </c>
    </row>
    <row r="936" spans="1:2" x14ac:dyDescent="0.25">
      <c r="A936" s="1">
        <v>40079</v>
      </c>
      <c r="B936">
        <v>8.65</v>
      </c>
    </row>
    <row r="937" spans="1:2" x14ac:dyDescent="0.25">
      <c r="A937" s="1">
        <v>40080</v>
      </c>
      <c r="B937">
        <v>8.65</v>
      </c>
    </row>
    <row r="938" spans="1:2" x14ac:dyDescent="0.25">
      <c r="A938" s="1">
        <v>40081</v>
      </c>
      <c r="B938">
        <v>8.65</v>
      </c>
    </row>
    <row r="939" spans="1:2" x14ac:dyDescent="0.25">
      <c r="A939" s="1">
        <v>40084</v>
      </c>
      <c r="B939">
        <v>8.65</v>
      </c>
    </row>
    <row r="940" spans="1:2" x14ac:dyDescent="0.25">
      <c r="A940" s="1">
        <v>40085</v>
      </c>
      <c r="B940">
        <v>8.65</v>
      </c>
    </row>
    <row r="941" spans="1:2" x14ac:dyDescent="0.25">
      <c r="A941" s="1">
        <v>40086</v>
      </c>
      <c r="B941">
        <v>8.65</v>
      </c>
    </row>
    <row r="942" spans="1:2" x14ac:dyDescent="0.25">
      <c r="A942" s="1">
        <v>40087</v>
      </c>
      <c r="B942">
        <v>8.65</v>
      </c>
    </row>
    <row r="943" spans="1:2" x14ac:dyDescent="0.25">
      <c r="A943" s="1">
        <v>40088</v>
      </c>
      <c r="B943">
        <v>8.65</v>
      </c>
    </row>
    <row r="944" spans="1:2" x14ac:dyDescent="0.25">
      <c r="A944" s="1">
        <v>40091</v>
      </c>
      <c r="B944">
        <v>8.65</v>
      </c>
    </row>
    <row r="945" spans="1:2" x14ac:dyDescent="0.25">
      <c r="A945" s="1">
        <v>40092</v>
      </c>
      <c r="B945">
        <v>8.65</v>
      </c>
    </row>
    <row r="946" spans="1:2" x14ac:dyDescent="0.25">
      <c r="A946" s="1">
        <v>40093</v>
      </c>
      <c r="B946">
        <v>8.65</v>
      </c>
    </row>
    <row r="947" spans="1:2" x14ac:dyDescent="0.25">
      <c r="A947" s="1">
        <v>40094</v>
      </c>
      <c r="B947">
        <v>8.65</v>
      </c>
    </row>
    <row r="948" spans="1:2" x14ac:dyDescent="0.25">
      <c r="A948" s="1">
        <v>40095</v>
      </c>
      <c r="B948">
        <v>8.65</v>
      </c>
    </row>
    <row r="949" spans="1:2" x14ac:dyDescent="0.25">
      <c r="A949" s="1">
        <v>40099</v>
      </c>
      <c r="B949">
        <v>8.65</v>
      </c>
    </row>
    <row r="950" spans="1:2" x14ac:dyDescent="0.25">
      <c r="A950" s="1">
        <v>40100</v>
      </c>
      <c r="B950">
        <v>8.65</v>
      </c>
    </row>
    <row r="951" spans="1:2" x14ac:dyDescent="0.25">
      <c r="A951" s="1">
        <v>40101</v>
      </c>
      <c r="B951">
        <v>8.65</v>
      </c>
    </row>
    <row r="952" spans="1:2" x14ac:dyDescent="0.25">
      <c r="A952" s="1">
        <v>40102</v>
      </c>
      <c r="B952">
        <v>8.65</v>
      </c>
    </row>
    <row r="953" spans="1:2" x14ac:dyDescent="0.25">
      <c r="A953" s="1">
        <v>40105</v>
      </c>
      <c r="B953">
        <v>8.65</v>
      </c>
    </row>
    <row r="954" spans="1:2" x14ac:dyDescent="0.25">
      <c r="A954" s="1">
        <v>40106</v>
      </c>
      <c r="B954">
        <v>8.65</v>
      </c>
    </row>
    <row r="955" spans="1:2" x14ac:dyDescent="0.25">
      <c r="A955" s="1">
        <v>40107</v>
      </c>
      <c r="B955">
        <v>8.65</v>
      </c>
    </row>
    <row r="956" spans="1:2" x14ac:dyDescent="0.25">
      <c r="A956" s="1">
        <v>40108</v>
      </c>
      <c r="B956">
        <v>8.65</v>
      </c>
    </row>
    <row r="957" spans="1:2" x14ac:dyDescent="0.25">
      <c r="A957" s="1">
        <v>40109</v>
      </c>
      <c r="B957">
        <v>8.65</v>
      </c>
    </row>
    <row r="958" spans="1:2" x14ac:dyDescent="0.25">
      <c r="A958" s="1">
        <v>40112</v>
      </c>
      <c r="B958">
        <v>8.65</v>
      </c>
    </row>
    <row r="959" spans="1:2" x14ac:dyDescent="0.25">
      <c r="A959" s="1">
        <v>40113</v>
      </c>
      <c r="B959">
        <v>8.65</v>
      </c>
    </row>
    <row r="960" spans="1:2" x14ac:dyDescent="0.25">
      <c r="A960" s="1">
        <v>40114</v>
      </c>
      <c r="B960">
        <v>8.65</v>
      </c>
    </row>
    <row r="961" spans="1:2" x14ac:dyDescent="0.25">
      <c r="A961" s="1">
        <v>40115</v>
      </c>
      <c r="B961">
        <v>8.65</v>
      </c>
    </row>
    <row r="962" spans="1:2" x14ac:dyDescent="0.25">
      <c r="A962" s="1">
        <v>40116</v>
      </c>
      <c r="B962">
        <v>8.65</v>
      </c>
    </row>
    <row r="963" spans="1:2" x14ac:dyDescent="0.25">
      <c r="A963" s="1">
        <v>40120</v>
      </c>
      <c r="B963">
        <v>8.65</v>
      </c>
    </row>
    <row r="964" spans="1:2" x14ac:dyDescent="0.25">
      <c r="A964" s="1">
        <v>40121</v>
      </c>
      <c r="B964">
        <v>8.65</v>
      </c>
    </row>
    <row r="965" spans="1:2" x14ac:dyDescent="0.25">
      <c r="A965" s="1">
        <v>40122</v>
      </c>
      <c r="B965">
        <v>8.65</v>
      </c>
    </row>
    <row r="966" spans="1:2" x14ac:dyDescent="0.25">
      <c r="A966" s="1">
        <v>40123</v>
      </c>
      <c r="B966">
        <v>8.65</v>
      </c>
    </row>
    <row r="967" spans="1:2" x14ac:dyDescent="0.25">
      <c r="A967" s="1">
        <v>40126</v>
      </c>
      <c r="B967">
        <v>8.65</v>
      </c>
    </row>
    <row r="968" spans="1:2" x14ac:dyDescent="0.25">
      <c r="A968" s="1">
        <v>40127</v>
      </c>
      <c r="B968">
        <v>8.65</v>
      </c>
    </row>
    <row r="969" spans="1:2" x14ac:dyDescent="0.25">
      <c r="A969" s="1">
        <v>40128</v>
      </c>
      <c r="B969">
        <v>8.65</v>
      </c>
    </row>
    <row r="970" spans="1:2" x14ac:dyDescent="0.25">
      <c r="A970" s="1">
        <v>40129</v>
      </c>
      <c r="B970">
        <v>8.65</v>
      </c>
    </row>
    <row r="971" spans="1:2" x14ac:dyDescent="0.25">
      <c r="A971" s="1">
        <v>40130</v>
      </c>
      <c r="B971">
        <v>8.65</v>
      </c>
    </row>
    <row r="972" spans="1:2" x14ac:dyDescent="0.25">
      <c r="A972" s="1">
        <v>40133</v>
      </c>
      <c r="B972">
        <v>8.65</v>
      </c>
    </row>
    <row r="973" spans="1:2" x14ac:dyDescent="0.25">
      <c r="A973" s="1">
        <v>40134</v>
      </c>
      <c r="B973">
        <v>8.65</v>
      </c>
    </row>
    <row r="974" spans="1:2" x14ac:dyDescent="0.25">
      <c r="A974" s="1">
        <v>40135</v>
      </c>
      <c r="B974">
        <v>8.65</v>
      </c>
    </row>
    <row r="975" spans="1:2" x14ac:dyDescent="0.25">
      <c r="A975" s="1">
        <v>40136</v>
      </c>
      <c r="B975">
        <v>8.65</v>
      </c>
    </row>
    <row r="976" spans="1:2" x14ac:dyDescent="0.25">
      <c r="A976" s="1">
        <v>40137</v>
      </c>
      <c r="B976">
        <v>8.65</v>
      </c>
    </row>
    <row r="977" spans="1:2" x14ac:dyDescent="0.25">
      <c r="A977" s="1">
        <v>40140</v>
      </c>
      <c r="B977">
        <v>8.65</v>
      </c>
    </row>
    <row r="978" spans="1:2" x14ac:dyDescent="0.25">
      <c r="A978" s="1">
        <v>40141</v>
      </c>
      <c r="B978">
        <v>8.65</v>
      </c>
    </row>
    <row r="979" spans="1:2" x14ac:dyDescent="0.25">
      <c r="A979" s="1">
        <v>40142</v>
      </c>
      <c r="B979">
        <v>8.65</v>
      </c>
    </row>
    <row r="980" spans="1:2" x14ac:dyDescent="0.25">
      <c r="A980" s="1">
        <v>40143</v>
      </c>
      <c r="B980">
        <v>8.65</v>
      </c>
    </row>
    <row r="981" spans="1:2" x14ac:dyDescent="0.25">
      <c r="A981" s="1">
        <v>40144</v>
      </c>
      <c r="B981">
        <v>8.65</v>
      </c>
    </row>
    <row r="982" spans="1:2" x14ac:dyDescent="0.25">
      <c r="A982" s="1">
        <v>40147</v>
      </c>
      <c r="B982">
        <v>8.65</v>
      </c>
    </row>
    <row r="983" spans="1:2" x14ac:dyDescent="0.25">
      <c r="A983" s="1">
        <v>40148</v>
      </c>
      <c r="B983">
        <v>8.65</v>
      </c>
    </row>
    <row r="984" spans="1:2" x14ac:dyDescent="0.25">
      <c r="A984" s="1">
        <v>40149</v>
      </c>
      <c r="B984">
        <v>8.65</v>
      </c>
    </row>
    <row r="985" spans="1:2" x14ac:dyDescent="0.25">
      <c r="A985" s="1">
        <v>40150</v>
      </c>
      <c r="B985">
        <v>8.65</v>
      </c>
    </row>
    <row r="986" spans="1:2" x14ac:dyDescent="0.25">
      <c r="A986" s="1">
        <v>40151</v>
      </c>
      <c r="B986">
        <v>8.65</v>
      </c>
    </row>
    <row r="987" spans="1:2" x14ac:dyDescent="0.25">
      <c r="A987" s="1">
        <v>40154</v>
      </c>
      <c r="B987">
        <v>8.65</v>
      </c>
    </row>
    <row r="988" spans="1:2" x14ac:dyDescent="0.25">
      <c r="A988" s="1">
        <v>40155</v>
      </c>
      <c r="B988">
        <v>8.65</v>
      </c>
    </row>
    <row r="989" spans="1:2" x14ac:dyDescent="0.25">
      <c r="A989" s="1">
        <v>40156</v>
      </c>
      <c r="B989">
        <v>8.65</v>
      </c>
    </row>
    <row r="990" spans="1:2" x14ac:dyDescent="0.25">
      <c r="A990" s="1">
        <v>40157</v>
      </c>
      <c r="B990">
        <v>8.65</v>
      </c>
    </row>
    <row r="991" spans="1:2" x14ac:dyDescent="0.25">
      <c r="A991" s="1">
        <v>40158</v>
      </c>
      <c r="B991">
        <v>8.65</v>
      </c>
    </row>
    <row r="992" spans="1:2" x14ac:dyDescent="0.25">
      <c r="A992" s="1">
        <v>40161</v>
      </c>
      <c r="B992">
        <v>8.65</v>
      </c>
    </row>
    <row r="993" spans="1:2" x14ac:dyDescent="0.25">
      <c r="A993" s="1">
        <v>40162</v>
      </c>
      <c r="B993">
        <v>8.65</v>
      </c>
    </row>
    <row r="994" spans="1:2" x14ac:dyDescent="0.25">
      <c r="A994" s="1">
        <v>40163</v>
      </c>
      <c r="B994">
        <v>8.65</v>
      </c>
    </row>
    <row r="995" spans="1:2" x14ac:dyDescent="0.25">
      <c r="A995" s="1">
        <v>40164</v>
      </c>
      <c r="B995">
        <v>8.65</v>
      </c>
    </row>
    <row r="996" spans="1:2" x14ac:dyDescent="0.25">
      <c r="A996" s="1">
        <v>40165</v>
      </c>
      <c r="B996">
        <v>8.65</v>
      </c>
    </row>
    <row r="997" spans="1:2" x14ac:dyDescent="0.25">
      <c r="A997" s="1">
        <v>40168</v>
      </c>
      <c r="B997">
        <v>8.65</v>
      </c>
    </row>
    <row r="998" spans="1:2" x14ac:dyDescent="0.25">
      <c r="A998" s="1">
        <v>40169</v>
      </c>
      <c r="B998">
        <v>8.65</v>
      </c>
    </row>
    <row r="999" spans="1:2" x14ac:dyDescent="0.25">
      <c r="A999" s="1">
        <v>40170</v>
      </c>
      <c r="B999">
        <v>8.65</v>
      </c>
    </row>
    <row r="1000" spans="1:2" x14ac:dyDescent="0.25">
      <c r="A1000" s="1">
        <v>40171</v>
      </c>
      <c r="B1000">
        <v>8.65</v>
      </c>
    </row>
    <row r="1001" spans="1:2" x14ac:dyDescent="0.25">
      <c r="A1001" s="1">
        <v>40175</v>
      </c>
      <c r="B1001">
        <v>8.65</v>
      </c>
    </row>
    <row r="1002" spans="1:2" x14ac:dyDescent="0.25">
      <c r="A1002" s="1">
        <v>40176</v>
      </c>
      <c r="B1002">
        <v>8.64</v>
      </c>
    </row>
    <row r="1003" spans="1:2" x14ac:dyDescent="0.25">
      <c r="A1003" s="1">
        <v>40177</v>
      </c>
      <c r="B1003">
        <v>8.65</v>
      </c>
    </row>
    <row r="1004" spans="1:2" x14ac:dyDescent="0.25">
      <c r="A1004" s="1">
        <v>40178</v>
      </c>
      <c r="B1004">
        <v>8.65</v>
      </c>
    </row>
    <row r="1005" spans="1:2" x14ac:dyDescent="0.25">
      <c r="A1005" s="1">
        <v>40182</v>
      </c>
      <c r="B1005">
        <v>8.65</v>
      </c>
    </row>
    <row r="1006" spans="1:2" x14ac:dyDescent="0.25">
      <c r="A1006" s="1">
        <v>40183</v>
      </c>
      <c r="B1006">
        <v>8.65</v>
      </c>
    </row>
    <row r="1007" spans="1:2" x14ac:dyDescent="0.25">
      <c r="A1007" s="1">
        <v>40184</v>
      </c>
      <c r="B1007">
        <v>8.65</v>
      </c>
    </row>
    <row r="1008" spans="1:2" x14ac:dyDescent="0.25">
      <c r="A1008" s="1">
        <v>40185</v>
      </c>
      <c r="B1008">
        <v>8.65</v>
      </c>
    </row>
    <row r="1009" spans="1:2" x14ac:dyDescent="0.25">
      <c r="A1009" s="1">
        <v>40186</v>
      </c>
      <c r="B1009">
        <v>8.65</v>
      </c>
    </row>
    <row r="1010" spans="1:2" x14ac:dyDescent="0.25">
      <c r="A1010" s="1">
        <v>40189</v>
      </c>
      <c r="B1010">
        <v>8.65</v>
      </c>
    </row>
    <row r="1011" spans="1:2" x14ac:dyDescent="0.25">
      <c r="A1011" s="1">
        <v>40190</v>
      </c>
      <c r="B1011">
        <v>8.65</v>
      </c>
    </row>
    <row r="1012" spans="1:2" x14ac:dyDescent="0.25">
      <c r="A1012" s="1">
        <v>40191</v>
      </c>
      <c r="B1012">
        <v>8.65</v>
      </c>
    </row>
    <row r="1013" spans="1:2" x14ac:dyDescent="0.25">
      <c r="A1013" s="1">
        <v>40192</v>
      </c>
      <c r="B1013">
        <v>8.65</v>
      </c>
    </row>
    <row r="1014" spans="1:2" x14ac:dyDescent="0.25">
      <c r="A1014" s="1">
        <v>40193</v>
      </c>
      <c r="B1014">
        <v>8.65</v>
      </c>
    </row>
    <row r="1015" spans="1:2" x14ac:dyDescent="0.25">
      <c r="A1015" s="1">
        <v>40196</v>
      </c>
      <c r="B1015">
        <v>8.65</v>
      </c>
    </row>
    <row r="1016" spans="1:2" x14ac:dyDescent="0.25">
      <c r="A1016" s="1">
        <v>40197</v>
      </c>
      <c r="B1016">
        <v>8.65</v>
      </c>
    </row>
    <row r="1017" spans="1:2" x14ac:dyDescent="0.25">
      <c r="A1017" s="1">
        <v>40198</v>
      </c>
      <c r="B1017">
        <v>8.65</v>
      </c>
    </row>
    <row r="1018" spans="1:2" x14ac:dyDescent="0.25">
      <c r="A1018" s="1">
        <v>40199</v>
      </c>
      <c r="B1018">
        <v>8.65</v>
      </c>
    </row>
    <row r="1019" spans="1:2" x14ac:dyDescent="0.25">
      <c r="A1019" s="1">
        <v>40200</v>
      </c>
      <c r="B1019">
        <v>8.65</v>
      </c>
    </row>
    <row r="1020" spans="1:2" x14ac:dyDescent="0.25">
      <c r="A1020" s="1">
        <v>40203</v>
      </c>
      <c r="B1020">
        <v>8.65</v>
      </c>
    </row>
    <row r="1021" spans="1:2" x14ac:dyDescent="0.25">
      <c r="A1021" s="1">
        <v>40204</v>
      </c>
      <c r="B1021">
        <v>8.64</v>
      </c>
    </row>
    <row r="1022" spans="1:2" x14ac:dyDescent="0.25">
      <c r="A1022" s="1">
        <v>40205</v>
      </c>
      <c r="B1022">
        <v>8.65</v>
      </c>
    </row>
    <row r="1023" spans="1:2" x14ac:dyDescent="0.25">
      <c r="A1023" s="1">
        <v>40206</v>
      </c>
      <c r="B1023">
        <v>8.65</v>
      </c>
    </row>
    <row r="1024" spans="1:2" x14ac:dyDescent="0.25">
      <c r="A1024" s="1">
        <v>40207</v>
      </c>
      <c r="B1024">
        <v>8.65</v>
      </c>
    </row>
    <row r="1025" spans="1:2" x14ac:dyDescent="0.25">
      <c r="A1025" s="1">
        <v>40210</v>
      </c>
      <c r="B1025">
        <v>8.65</v>
      </c>
    </row>
    <row r="1026" spans="1:2" x14ac:dyDescent="0.25">
      <c r="A1026" s="1">
        <v>40211</v>
      </c>
      <c r="B1026">
        <v>8.65</v>
      </c>
    </row>
    <row r="1027" spans="1:2" x14ac:dyDescent="0.25">
      <c r="A1027" s="1">
        <v>40212</v>
      </c>
      <c r="B1027">
        <v>8.65</v>
      </c>
    </row>
    <row r="1028" spans="1:2" x14ac:dyDescent="0.25">
      <c r="A1028" s="1">
        <v>40213</v>
      </c>
      <c r="B1028">
        <v>8.65</v>
      </c>
    </row>
    <row r="1029" spans="1:2" x14ac:dyDescent="0.25">
      <c r="A1029" s="1">
        <v>40214</v>
      </c>
      <c r="B1029">
        <v>8.65</v>
      </c>
    </row>
    <row r="1030" spans="1:2" x14ac:dyDescent="0.25">
      <c r="A1030" s="1">
        <v>40217</v>
      </c>
      <c r="B1030">
        <v>8.65</v>
      </c>
    </row>
    <row r="1031" spans="1:2" x14ac:dyDescent="0.25">
      <c r="A1031" s="1">
        <v>40218</v>
      </c>
      <c r="B1031">
        <v>8.65</v>
      </c>
    </row>
    <row r="1032" spans="1:2" x14ac:dyDescent="0.25">
      <c r="A1032" s="1">
        <v>40219</v>
      </c>
      <c r="B1032">
        <v>8.65</v>
      </c>
    </row>
    <row r="1033" spans="1:2" x14ac:dyDescent="0.25">
      <c r="A1033" s="1">
        <v>40220</v>
      </c>
      <c r="B1033">
        <v>8.65</v>
      </c>
    </row>
    <row r="1034" spans="1:2" x14ac:dyDescent="0.25">
      <c r="A1034" s="1">
        <v>40221</v>
      </c>
      <c r="B1034">
        <v>8.65</v>
      </c>
    </row>
    <row r="1035" spans="1:2" x14ac:dyDescent="0.25">
      <c r="A1035" s="1">
        <v>40226</v>
      </c>
      <c r="B1035">
        <v>8.65</v>
      </c>
    </row>
    <row r="1036" spans="1:2" x14ac:dyDescent="0.25">
      <c r="A1036" s="1">
        <v>40227</v>
      </c>
      <c r="B1036">
        <v>8.65</v>
      </c>
    </row>
    <row r="1037" spans="1:2" x14ac:dyDescent="0.25">
      <c r="A1037" s="1">
        <v>40228</v>
      </c>
      <c r="B1037">
        <v>8.65</v>
      </c>
    </row>
    <row r="1038" spans="1:2" x14ac:dyDescent="0.25">
      <c r="A1038" s="1">
        <v>40231</v>
      </c>
      <c r="B1038">
        <v>8.65</v>
      </c>
    </row>
    <row r="1039" spans="1:2" x14ac:dyDescent="0.25">
      <c r="A1039" s="1">
        <v>40232</v>
      </c>
      <c r="B1039">
        <v>8.65</v>
      </c>
    </row>
    <row r="1040" spans="1:2" x14ac:dyDescent="0.25">
      <c r="A1040" s="1">
        <v>40233</v>
      </c>
      <c r="B1040">
        <v>8.65</v>
      </c>
    </row>
    <row r="1041" spans="1:2" x14ac:dyDescent="0.25">
      <c r="A1041" s="1">
        <v>40234</v>
      </c>
      <c r="B1041">
        <v>8.65</v>
      </c>
    </row>
    <row r="1042" spans="1:2" x14ac:dyDescent="0.25">
      <c r="A1042" s="1">
        <v>40235</v>
      </c>
      <c r="B1042">
        <v>8.65</v>
      </c>
    </row>
    <row r="1043" spans="1:2" x14ac:dyDescent="0.25">
      <c r="A1043" s="1">
        <v>40238</v>
      </c>
      <c r="B1043">
        <v>8.65</v>
      </c>
    </row>
    <row r="1044" spans="1:2" x14ac:dyDescent="0.25">
      <c r="A1044" s="1">
        <v>40239</v>
      </c>
      <c r="B1044">
        <v>8.65</v>
      </c>
    </row>
    <row r="1045" spans="1:2" x14ac:dyDescent="0.25">
      <c r="A1045" s="1">
        <v>40240</v>
      </c>
      <c r="B1045">
        <v>8.65</v>
      </c>
    </row>
    <row r="1046" spans="1:2" x14ac:dyDescent="0.25">
      <c r="A1046" s="1">
        <v>40241</v>
      </c>
      <c r="B1046">
        <v>8.65</v>
      </c>
    </row>
    <row r="1047" spans="1:2" x14ac:dyDescent="0.25">
      <c r="A1047" s="1">
        <v>40242</v>
      </c>
      <c r="B1047">
        <v>8.65</v>
      </c>
    </row>
    <row r="1048" spans="1:2" x14ac:dyDescent="0.25">
      <c r="A1048" s="1">
        <v>40245</v>
      </c>
      <c r="B1048">
        <v>8.65</v>
      </c>
    </row>
    <row r="1049" spans="1:2" x14ac:dyDescent="0.25">
      <c r="A1049" s="1">
        <v>40246</v>
      </c>
      <c r="B1049">
        <v>8.65</v>
      </c>
    </row>
    <row r="1050" spans="1:2" x14ac:dyDescent="0.25">
      <c r="A1050" s="1">
        <v>40247</v>
      </c>
      <c r="B1050">
        <v>8.65</v>
      </c>
    </row>
    <row r="1051" spans="1:2" x14ac:dyDescent="0.25">
      <c r="A1051" s="1">
        <v>40248</v>
      </c>
      <c r="B1051">
        <v>8.65</v>
      </c>
    </row>
    <row r="1052" spans="1:2" x14ac:dyDescent="0.25">
      <c r="A1052" s="1">
        <v>40249</v>
      </c>
      <c r="B1052">
        <v>8.65</v>
      </c>
    </row>
    <row r="1053" spans="1:2" x14ac:dyDescent="0.25">
      <c r="A1053" s="1">
        <v>40252</v>
      </c>
      <c r="B1053">
        <v>8.65</v>
      </c>
    </row>
    <row r="1054" spans="1:2" x14ac:dyDescent="0.25">
      <c r="A1054" s="1">
        <v>40253</v>
      </c>
      <c r="B1054">
        <v>8.65</v>
      </c>
    </row>
    <row r="1055" spans="1:2" x14ac:dyDescent="0.25">
      <c r="A1055" s="1">
        <v>40254</v>
      </c>
      <c r="B1055">
        <v>8.65</v>
      </c>
    </row>
    <row r="1056" spans="1:2" x14ac:dyDescent="0.25">
      <c r="A1056" s="1">
        <v>40255</v>
      </c>
      <c r="B1056">
        <v>8.65</v>
      </c>
    </row>
    <row r="1057" spans="1:2" x14ac:dyDescent="0.25">
      <c r="A1057" s="1">
        <v>40256</v>
      </c>
      <c r="B1057">
        <v>8.65</v>
      </c>
    </row>
    <row r="1058" spans="1:2" x14ac:dyDescent="0.25">
      <c r="A1058" s="1">
        <v>40259</v>
      </c>
      <c r="B1058">
        <v>8.65</v>
      </c>
    </row>
    <row r="1059" spans="1:2" x14ac:dyDescent="0.25">
      <c r="A1059" s="1">
        <v>40260</v>
      </c>
      <c r="B1059">
        <v>8.65</v>
      </c>
    </row>
    <row r="1060" spans="1:2" x14ac:dyDescent="0.25">
      <c r="A1060" s="1">
        <v>40261</v>
      </c>
      <c r="B1060">
        <v>8.65</v>
      </c>
    </row>
    <row r="1061" spans="1:2" x14ac:dyDescent="0.25">
      <c r="A1061" s="1">
        <v>40262</v>
      </c>
      <c r="B1061">
        <v>8.65</v>
      </c>
    </row>
    <row r="1062" spans="1:2" x14ac:dyDescent="0.25">
      <c r="A1062" s="1">
        <v>40263</v>
      </c>
      <c r="B1062">
        <v>8.65</v>
      </c>
    </row>
    <row r="1063" spans="1:2" x14ac:dyDescent="0.25">
      <c r="A1063" s="1">
        <v>40266</v>
      </c>
      <c r="B1063">
        <v>8.65</v>
      </c>
    </row>
    <row r="1064" spans="1:2" x14ac:dyDescent="0.25">
      <c r="A1064" s="1">
        <v>40267</v>
      </c>
      <c r="B1064">
        <v>8.65</v>
      </c>
    </row>
    <row r="1065" spans="1:2" x14ac:dyDescent="0.25">
      <c r="A1065" s="1">
        <v>40268</v>
      </c>
      <c r="B1065">
        <v>8.65</v>
      </c>
    </row>
    <row r="1066" spans="1:2" x14ac:dyDescent="0.25">
      <c r="A1066" s="1">
        <v>40269</v>
      </c>
      <c r="B1066">
        <v>8.65</v>
      </c>
    </row>
    <row r="1067" spans="1:2" x14ac:dyDescent="0.25">
      <c r="A1067" s="1">
        <v>40273</v>
      </c>
      <c r="B1067">
        <v>8.65</v>
      </c>
    </row>
    <row r="1068" spans="1:2" x14ac:dyDescent="0.25">
      <c r="A1068" s="1">
        <v>40274</v>
      </c>
      <c r="B1068">
        <v>8.65</v>
      </c>
    </row>
    <row r="1069" spans="1:2" x14ac:dyDescent="0.25">
      <c r="A1069" s="1">
        <v>40275</v>
      </c>
      <c r="B1069">
        <v>8.65</v>
      </c>
    </row>
    <row r="1070" spans="1:2" x14ac:dyDescent="0.25">
      <c r="A1070" s="1">
        <v>40276</v>
      </c>
      <c r="B1070">
        <v>8.65</v>
      </c>
    </row>
    <row r="1071" spans="1:2" x14ac:dyDescent="0.25">
      <c r="A1071" s="1">
        <v>40277</v>
      </c>
      <c r="B1071">
        <v>8.65</v>
      </c>
    </row>
    <row r="1072" spans="1:2" x14ac:dyDescent="0.25">
      <c r="A1072" s="1">
        <v>40280</v>
      </c>
      <c r="B1072">
        <v>8.65</v>
      </c>
    </row>
    <row r="1073" spans="1:2" x14ac:dyDescent="0.25">
      <c r="A1073" s="1">
        <v>40281</v>
      </c>
      <c r="B1073">
        <v>8.65</v>
      </c>
    </row>
    <row r="1074" spans="1:2" x14ac:dyDescent="0.25">
      <c r="A1074" s="1">
        <v>40282</v>
      </c>
      <c r="B1074">
        <v>8.65</v>
      </c>
    </row>
    <row r="1075" spans="1:2" x14ac:dyDescent="0.25">
      <c r="A1075" s="1">
        <v>40283</v>
      </c>
      <c r="B1075">
        <v>8.65</v>
      </c>
    </row>
    <row r="1076" spans="1:2" x14ac:dyDescent="0.25">
      <c r="A1076" s="1">
        <v>40284</v>
      </c>
      <c r="B1076">
        <v>8.65</v>
      </c>
    </row>
    <row r="1077" spans="1:2" x14ac:dyDescent="0.25">
      <c r="A1077" s="1">
        <v>40287</v>
      </c>
      <c r="B1077">
        <v>8.65</v>
      </c>
    </row>
    <row r="1078" spans="1:2" x14ac:dyDescent="0.25">
      <c r="A1078" s="1">
        <v>40288</v>
      </c>
      <c r="B1078">
        <v>8.65</v>
      </c>
    </row>
    <row r="1079" spans="1:2" x14ac:dyDescent="0.25">
      <c r="A1079" s="1">
        <v>40290</v>
      </c>
      <c r="B1079">
        <v>8.65</v>
      </c>
    </row>
    <row r="1080" spans="1:2" x14ac:dyDescent="0.25">
      <c r="A1080" s="1">
        <v>40291</v>
      </c>
      <c r="B1080">
        <v>8.64</v>
      </c>
    </row>
    <row r="1081" spans="1:2" x14ac:dyDescent="0.25">
      <c r="A1081" s="1">
        <v>40294</v>
      </c>
      <c r="B1081">
        <v>8.64</v>
      </c>
    </row>
    <row r="1082" spans="1:2" x14ac:dyDescent="0.25">
      <c r="A1082" s="1">
        <v>40295</v>
      </c>
      <c r="B1082">
        <v>8.64</v>
      </c>
    </row>
    <row r="1083" spans="1:2" x14ac:dyDescent="0.25">
      <c r="A1083" s="1">
        <v>40296</v>
      </c>
      <c r="B1083">
        <v>8.64</v>
      </c>
    </row>
    <row r="1084" spans="1:2" x14ac:dyDescent="0.25">
      <c r="A1084" s="1">
        <v>40297</v>
      </c>
      <c r="B1084">
        <v>9.39</v>
      </c>
    </row>
    <row r="1085" spans="1:2" x14ac:dyDescent="0.25">
      <c r="A1085" s="1">
        <v>40298</v>
      </c>
      <c r="B1085">
        <v>9.4</v>
      </c>
    </row>
    <row r="1086" spans="1:2" x14ac:dyDescent="0.25">
      <c r="A1086" s="1">
        <v>40301</v>
      </c>
      <c r="B1086">
        <v>9.4</v>
      </c>
    </row>
    <row r="1087" spans="1:2" x14ac:dyDescent="0.25">
      <c r="A1087" s="1">
        <v>40302</v>
      </c>
      <c r="B1087">
        <v>9.4</v>
      </c>
    </row>
    <row r="1088" spans="1:2" x14ac:dyDescent="0.25">
      <c r="A1088" s="1">
        <v>40303</v>
      </c>
      <c r="B1088">
        <v>9.4</v>
      </c>
    </row>
    <row r="1089" spans="1:2" x14ac:dyDescent="0.25">
      <c r="A1089" s="1">
        <v>40304</v>
      </c>
      <c r="B1089">
        <v>9.4</v>
      </c>
    </row>
    <row r="1090" spans="1:2" x14ac:dyDescent="0.25">
      <c r="A1090" s="1">
        <v>40305</v>
      </c>
      <c r="B1090">
        <v>9.4</v>
      </c>
    </row>
    <row r="1091" spans="1:2" x14ac:dyDescent="0.25">
      <c r="A1091" s="1">
        <v>40308</v>
      </c>
      <c r="B1091">
        <v>9.4</v>
      </c>
    </row>
    <row r="1092" spans="1:2" x14ac:dyDescent="0.25">
      <c r="A1092" s="1">
        <v>40309</v>
      </c>
      <c r="B1092">
        <v>9.4</v>
      </c>
    </row>
    <row r="1093" spans="1:2" x14ac:dyDescent="0.25">
      <c r="A1093" s="1">
        <v>40310</v>
      </c>
      <c r="B1093">
        <v>9.4</v>
      </c>
    </row>
    <row r="1094" spans="1:2" x14ac:dyDescent="0.25">
      <c r="A1094" s="1">
        <v>40311</v>
      </c>
      <c r="B1094">
        <v>9.4</v>
      </c>
    </row>
    <row r="1095" spans="1:2" x14ac:dyDescent="0.25">
      <c r="A1095" s="1">
        <v>40312</v>
      </c>
      <c r="B1095">
        <v>9.4</v>
      </c>
    </row>
    <row r="1096" spans="1:2" x14ac:dyDescent="0.25">
      <c r="A1096" s="1">
        <v>40315</v>
      </c>
      <c r="B1096">
        <v>9.4</v>
      </c>
    </row>
    <row r="1097" spans="1:2" x14ac:dyDescent="0.25">
      <c r="A1097" s="1">
        <v>40316</v>
      </c>
      <c r="B1097">
        <v>9.4</v>
      </c>
    </row>
    <row r="1098" spans="1:2" x14ac:dyDescent="0.25">
      <c r="A1098" s="1">
        <v>40317</v>
      </c>
      <c r="B1098">
        <v>9.4</v>
      </c>
    </row>
    <row r="1099" spans="1:2" x14ac:dyDescent="0.25">
      <c r="A1099" s="1">
        <v>40318</v>
      </c>
      <c r="B1099">
        <v>9.4</v>
      </c>
    </row>
    <row r="1100" spans="1:2" x14ac:dyDescent="0.25">
      <c r="A1100" s="1">
        <v>40319</v>
      </c>
      <c r="B1100">
        <v>9.4</v>
      </c>
    </row>
    <row r="1101" spans="1:2" x14ac:dyDescent="0.25">
      <c r="A1101" s="1">
        <v>40322</v>
      </c>
      <c r="B1101">
        <v>9.39</v>
      </c>
    </row>
    <row r="1102" spans="1:2" x14ac:dyDescent="0.25">
      <c r="A1102" s="1">
        <v>40323</v>
      </c>
      <c r="B1102">
        <v>9.4</v>
      </c>
    </row>
    <row r="1103" spans="1:2" x14ac:dyDescent="0.25">
      <c r="A1103" s="1">
        <v>40324</v>
      </c>
      <c r="B1103">
        <v>9.4</v>
      </c>
    </row>
    <row r="1104" spans="1:2" x14ac:dyDescent="0.25">
      <c r="A1104" s="1">
        <v>40325</v>
      </c>
      <c r="B1104">
        <v>9.4</v>
      </c>
    </row>
    <row r="1105" spans="1:2" x14ac:dyDescent="0.25">
      <c r="A1105" s="1">
        <v>40326</v>
      </c>
      <c r="B1105">
        <v>9.39</v>
      </c>
    </row>
    <row r="1106" spans="1:2" x14ac:dyDescent="0.25">
      <c r="A1106" s="1">
        <v>40329</v>
      </c>
      <c r="B1106">
        <v>9.39</v>
      </c>
    </row>
    <row r="1107" spans="1:2" x14ac:dyDescent="0.25">
      <c r="A1107" s="1">
        <v>40330</v>
      </c>
      <c r="B1107">
        <v>9.4</v>
      </c>
    </row>
    <row r="1108" spans="1:2" x14ac:dyDescent="0.25">
      <c r="A1108" s="1">
        <v>40331</v>
      </c>
      <c r="B1108">
        <v>9.4</v>
      </c>
    </row>
    <row r="1109" spans="1:2" x14ac:dyDescent="0.25">
      <c r="A1109" s="1">
        <v>40333</v>
      </c>
      <c r="B1109">
        <v>9.4</v>
      </c>
    </row>
    <row r="1110" spans="1:2" x14ac:dyDescent="0.25">
      <c r="A1110" s="1">
        <v>40336</v>
      </c>
      <c r="B1110">
        <v>9.4</v>
      </c>
    </row>
    <row r="1111" spans="1:2" x14ac:dyDescent="0.25">
      <c r="A1111" s="1">
        <v>40337</v>
      </c>
      <c r="B1111">
        <v>9.4</v>
      </c>
    </row>
    <row r="1112" spans="1:2" x14ac:dyDescent="0.25">
      <c r="A1112" s="1">
        <v>40338</v>
      </c>
      <c r="B1112">
        <v>9.4</v>
      </c>
    </row>
    <row r="1113" spans="1:2" x14ac:dyDescent="0.25">
      <c r="A1113" s="1">
        <v>40339</v>
      </c>
      <c r="B1113">
        <v>10.15</v>
      </c>
    </row>
    <row r="1114" spans="1:2" x14ac:dyDescent="0.25">
      <c r="A1114" s="1">
        <v>40340</v>
      </c>
      <c r="B1114">
        <v>10.15</v>
      </c>
    </row>
    <row r="1115" spans="1:2" x14ac:dyDescent="0.25">
      <c r="A1115" s="1">
        <v>40343</v>
      </c>
      <c r="B1115">
        <v>10.15</v>
      </c>
    </row>
    <row r="1116" spans="1:2" x14ac:dyDescent="0.25">
      <c r="A1116" s="1">
        <v>40344</v>
      </c>
      <c r="B1116">
        <v>10.15</v>
      </c>
    </row>
    <row r="1117" spans="1:2" x14ac:dyDescent="0.25">
      <c r="A1117" s="1">
        <v>40345</v>
      </c>
      <c r="B1117">
        <v>10.15</v>
      </c>
    </row>
    <row r="1118" spans="1:2" x14ac:dyDescent="0.25">
      <c r="A1118" s="1">
        <v>40346</v>
      </c>
      <c r="B1118">
        <v>10.15</v>
      </c>
    </row>
    <row r="1119" spans="1:2" x14ac:dyDescent="0.25">
      <c r="A1119" s="1">
        <v>40347</v>
      </c>
      <c r="B1119">
        <v>10.15</v>
      </c>
    </row>
    <row r="1120" spans="1:2" x14ac:dyDescent="0.25">
      <c r="A1120" s="1">
        <v>40350</v>
      </c>
      <c r="B1120">
        <v>10.15</v>
      </c>
    </row>
    <row r="1121" spans="1:2" x14ac:dyDescent="0.25">
      <c r="A1121" s="1">
        <v>40351</v>
      </c>
      <c r="B1121">
        <v>10.15</v>
      </c>
    </row>
    <row r="1122" spans="1:2" x14ac:dyDescent="0.25">
      <c r="A1122" s="1">
        <v>40352</v>
      </c>
      <c r="B1122">
        <v>10.15</v>
      </c>
    </row>
    <row r="1123" spans="1:2" x14ac:dyDescent="0.25">
      <c r="A1123" s="1">
        <v>40353</v>
      </c>
      <c r="B1123">
        <v>10.15</v>
      </c>
    </row>
    <row r="1124" spans="1:2" x14ac:dyDescent="0.25">
      <c r="A1124" s="1">
        <v>40354</v>
      </c>
      <c r="B1124">
        <v>10.15</v>
      </c>
    </row>
    <row r="1125" spans="1:2" x14ac:dyDescent="0.25">
      <c r="A1125" s="1">
        <v>40357</v>
      </c>
      <c r="B1125">
        <v>10.16</v>
      </c>
    </row>
    <row r="1126" spans="1:2" x14ac:dyDescent="0.25">
      <c r="A1126" s="1">
        <v>40358</v>
      </c>
      <c r="B1126">
        <v>10.16</v>
      </c>
    </row>
    <row r="1127" spans="1:2" x14ac:dyDescent="0.25">
      <c r="A1127" s="1">
        <v>40359</v>
      </c>
      <c r="B1127">
        <v>10.16</v>
      </c>
    </row>
    <row r="1128" spans="1:2" x14ac:dyDescent="0.25">
      <c r="A1128" s="1">
        <v>40360</v>
      </c>
      <c r="B1128">
        <v>10.16</v>
      </c>
    </row>
    <row r="1129" spans="1:2" x14ac:dyDescent="0.25">
      <c r="A1129" s="1">
        <v>40361</v>
      </c>
      <c r="B1129">
        <v>10.16</v>
      </c>
    </row>
    <row r="1130" spans="1:2" x14ac:dyDescent="0.25">
      <c r="A1130" s="1">
        <v>40364</v>
      </c>
      <c r="B1130">
        <v>10.16</v>
      </c>
    </row>
    <row r="1131" spans="1:2" x14ac:dyDescent="0.25">
      <c r="A1131" s="1">
        <v>40365</v>
      </c>
      <c r="B1131">
        <v>10.16</v>
      </c>
    </row>
    <row r="1132" spans="1:2" x14ac:dyDescent="0.25">
      <c r="A1132" s="1">
        <v>40366</v>
      </c>
      <c r="B1132">
        <v>10.16</v>
      </c>
    </row>
    <row r="1133" spans="1:2" x14ac:dyDescent="0.25">
      <c r="A1133" s="1">
        <v>40367</v>
      </c>
      <c r="B1133">
        <v>10.16</v>
      </c>
    </row>
    <row r="1134" spans="1:2" x14ac:dyDescent="0.25">
      <c r="A1134" s="1">
        <v>40368</v>
      </c>
      <c r="B1134">
        <v>10.16</v>
      </c>
    </row>
    <row r="1135" spans="1:2" x14ac:dyDescent="0.25">
      <c r="A1135" s="1">
        <v>40371</v>
      </c>
      <c r="B1135">
        <v>10.16</v>
      </c>
    </row>
    <row r="1136" spans="1:2" x14ac:dyDescent="0.25">
      <c r="A1136" s="1">
        <v>40372</v>
      </c>
      <c r="B1136">
        <v>10.16</v>
      </c>
    </row>
    <row r="1137" spans="1:2" x14ac:dyDescent="0.25">
      <c r="A1137" s="1">
        <v>40373</v>
      </c>
      <c r="B1137">
        <v>10.16</v>
      </c>
    </row>
    <row r="1138" spans="1:2" x14ac:dyDescent="0.25">
      <c r="A1138" s="1">
        <v>40374</v>
      </c>
      <c r="B1138">
        <v>10.16</v>
      </c>
    </row>
    <row r="1139" spans="1:2" x14ac:dyDescent="0.25">
      <c r="A1139" s="1">
        <v>40375</v>
      </c>
      <c r="B1139">
        <v>10.16</v>
      </c>
    </row>
    <row r="1140" spans="1:2" x14ac:dyDescent="0.25">
      <c r="A1140" s="1">
        <v>40378</v>
      </c>
      <c r="B1140">
        <v>10.16</v>
      </c>
    </row>
    <row r="1141" spans="1:2" x14ac:dyDescent="0.25">
      <c r="A1141" s="1">
        <v>40379</v>
      </c>
      <c r="B1141">
        <v>10.16</v>
      </c>
    </row>
    <row r="1142" spans="1:2" x14ac:dyDescent="0.25">
      <c r="A1142" s="1">
        <v>40380</v>
      </c>
      <c r="B1142">
        <v>10.16</v>
      </c>
    </row>
    <row r="1143" spans="1:2" x14ac:dyDescent="0.25">
      <c r="A1143" s="1">
        <v>40381</v>
      </c>
      <c r="B1143">
        <v>10.66</v>
      </c>
    </row>
    <row r="1144" spans="1:2" x14ac:dyDescent="0.25">
      <c r="A1144" s="1">
        <v>40382</v>
      </c>
      <c r="B1144">
        <v>10.66</v>
      </c>
    </row>
    <row r="1145" spans="1:2" x14ac:dyDescent="0.25">
      <c r="A1145" s="1">
        <v>40385</v>
      </c>
      <c r="B1145">
        <v>10.66</v>
      </c>
    </row>
    <row r="1146" spans="1:2" x14ac:dyDescent="0.25">
      <c r="A1146" s="1">
        <v>40386</v>
      </c>
      <c r="B1146">
        <v>10.66</v>
      </c>
    </row>
    <row r="1147" spans="1:2" x14ac:dyDescent="0.25">
      <c r="A1147" s="1">
        <v>40387</v>
      </c>
      <c r="B1147">
        <v>10.66</v>
      </c>
    </row>
    <row r="1148" spans="1:2" x14ac:dyDescent="0.25">
      <c r="A1148" s="1">
        <v>40388</v>
      </c>
      <c r="B1148">
        <v>10.66</v>
      </c>
    </row>
    <row r="1149" spans="1:2" x14ac:dyDescent="0.25">
      <c r="A1149" s="1">
        <v>40389</v>
      </c>
      <c r="B1149">
        <v>10.66</v>
      </c>
    </row>
    <row r="1150" spans="1:2" x14ac:dyDescent="0.25">
      <c r="A1150" s="1">
        <v>40392</v>
      </c>
      <c r="B1150">
        <v>10.66</v>
      </c>
    </row>
    <row r="1151" spans="1:2" x14ac:dyDescent="0.25">
      <c r="A1151" s="1">
        <v>40393</v>
      </c>
      <c r="B1151">
        <v>10.66</v>
      </c>
    </row>
    <row r="1152" spans="1:2" x14ac:dyDescent="0.25">
      <c r="A1152" s="1">
        <v>40394</v>
      </c>
      <c r="B1152">
        <v>10.66</v>
      </c>
    </row>
    <row r="1153" spans="1:2" x14ac:dyDescent="0.25">
      <c r="A1153" s="1">
        <v>40395</v>
      </c>
      <c r="B1153">
        <v>10.66</v>
      </c>
    </row>
    <row r="1154" spans="1:2" x14ac:dyDescent="0.25">
      <c r="A1154" s="1">
        <v>40396</v>
      </c>
      <c r="B1154">
        <v>10.66</v>
      </c>
    </row>
    <row r="1155" spans="1:2" x14ac:dyDescent="0.25">
      <c r="A1155" s="1">
        <v>40399</v>
      </c>
      <c r="B1155">
        <v>10.66</v>
      </c>
    </row>
    <row r="1156" spans="1:2" x14ac:dyDescent="0.25">
      <c r="A1156" s="1">
        <v>40400</v>
      </c>
      <c r="B1156">
        <v>10.66</v>
      </c>
    </row>
    <row r="1157" spans="1:2" x14ac:dyDescent="0.25">
      <c r="A1157" s="1">
        <v>40401</v>
      </c>
      <c r="B1157">
        <v>10.66</v>
      </c>
    </row>
    <row r="1158" spans="1:2" x14ac:dyDescent="0.25">
      <c r="A1158" s="1">
        <v>40402</v>
      </c>
      <c r="B1158">
        <v>10.66</v>
      </c>
    </row>
    <row r="1159" spans="1:2" x14ac:dyDescent="0.25">
      <c r="A1159" s="1">
        <v>40403</v>
      </c>
      <c r="B1159">
        <v>10.66</v>
      </c>
    </row>
    <row r="1160" spans="1:2" x14ac:dyDescent="0.25">
      <c r="A1160" s="1">
        <v>40406</v>
      </c>
      <c r="B1160">
        <v>10.66</v>
      </c>
    </row>
    <row r="1161" spans="1:2" x14ac:dyDescent="0.25">
      <c r="A1161" s="1">
        <v>40407</v>
      </c>
      <c r="B1161">
        <v>10.66</v>
      </c>
    </row>
    <row r="1162" spans="1:2" x14ac:dyDescent="0.25">
      <c r="A1162" s="1">
        <v>40408</v>
      </c>
      <c r="B1162">
        <v>10.66</v>
      </c>
    </row>
    <row r="1163" spans="1:2" x14ac:dyDescent="0.25">
      <c r="A1163" s="1">
        <v>40409</v>
      </c>
      <c r="B1163">
        <v>10.66</v>
      </c>
    </row>
    <row r="1164" spans="1:2" x14ac:dyDescent="0.25">
      <c r="A1164" s="1">
        <v>40410</v>
      </c>
      <c r="B1164">
        <v>10.66</v>
      </c>
    </row>
    <row r="1165" spans="1:2" x14ac:dyDescent="0.25">
      <c r="A1165" s="1">
        <v>40413</v>
      </c>
      <c r="B1165">
        <v>10.66</v>
      </c>
    </row>
    <row r="1166" spans="1:2" x14ac:dyDescent="0.25">
      <c r="A1166" s="1">
        <v>40414</v>
      </c>
      <c r="B1166">
        <v>10.66</v>
      </c>
    </row>
    <row r="1167" spans="1:2" x14ac:dyDescent="0.25">
      <c r="A1167" s="1">
        <v>40415</v>
      </c>
      <c r="B1167">
        <v>10.66</v>
      </c>
    </row>
    <row r="1168" spans="1:2" x14ac:dyDescent="0.25">
      <c r="A1168" s="1">
        <v>40416</v>
      </c>
      <c r="B1168">
        <v>10.66</v>
      </c>
    </row>
    <row r="1169" spans="1:2" x14ac:dyDescent="0.25">
      <c r="A1169" s="1">
        <v>40417</v>
      </c>
      <c r="B1169">
        <v>10.66</v>
      </c>
    </row>
    <row r="1170" spans="1:2" x14ac:dyDescent="0.25">
      <c r="A1170" s="1">
        <v>40420</v>
      </c>
      <c r="B1170">
        <v>10.66</v>
      </c>
    </row>
    <row r="1171" spans="1:2" x14ac:dyDescent="0.25">
      <c r="A1171" s="1">
        <v>40421</v>
      </c>
      <c r="B1171">
        <v>10.66</v>
      </c>
    </row>
    <row r="1172" spans="1:2" x14ac:dyDescent="0.25">
      <c r="A1172" s="1">
        <v>40422</v>
      </c>
      <c r="B1172">
        <v>10.66</v>
      </c>
    </row>
    <row r="1173" spans="1:2" x14ac:dyDescent="0.25">
      <c r="A1173" s="1">
        <v>40423</v>
      </c>
      <c r="B1173">
        <v>10.66</v>
      </c>
    </row>
    <row r="1174" spans="1:2" x14ac:dyDescent="0.25">
      <c r="A1174" s="1">
        <v>40424</v>
      </c>
      <c r="B1174">
        <v>10.66</v>
      </c>
    </row>
    <row r="1175" spans="1:2" x14ac:dyDescent="0.25">
      <c r="A1175" s="1">
        <v>40427</v>
      </c>
      <c r="B1175">
        <v>10.66</v>
      </c>
    </row>
    <row r="1176" spans="1:2" x14ac:dyDescent="0.25">
      <c r="A1176" s="1">
        <v>40429</v>
      </c>
      <c r="B1176">
        <v>10.66</v>
      </c>
    </row>
    <row r="1177" spans="1:2" x14ac:dyDescent="0.25">
      <c r="A1177" s="1">
        <v>40430</v>
      </c>
      <c r="B1177">
        <v>10.66</v>
      </c>
    </row>
    <row r="1178" spans="1:2" x14ac:dyDescent="0.25">
      <c r="A1178" s="1">
        <v>40431</v>
      </c>
      <c r="B1178">
        <v>10.66</v>
      </c>
    </row>
    <row r="1179" spans="1:2" x14ac:dyDescent="0.25">
      <c r="A1179" s="1">
        <v>40434</v>
      </c>
      <c r="B1179">
        <v>10.66</v>
      </c>
    </row>
    <row r="1180" spans="1:2" x14ac:dyDescent="0.25">
      <c r="A1180" s="1">
        <v>40435</v>
      </c>
      <c r="B1180">
        <v>10.66</v>
      </c>
    </row>
    <row r="1181" spans="1:2" x14ac:dyDescent="0.25">
      <c r="A1181" s="1">
        <v>40436</v>
      </c>
      <c r="B1181">
        <v>10.66</v>
      </c>
    </row>
    <row r="1182" spans="1:2" x14ac:dyDescent="0.25">
      <c r="A1182" s="1">
        <v>40437</v>
      </c>
      <c r="B1182">
        <v>10.66</v>
      </c>
    </row>
    <row r="1183" spans="1:2" x14ac:dyDescent="0.25">
      <c r="A1183" s="1">
        <v>40438</v>
      </c>
      <c r="B1183">
        <v>10.66</v>
      </c>
    </row>
    <row r="1184" spans="1:2" x14ac:dyDescent="0.25">
      <c r="A1184" s="1">
        <v>40441</v>
      </c>
      <c r="B1184">
        <v>10.66</v>
      </c>
    </row>
    <row r="1185" spans="1:2" x14ac:dyDescent="0.25">
      <c r="A1185" s="1">
        <v>40442</v>
      </c>
      <c r="B1185">
        <v>10.66</v>
      </c>
    </row>
    <row r="1186" spans="1:2" x14ac:dyDescent="0.25">
      <c r="A1186" s="1">
        <v>40443</v>
      </c>
      <c r="B1186">
        <v>10.66</v>
      </c>
    </row>
    <row r="1187" spans="1:2" x14ac:dyDescent="0.25">
      <c r="A1187" s="1">
        <v>40444</v>
      </c>
      <c r="B1187">
        <v>10.66</v>
      </c>
    </row>
    <row r="1188" spans="1:2" x14ac:dyDescent="0.25">
      <c r="A1188" s="1">
        <v>40445</v>
      </c>
      <c r="B1188">
        <v>10.66</v>
      </c>
    </row>
    <row r="1189" spans="1:2" x14ac:dyDescent="0.25">
      <c r="A1189" s="1">
        <v>40448</v>
      </c>
      <c r="B1189">
        <v>10.66</v>
      </c>
    </row>
    <row r="1190" spans="1:2" x14ac:dyDescent="0.25">
      <c r="A1190" s="1">
        <v>40449</v>
      </c>
      <c r="B1190">
        <v>10.66</v>
      </c>
    </row>
    <row r="1191" spans="1:2" x14ac:dyDescent="0.25">
      <c r="A1191" s="1">
        <v>40450</v>
      </c>
      <c r="B1191">
        <v>10.66</v>
      </c>
    </row>
    <row r="1192" spans="1:2" x14ac:dyDescent="0.25">
      <c r="A1192" s="1">
        <v>40451</v>
      </c>
      <c r="B1192">
        <v>10.66</v>
      </c>
    </row>
    <row r="1193" spans="1:2" x14ac:dyDescent="0.25">
      <c r="A1193" s="1">
        <v>40452</v>
      </c>
      <c r="B1193">
        <v>10.66</v>
      </c>
    </row>
    <row r="1194" spans="1:2" x14ac:dyDescent="0.25">
      <c r="A1194" s="1">
        <v>40455</v>
      </c>
      <c r="B1194">
        <v>10.66</v>
      </c>
    </row>
    <row r="1195" spans="1:2" x14ac:dyDescent="0.25">
      <c r="A1195" s="1">
        <v>40456</v>
      </c>
      <c r="B1195">
        <v>10.66</v>
      </c>
    </row>
    <row r="1196" spans="1:2" x14ac:dyDescent="0.25">
      <c r="A1196" s="1">
        <v>40457</v>
      </c>
      <c r="B1196">
        <v>10.66</v>
      </c>
    </row>
    <row r="1197" spans="1:2" x14ac:dyDescent="0.25">
      <c r="A1197" s="1">
        <v>40458</v>
      </c>
      <c r="B1197">
        <v>10.66</v>
      </c>
    </row>
    <row r="1198" spans="1:2" x14ac:dyDescent="0.25">
      <c r="A1198" s="1">
        <v>40459</v>
      </c>
      <c r="B1198">
        <v>10.66</v>
      </c>
    </row>
    <row r="1199" spans="1:2" x14ac:dyDescent="0.25">
      <c r="A1199" s="1">
        <v>40462</v>
      </c>
      <c r="B1199">
        <v>10.66</v>
      </c>
    </row>
    <row r="1200" spans="1:2" x14ac:dyDescent="0.25">
      <c r="A1200" s="1">
        <v>40464</v>
      </c>
      <c r="B1200">
        <v>10.66</v>
      </c>
    </row>
    <row r="1201" spans="1:2" x14ac:dyDescent="0.25">
      <c r="A1201" s="1">
        <v>40465</v>
      </c>
      <c r="B1201">
        <v>10.66</v>
      </c>
    </row>
    <row r="1202" spans="1:2" x14ac:dyDescent="0.25">
      <c r="A1202" s="1">
        <v>40466</v>
      </c>
      <c r="B1202">
        <v>10.66</v>
      </c>
    </row>
    <row r="1203" spans="1:2" x14ac:dyDescent="0.25">
      <c r="A1203" s="1">
        <v>40469</v>
      </c>
      <c r="B1203">
        <v>10.66</v>
      </c>
    </row>
    <row r="1204" spans="1:2" x14ac:dyDescent="0.25">
      <c r="A1204" s="1">
        <v>40470</v>
      </c>
      <c r="B1204">
        <v>10.66</v>
      </c>
    </row>
    <row r="1205" spans="1:2" x14ac:dyDescent="0.25">
      <c r="A1205" s="1">
        <v>40471</v>
      </c>
      <c r="B1205">
        <v>10.66</v>
      </c>
    </row>
    <row r="1206" spans="1:2" x14ac:dyDescent="0.25">
      <c r="A1206" s="1">
        <v>40472</v>
      </c>
      <c r="B1206">
        <v>10.66</v>
      </c>
    </row>
    <row r="1207" spans="1:2" x14ac:dyDescent="0.25">
      <c r="A1207" s="1">
        <v>40473</v>
      </c>
      <c r="B1207">
        <v>10.66</v>
      </c>
    </row>
    <row r="1208" spans="1:2" x14ac:dyDescent="0.25">
      <c r="A1208" s="1">
        <v>40476</v>
      </c>
      <c r="B1208">
        <v>10.66</v>
      </c>
    </row>
    <row r="1209" spans="1:2" x14ac:dyDescent="0.25">
      <c r="A1209" s="1">
        <v>40477</v>
      </c>
      <c r="B1209">
        <v>10.66</v>
      </c>
    </row>
    <row r="1210" spans="1:2" x14ac:dyDescent="0.25">
      <c r="A1210" s="1">
        <v>40478</v>
      </c>
      <c r="B1210">
        <v>10.66</v>
      </c>
    </row>
    <row r="1211" spans="1:2" x14ac:dyDescent="0.25">
      <c r="A1211" s="1">
        <v>40479</v>
      </c>
      <c r="B1211">
        <v>10.66</v>
      </c>
    </row>
    <row r="1212" spans="1:2" x14ac:dyDescent="0.25">
      <c r="A1212" s="1">
        <v>40480</v>
      </c>
      <c r="B1212">
        <v>10.66</v>
      </c>
    </row>
    <row r="1213" spans="1:2" x14ac:dyDescent="0.25">
      <c r="A1213" s="1">
        <v>40483</v>
      </c>
      <c r="B1213">
        <v>10.66</v>
      </c>
    </row>
    <row r="1214" spans="1:2" x14ac:dyDescent="0.25">
      <c r="A1214" s="1">
        <v>40485</v>
      </c>
      <c r="B1214">
        <v>10.66</v>
      </c>
    </row>
    <row r="1215" spans="1:2" x14ac:dyDescent="0.25">
      <c r="A1215" s="1">
        <v>40486</v>
      </c>
      <c r="B1215">
        <v>10.66</v>
      </c>
    </row>
    <row r="1216" spans="1:2" x14ac:dyDescent="0.25">
      <c r="A1216" s="1">
        <v>40487</v>
      </c>
      <c r="B1216">
        <v>10.66</v>
      </c>
    </row>
    <row r="1217" spans="1:2" x14ac:dyDescent="0.25">
      <c r="A1217" s="1">
        <v>40490</v>
      </c>
      <c r="B1217">
        <v>10.66</v>
      </c>
    </row>
    <row r="1218" spans="1:2" x14ac:dyDescent="0.25">
      <c r="A1218" s="1">
        <v>40491</v>
      </c>
      <c r="B1218">
        <v>10.66</v>
      </c>
    </row>
    <row r="1219" spans="1:2" x14ac:dyDescent="0.25">
      <c r="A1219" s="1">
        <v>40492</v>
      </c>
      <c r="B1219">
        <v>10.66</v>
      </c>
    </row>
    <row r="1220" spans="1:2" x14ac:dyDescent="0.25">
      <c r="A1220" s="1">
        <v>40493</v>
      </c>
      <c r="B1220">
        <v>10.66</v>
      </c>
    </row>
    <row r="1221" spans="1:2" x14ac:dyDescent="0.25">
      <c r="A1221" s="1">
        <v>40494</v>
      </c>
      <c r="B1221">
        <v>10.66</v>
      </c>
    </row>
    <row r="1222" spans="1:2" x14ac:dyDescent="0.25">
      <c r="A1222" s="1">
        <v>40498</v>
      </c>
      <c r="B1222">
        <v>10.66</v>
      </c>
    </row>
    <row r="1223" spans="1:2" x14ac:dyDescent="0.25">
      <c r="A1223" s="1">
        <v>40499</v>
      </c>
      <c r="B1223">
        <v>10.66</v>
      </c>
    </row>
    <row r="1224" spans="1:2" x14ac:dyDescent="0.25">
      <c r="A1224" s="1">
        <v>40500</v>
      </c>
      <c r="B1224">
        <v>10.66</v>
      </c>
    </row>
    <row r="1225" spans="1:2" x14ac:dyDescent="0.25">
      <c r="A1225" s="1">
        <v>40501</v>
      </c>
      <c r="B1225">
        <v>10.66</v>
      </c>
    </row>
    <row r="1226" spans="1:2" x14ac:dyDescent="0.25">
      <c r="A1226" s="1">
        <v>40504</v>
      </c>
      <c r="B1226">
        <v>10.66</v>
      </c>
    </row>
    <row r="1227" spans="1:2" x14ac:dyDescent="0.25">
      <c r="A1227" s="1">
        <v>40505</v>
      </c>
      <c r="B1227">
        <v>10.66</v>
      </c>
    </row>
    <row r="1228" spans="1:2" x14ac:dyDescent="0.25">
      <c r="A1228" s="1">
        <v>40506</v>
      </c>
      <c r="B1228">
        <v>10.66</v>
      </c>
    </row>
    <row r="1229" spans="1:2" x14ac:dyDescent="0.25">
      <c r="A1229" s="1">
        <v>40507</v>
      </c>
      <c r="B1229">
        <v>10.66</v>
      </c>
    </row>
    <row r="1230" spans="1:2" x14ac:dyDescent="0.25">
      <c r="A1230" s="1">
        <v>40508</v>
      </c>
      <c r="B1230">
        <v>10.66</v>
      </c>
    </row>
    <row r="1231" spans="1:2" x14ac:dyDescent="0.25">
      <c r="A1231" s="1">
        <v>40511</v>
      </c>
      <c r="B1231">
        <v>10.66</v>
      </c>
    </row>
    <row r="1232" spans="1:2" x14ac:dyDescent="0.25">
      <c r="A1232" s="1">
        <v>40512</v>
      </c>
      <c r="B1232">
        <v>10.66</v>
      </c>
    </row>
    <row r="1233" spans="1:2" x14ac:dyDescent="0.25">
      <c r="A1233" s="1">
        <v>40513</v>
      </c>
      <c r="B1233">
        <v>10.66</v>
      </c>
    </row>
    <row r="1234" spans="1:2" x14ac:dyDescent="0.25">
      <c r="A1234" s="1">
        <v>40514</v>
      </c>
      <c r="B1234">
        <v>10.66</v>
      </c>
    </row>
    <row r="1235" spans="1:2" x14ac:dyDescent="0.25">
      <c r="A1235" s="1">
        <v>40515</v>
      </c>
      <c r="B1235">
        <v>10.66</v>
      </c>
    </row>
    <row r="1236" spans="1:2" x14ac:dyDescent="0.25">
      <c r="A1236" s="1">
        <v>40518</v>
      </c>
      <c r="B1236">
        <v>10.66</v>
      </c>
    </row>
    <row r="1237" spans="1:2" x14ac:dyDescent="0.25">
      <c r="A1237" s="1">
        <v>40519</v>
      </c>
      <c r="B1237">
        <v>10.66</v>
      </c>
    </row>
    <row r="1238" spans="1:2" x14ac:dyDescent="0.25">
      <c r="A1238" s="1">
        <v>40520</v>
      </c>
      <c r="B1238">
        <v>10.66</v>
      </c>
    </row>
    <row r="1239" spans="1:2" x14ac:dyDescent="0.25">
      <c r="A1239" s="1">
        <v>40521</v>
      </c>
      <c r="B1239">
        <v>10.66</v>
      </c>
    </row>
    <row r="1240" spans="1:2" x14ac:dyDescent="0.25">
      <c r="A1240" s="1">
        <v>40522</v>
      </c>
      <c r="B1240">
        <v>10.66</v>
      </c>
    </row>
    <row r="1241" spans="1:2" x14ac:dyDescent="0.25">
      <c r="A1241" s="1">
        <v>40525</v>
      </c>
      <c r="B1241">
        <v>10.66</v>
      </c>
    </row>
    <row r="1242" spans="1:2" x14ac:dyDescent="0.25">
      <c r="A1242" s="1">
        <v>40526</v>
      </c>
      <c r="B1242">
        <v>10.66</v>
      </c>
    </row>
    <row r="1243" spans="1:2" x14ac:dyDescent="0.25">
      <c r="A1243" s="1">
        <v>40527</v>
      </c>
      <c r="B1243">
        <v>10.66</v>
      </c>
    </row>
    <row r="1244" spans="1:2" x14ac:dyDescent="0.25">
      <c r="A1244" s="1">
        <v>40528</v>
      </c>
      <c r="B1244">
        <v>10.67</v>
      </c>
    </row>
    <row r="1245" spans="1:2" x14ac:dyDescent="0.25">
      <c r="A1245" s="1">
        <v>40529</v>
      </c>
      <c r="B1245">
        <v>10.66</v>
      </c>
    </row>
    <row r="1246" spans="1:2" x14ac:dyDescent="0.25">
      <c r="A1246" s="1">
        <v>40532</v>
      </c>
      <c r="B1246">
        <v>10.66</v>
      </c>
    </row>
    <row r="1247" spans="1:2" x14ac:dyDescent="0.25">
      <c r="A1247" s="1">
        <v>40533</v>
      </c>
      <c r="B1247">
        <v>10.66</v>
      </c>
    </row>
    <row r="1248" spans="1:2" x14ac:dyDescent="0.25">
      <c r="A1248" s="1">
        <v>40534</v>
      </c>
      <c r="B1248">
        <v>10.66</v>
      </c>
    </row>
    <row r="1249" spans="1:2" x14ac:dyDescent="0.25">
      <c r="A1249" s="1">
        <v>40535</v>
      </c>
      <c r="B1249">
        <v>10.66</v>
      </c>
    </row>
    <row r="1250" spans="1:2" x14ac:dyDescent="0.25">
      <c r="A1250" s="1">
        <v>40536</v>
      </c>
      <c r="B1250">
        <v>10.66</v>
      </c>
    </row>
    <row r="1251" spans="1:2" x14ac:dyDescent="0.25">
      <c r="A1251" s="1">
        <v>40539</v>
      </c>
      <c r="B1251">
        <v>10.66</v>
      </c>
    </row>
    <row r="1252" spans="1:2" x14ac:dyDescent="0.25">
      <c r="A1252" s="1">
        <v>40540</v>
      </c>
      <c r="B1252">
        <v>10.66</v>
      </c>
    </row>
    <row r="1253" spans="1:2" x14ac:dyDescent="0.25">
      <c r="A1253" s="1">
        <v>40541</v>
      </c>
      <c r="B1253">
        <v>10.66</v>
      </c>
    </row>
    <row r="1254" spans="1:2" x14ac:dyDescent="0.25">
      <c r="A1254" s="1">
        <v>40542</v>
      </c>
      <c r="B1254">
        <v>10.67</v>
      </c>
    </row>
    <row r="1255" spans="1:2" x14ac:dyDescent="0.25">
      <c r="A1255" s="1">
        <v>40543</v>
      </c>
      <c r="B1255">
        <v>10.67</v>
      </c>
    </row>
    <row r="1256" spans="1:2" x14ac:dyDescent="0.25">
      <c r="A1256" s="1">
        <v>40546</v>
      </c>
      <c r="B1256">
        <v>10.67</v>
      </c>
    </row>
    <row r="1257" spans="1:2" x14ac:dyDescent="0.25">
      <c r="A1257" s="1">
        <v>40547</v>
      </c>
      <c r="B1257">
        <v>10.66</v>
      </c>
    </row>
    <row r="1258" spans="1:2" x14ac:dyDescent="0.25">
      <c r="A1258" s="1">
        <v>40548</v>
      </c>
      <c r="B1258">
        <v>10.67</v>
      </c>
    </row>
    <row r="1259" spans="1:2" x14ac:dyDescent="0.25">
      <c r="A1259" s="1">
        <v>40549</v>
      </c>
      <c r="B1259">
        <v>10.66</v>
      </c>
    </row>
    <row r="1260" spans="1:2" x14ac:dyDescent="0.25">
      <c r="A1260" s="1">
        <v>40550</v>
      </c>
      <c r="B1260">
        <v>10.67</v>
      </c>
    </row>
    <row r="1261" spans="1:2" x14ac:dyDescent="0.25">
      <c r="A1261" s="1">
        <v>40553</v>
      </c>
      <c r="B1261">
        <v>10.66</v>
      </c>
    </row>
    <row r="1262" spans="1:2" x14ac:dyDescent="0.25">
      <c r="A1262" s="1">
        <v>40554</v>
      </c>
      <c r="B1262">
        <v>10.66</v>
      </c>
    </row>
    <row r="1263" spans="1:2" x14ac:dyDescent="0.25">
      <c r="A1263" s="1">
        <v>40555</v>
      </c>
      <c r="B1263">
        <v>10.66</v>
      </c>
    </row>
    <row r="1264" spans="1:2" x14ac:dyDescent="0.25">
      <c r="A1264" s="1">
        <v>40556</v>
      </c>
      <c r="B1264">
        <v>10.66</v>
      </c>
    </row>
    <row r="1265" spans="1:2" x14ac:dyDescent="0.25">
      <c r="A1265" s="1">
        <v>40557</v>
      </c>
      <c r="B1265">
        <v>10.66</v>
      </c>
    </row>
    <row r="1266" spans="1:2" x14ac:dyDescent="0.25">
      <c r="A1266" s="1">
        <v>40560</v>
      </c>
      <c r="B1266">
        <v>10.66</v>
      </c>
    </row>
    <row r="1267" spans="1:2" x14ac:dyDescent="0.25">
      <c r="A1267" s="1">
        <v>40561</v>
      </c>
      <c r="B1267">
        <v>10.66</v>
      </c>
    </row>
    <row r="1268" spans="1:2" x14ac:dyDescent="0.25">
      <c r="A1268" s="1">
        <v>40562</v>
      </c>
      <c r="B1268">
        <v>10.66</v>
      </c>
    </row>
    <row r="1269" spans="1:2" x14ac:dyDescent="0.25">
      <c r="A1269" s="1">
        <v>40563</v>
      </c>
      <c r="B1269">
        <v>11.16</v>
      </c>
    </row>
    <row r="1270" spans="1:2" x14ac:dyDescent="0.25">
      <c r="A1270" s="1">
        <v>40564</v>
      </c>
      <c r="B1270">
        <v>11.16</v>
      </c>
    </row>
    <row r="1271" spans="1:2" x14ac:dyDescent="0.25">
      <c r="A1271" s="1">
        <v>40567</v>
      </c>
      <c r="B1271">
        <v>11.16</v>
      </c>
    </row>
    <row r="1272" spans="1:2" x14ac:dyDescent="0.25">
      <c r="A1272" s="1">
        <v>40568</v>
      </c>
      <c r="B1272">
        <v>11.16</v>
      </c>
    </row>
    <row r="1273" spans="1:2" x14ac:dyDescent="0.25">
      <c r="A1273" s="1">
        <v>40569</v>
      </c>
      <c r="B1273">
        <v>11.16</v>
      </c>
    </row>
    <row r="1274" spans="1:2" x14ac:dyDescent="0.25">
      <c r="A1274" s="1">
        <v>40570</v>
      </c>
      <c r="B1274">
        <v>11.17</v>
      </c>
    </row>
    <row r="1275" spans="1:2" x14ac:dyDescent="0.25">
      <c r="A1275" s="1">
        <v>40571</v>
      </c>
      <c r="B1275">
        <v>11.17</v>
      </c>
    </row>
    <row r="1276" spans="1:2" x14ac:dyDescent="0.25">
      <c r="A1276" s="1">
        <v>40574</v>
      </c>
      <c r="B1276">
        <v>11.17</v>
      </c>
    </row>
    <row r="1277" spans="1:2" x14ac:dyDescent="0.25">
      <c r="A1277" s="1">
        <v>40575</v>
      </c>
      <c r="B1277">
        <v>11.16</v>
      </c>
    </row>
    <row r="1278" spans="1:2" x14ac:dyDescent="0.25">
      <c r="A1278" s="1">
        <v>40576</v>
      </c>
      <c r="B1278">
        <v>11.17</v>
      </c>
    </row>
    <row r="1279" spans="1:2" x14ac:dyDescent="0.25">
      <c r="A1279" s="1">
        <v>40577</v>
      </c>
      <c r="B1279">
        <v>11.17</v>
      </c>
    </row>
    <row r="1280" spans="1:2" x14ac:dyDescent="0.25">
      <c r="A1280" s="1">
        <v>40578</v>
      </c>
      <c r="B1280">
        <v>11.17</v>
      </c>
    </row>
    <row r="1281" spans="1:2" x14ac:dyDescent="0.25">
      <c r="A1281" s="1">
        <v>40581</v>
      </c>
      <c r="B1281">
        <v>11.17</v>
      </c>
    </row>
    <row r="1282" spans="1:2" x14ac:dyDescent="0.25">
      <c r="A1282" s="1">
        <v>40582</v>
      </c>
      <c r="B1282">
        <v>11.17</v>
      </c>
    </row>
    <row r="1283" spans="1:2" x14ac:dyDescent="0.25">
      <c r="A1283" s="1">
        <v>40583</v>
      </c>
      <c r="B1283">
        <v>11.17</v>
      </c>
    </row>
    <row r="1284" spans="1:2" x14ac:dyDescent="0.25">
      <c r="A1284" s="1">
        <v>40584</v>
      </c>
      <c r="B1284">
        <v>11.17</v>
      </c>
    </row>
    <row r="1285" spans="1:2" x14ac:dyDescent="0.25">
      <c r="A1285" s="1">
        <v>40585</v>
      </c>
      <c r="B1285">
        <v>11.17</v>
      </c>
    </row>
    <row r="1286" spans="1:2" x14ac:dyDescent="0.25">
      <c r="A1286" s="1">
        <v>40588</v>
      </c>
      <c r="B1286">
        <v>11.17</v>
      </c>
    </row>
    <row r="1287" spans="1:2" x14ac:dyDescent="0.25">
      <c r="A1287" s="1">
        <v>40589</v>
      </c>
      <c r="B1287">
        <v>11.17</v>
      </c>
    </row>
    <row r="1288" spans="1:2" x14ac:dyDescent="0.25">
      <c r="A1288" s="1">
        <v>40590</v>
      </c>
      <c r="B1288">
        <v>11.17</v>
      </c>
    </row>
    <row r="1289" spans="1:2" x14ac:dyDescent="0.25">
      <c r="A1289" s="1">
        <v>40591</v>
      </c>
      <c r="B1289">
        <v>11.17</v>
      </c>
    </row>
    <row r="1290" spans="1:2" x14ac:dyDescent="0.25">
      <c r="A1290" s="1">
        <v>40592</v>
      </c>
      <c r="B1290">
        <v>11.17</v>
      </c>
    </row>
    <row r="1291" spans="1:2" x14ac:dyDescent="0.25">
      <c r="A1291" s="1">
        <v>40595</v>
      </c>
      <c r="B1291">
        <v>11.17</v>
      </c>
    </row>
    <row r="1292" spans="1:2" x14ac:dyDescent="0.25">
      <c r="A1292" s="1">
        <v>40596</v>
      </c>
      <c r="B1292">
        <v>11.17</v>
      </c>
    </row>
    <row r="1293" spans="1:2" x14ac:dyDescent="0.25">
      <c r="A1293" s="1">
        <v>40597</v>
      </c>
      <c r="B1293">
        <v>11.17</v>
      </c>
    </row>
    <row r="1294" spans="1:2" x14ac:dyDescent="0.25">
      <c r="A1294" s="1">
        <v>40598</v>
      </c>
      <c r="B1294">
        <v>11.17</v>
      </c>
    </row>
    <row r="1295" spans="1:2" x14ac:dyDescent="0.25">
      <c r="A1295" s="1">
        <v>40599</v>
      </c>
      <c r="B1295">
        <v>11.17</v>
      </c>
    </row>
    <row r="1296" spans="1:2" x14ac:dyDescent="0.25">
      <c r="A1296" s="1">
        <v>40602</v>
      </c>
      <c r="B1296">
        <v>11.17</v>
      </c>
    </row>
    <row r="1297" spans="1:2" x14ac:dyDescent="0.25">
      <c r="A1297" s="1">
        <v>40603</v>
      </c>
      <c r="B1297">
        <v>11.17</v>
      </c>
    </row>
    <row r="1298" spans="1:2" x14ac:dyDescent="0.25">
      <c r="A1298" s="1">
        <v>40604</v>
      </c>
      <c r="B1298">
        <v>11.17</v>
      </c>
    </row>
    <row r="1299" spans="1:2" x14ac:dyDescent="0.25">
      <c r="A1299" s="1">
        <v>40605</v>
      </c>
      <c r="B1299">
        <v>11.67</v>
      </c>
    </row>
    <row r="1300" spans="1:2" x14ac:dyDescent="0.25">
      <c r="A1300" s="1">
        <v>40606</v>
      </c>
      <c r="B1300">
        <v>11.67</v>
      </c>
    </row>
    <row r="1301" spans="1:2" x14ac:dyDescent="0.25">
      <c r="A1301" s="1">
        <v>40611</v>
      </c>
      <c r="B1301">
        <v>11.67</v>
      </c>
    </row>
    <row r="1302" spans="1:2" x14ac:dyDescent="0.25">
      <c r="A1302" s="1">
        <v>40612</v>
      </c>
      <c r="B1302">
        <v>11.67</v>
      </c>
    </row>
    <row r="1303" spans="1:2" x14ac:dyDescent="0.25">
      <c r="A1303" s="1">
        <v>40613</v>
      </c>
      <c r="B1303">
        <v>11.67</v>
      </c>
    </row>
    <row r="1304" spans="1:2" x14ac:dyDescent="0.25">
      <c r="A1304" s="1">
        <v>40616</v>
      </c>
      <c r="B1304">
        <v>11.67</v>
      </c>
    </row>
    <row r="1305" spans="1:2" x14ac:dyDescent="0.25">
      <c r="A1305" s="1">
        <v>40617</v>
      </c>
      <c r="B1305">
        <v>11.67</v>
      </c>
    </row>
    <row r="1306" spans="1:2" x14ac:dyDescent="0.25">
      <c r="A1306" s="1">
        <v>40618</v>
      </c>
      <c r="B1306">
        <v>11.67</v>
      </c>
    </row>
    <row r="1307" spans="1:2" x14ac:dyDescent="0.25">
      <c r="A1307" s="1">
        <v>40619</v>
      </c>
      <c r="B1307">
        <v>11.67</v>
      </c>
    </row>
    <row r="1308" spans="1:2" x14ac:dyDescent="0.25">
      <c r="A1308" s="1">
        <v>40620</v>
      </c>
      <c r="B1308">
        <v>11.67</v>
      </c>
    </row>
    <row r="1309" spans="1:2" x14ac:dyDescent="0.25">
      <c r="A1309" s="1">
        <v>40623</v>
      </c>
      <c r="B1309">
        <v>11.67</v>
      </c>
    </row>
    <row r="1310" spans="1:2" x14ac:dyDescent="0.25">
      <c r="A1310" s="1">
        <v>40624</v>
      </c>
      <c r="B1310">
        <v>11.67</v>
      </c>
    </row>
    <row r="1311" spans="1:2" x14ac:dyDescent="0.25">
      <c r="A1311" s="1">
        <v>40625</v>
      </c>
      <c r="B1311">
        <v>11.67</v>
      </c>
    </row>
    <row r="1312" spans="1:2" x14ac:dyDescent="0.25">
      <c r="A1312" s="1">
        <v>40626</v>
      </c>
      <c r="B1312">
        <v>11.67</v>
      </c>
    </row>
    <row r="1313" spans="1:2" x14ac:dyDescent="0.25">
      <c r="A1313" s="1">
        <v>40627</v>
      </c>
      <c r="B1313">
        <v>11.67</v>
      </c>
    </row>
    <row r="1314" spans="1:2" x14ac:dyDescent="0.25">
      <c r="A1314" s="1">
        <v>40630</v>
      </c>
      <c r="B1314">
        <v>11.67</v>
      </c>
    </row>
    <row r="1315" spans="1:2" x14ac:dyDescent="0.25">
      <c r="A1315" s="1">
        <v>40631</v>
      </c>
      <c r="B1315">
        <v>11.67</v>
      </c>
    </row>
    <row r="1316" spans="1:2" x14ac:dyDescent="0.25">
      <c r="A1316" s="1">
        <v>40632</v>
      </c>
      <c r="B1316">
        <v>11.67</v>
      </c>
    </row>
    <row r="1317" spans="1:2" x14ac:dyDescent="0.25">
      <c r="A1317" s="1">
        <v>40633</v>
      </c>
      <c r="B1317">
        <v>11.67</v>
      </c>
    </row>
    <row r="1318" spans="1:2" x14ac:dyDescent="0.25">
      <c r="A1318" s="1">
        <v>40634</v>
      </c>
      <c r="B1318">
        <v>11.67</v>
      </c>
    </row>
    <row r="1319" spans="1:2" x14ac:dyDescent="0.25">
      <c r="A1319" s="1">
        <v>40637</v>
      </c>
      <c r="B1319">
        <v>11.67</v>
      </c>
    </row>
    <row r="1320" spans="1:2" x14ac:dyDescent="0.25">
      <c r="A1320" s="1">
        <v>40638</v>
      </c>
      <c r="B1320">
        <v>11.67</v>
      </c>
    </row>
    <row r="1321" spans="1:2" x14ac:dyDescent="0.25">
      <c r="A1321" s="1">
        <v>40639</v>
      </c>
      <c r="B1321">
        <v>11.67</v>
      </c>
    </row>
    <row r="1322" spans="1:2" x14ac:dyDescent="0.25">
      <c r="A1322" s="1">
        <v>40640</v>
      </c>
      <c r="B1322">
        <v>11.67</v>
      </c>
    </row>
    <row r="1323" spans="1:2" x14ac:dyDescent="0.25">
      <c r="A1323" s="1">
        <v>40641</v>
      </c>
      <c r="B1323">
        <v>11.67</v>
      </c>
    </row>
    <row r="1324" spans="1:2" x14ac:dyDescent="0.25">
      <c r="A1324" s="1">
        <v>40644</v>
      </c>
      <c r="B1324">
        <v>11.67</v>
      </c>
    </row>
    <row r="1325" spans="1:2" x14ac:dyDescent="0.25">
      <c r="A1325" s="1">
        <v>40645</v>
      </c>
      <c r="B1325">
        <v>11.67</v>
      </c>
    </row>
    <row r="1326" spans="1:2" x14ac:dyDescent="0.25">
      <c r="A1326" s="1">
        <v>40646</v>
      </c>
      <c r="B1326">
        <v>11.67</v>
      </c>
    </row>
    <row r="1327" spans="1:2" x14ac:dyDescent="0.25">
      <c r="A1327" s="1">
        <v>40647</v>
      </c>
      <c r="B1327">
        <v>11.67</v>
      </c>
    </row>
    <row r="1328" spans="1:2" x14ac:dyDescent="0.25">
      <c r="A1328" s="1">
        <v>40648</v>
      </c>
      <c r="B1328">
        <v>11.67</v>
      </c>
    </row>
    <row r="1329" spans="1:2" x14ac:dyDescent="0.25">
      <c r="A1329" s="1">
        <v>40651</v>
      </c>
      <c r="B1329">
        <v>11.67</v>
      </c>
    </row>
    <row r="1330" spans="1:2" x14ac:dyDescent="0.25">
      <c r="A1330" s="1">
        <v>40652</v>
      </c>
      <c r="B1330">
        <v>11.67</v>
      </c>
    </row>
    <row r="1331" spans="1:2" x14ac:dyDescent="0.25">
      <c r="A1331" s="1">
        <v>40653</v>
      </c>
      <c r="B1331">
        <v>11.67</v>
      </c>
    </row>
    <row r="1332" spans="1:2" x14ac:dyDescent="0.25">
      <c r="A1332" s="1">
        <v>40658</v>
      </c>
      <c r="B1332">
        <v>11.92</v>
      </c>
    </row>
    <row r="1333" spans="1:2" x14ac:dyDescent="0.25">
      <c r="A1333" s="1">
        <v>40659</v>
      </c>
      <c r="B1333">
        <v>11.92</v>
      </c>
    </row>
    <row r="1334" spans="1:2" x14ac:dyDescent="0.25">
      <c r="A1334" s="1">
        <v>40660</v>
      </c>
      <c r="B1334">
        <v>11.92</v>
      </c>
    </row>
    <row r="1335" spans="1:2" x14ac:dyDescent="0.25">
      <c r="A1335" s="1">
        <v>40661</v>
      </c>
      <c r="B1335">
        <v>11.92</v>
      </c>
    </row>
    <row r="1336" spans="1:2" x14ac:dyDescent="0.25">
      <c r="A1336" s="1">
        <v>40662</v>
      </c>
      <c r="B1336">
        <v>11.92</v>
      </c>
    </row>
    <row r="1337" spans="1:2" x14ac:dyDescent="0.25">
      <c r="A1337" s="1">
        <v>40665</v>
      </c>
      <c r="B1337">
        <v>11.92</v>
      </c>
    </row>
    <row r="1338" spans="1:2" x14ac:dyDescent="0.25">
      <c r="A1338" s="1">
        <v>40666</v>
      </c>
      <c r="B1338">
        <v>11.92</v>
      </c>
    </row>
    <row r="1339" spans="1:2" x14ac:dyDescent="0.25">
      <c r="A1339" s="1">
        <v>40667</v>
      </c>
      <c r="B1339">
        <v>11.92</v>
      </c>
    </row>
    <row r="1340" spans="1:2" x14ac:dyDescent="0.25">
      <c r="A1340" s="1">
        <v>40668</v>
      </c>
      <c r="B1340">
        <v>11.92</v>
      </c>
    </row>
    <row r="1341" spans="1:2" x14ac:dyDescent="0.25">
      <c r="A1341" s="1">
        <v>40669</v>
      </c>
      <c r="B1341">
        <v>11.92</v>
      </c>
    </row>
    <row r="1342" spans="1:2" x14ac:dyDescent="0.25">
      <c r="A1342" s="1">
        <v>40672</v>
      </c>
      <c r="B1342">
        <v>11.92</v>
      </c>
    </row>
    <row r="1343" spans="1:2" x14ac:dyDescent="0.25">
      <c r="A1343" s="1">
        <v>40673</v>
      </c>
      <c r="B1343">
        <v>11.92</v>
      </c>
    </row>
    <row r="1344" spans="1:2" x14ac:dyDescent="0.25">
      <c r="A1344" s="1">
        <v>40674</v>
      </c>
      <c r="B1344">
        <v>11.92</v>
      </c>
    </row>
    <row r="1345" spans="1:2" x14ac:dyDescent="0.25">
      <c r="A1345" s="1">
        <v>40675</v>
      </c>
      <c r="B1345">
        <v>11.92</v>
      </c>
    </row>
    <row r="1346" spans="1:2" x14ac:dyDescent="0.25">
      <c r="A1346" s="1">
        <v>40676</v>
      </c>
      <c r="B1346">
        <v>11.92</v>
      </c>
    </row>
    <row r="1347" spans="1:2" x14ac:dyDescent="0.25">
      <c r="A1347" s="1">
        <v>40679</v>
      </c>
      <c r="B1347">
        <v>11.92</v>
      </c>
    </row>
    <row r="1348" spans="1:2" x14ac:dyDescent="0.25">
      <c r="A1348" s="1">
        <v>40680</v>
      </c>
      <c r="B1348">
        <v>11.92</v>
      </c>
    </row>
    <row r="1349" spans="1:2" x14ac:dyDescent="0.25">
      <c r="A1349" s="1">
        <v>40681</v>
      </c>
      <c r="B1349">
        <v>11.92</v>
      </c>
    </row>
    <row r="1350" spans="1:2" x14ac:dyDescent="0.25">
      <c r="A1350" s="1">
        <v>40682</v>
      </c>
      <c r="B1350">
        <v>11.92</v>
      </c>
    </row>
    <row r="1351" spans="1:2" x14ac:dyDescent="0.25">
      <c r="A1351" s="1">
        <v>40683</v>
      </c>
      <c r="B1351">
        <v>11.92</v>
      </c>
    </row>
    <row r="1352" spans="1:2" x14ac:dyDescent="0.25">
      <c r="A1352" s="1">
        <v>40686</v>
      </c>
      <c r="B1352">
        <v>11.92</v>
      </c>
    </row>
    <row r="1353" spans="1:2" x14ac:dyDescent="0.25">
      <c r="A1353" s="1">
        <v>40687</v>
      </c>
      <c r="B1353">
        <v>11.92</v>
      </c>
    </row>
    <row r="1354" spans="1:2" x14ac:dyDescent="0.25">
      <c r="A1354" s="1">
        <v>40688</v>
      </c>
      <c r="B1354">
        <v>11.92</v>
      </c>
    </row>
    <row r="1355" spans="1:2" x14ac:dyDescent="0.25">
      <c r="A1355" s="1">
        <v>40689</v>
      </c>
      <c r="B1355">
        <v>11.92</v>
      </c>
    </row>
    <row r="1356" spans="1:2" x14ac:dyDescent="0.25">
      <c r="A1356" s="1">
        <v>40690</v>
      </c>
      <c r="B1356">
        <v>11.92</v>
      </c>
    </row>
    <row r="1357" spans="1:2" x14ac:dyDescent="0.25">
      <c r="A1357" s="1">
        <v>40693</v>
      </c>
      <c r="B1357">
        <v>11.92</v>
      </c>
    </row>
    <row r="1358" spans="1:2" x14ac:dyDescent="0.25">
      <c r="A1358" s="1">
        <v>40694</v>
      </c>
      <c r="B1358">
        <v>11.92</v>
      </c>
    </row>
    <row r="1359" spans="1:2" x14ac:dyDescent="0.25">
      <c r="A1359" s="1">
        <v>40695</v>
      </c>
      <c r="B1359">
        <v>11.92</v>
      </c>
    </row>
    <row r="1360" spans="1:2" x14ac:dyDescent="0.25">
      <c r="A1360" s="1">
        <v>40696</v>
      </c>
      <c r="B1360">
        <v>11.92</v>
      </c>
    </row>
    <row r="1361" spans="1:2" x14ac:dyDescent="0.25">
      <c r="A1361" s="1">
        <v>40697</v>
      </c>
      <c r="B1361">
        <v>11.92</v>
      </c>
    </row>
    <row r="1362" spans="1:2" x14ac:dyDescent="0.25">
      <c r="A1362" s="1">
        <v>40700</v>
      </c>
      <c r="B1362">
        <v>11.92</v>
      </c>
    </row>
    <row r="1363" spans="1:2" x14ac:dyDescent="0.25">
      <c r="A1363" s="1">
        <v>40701</v>
      </c>
      <c r="B1363">
        <v>11.92</v>
      </c>
    </row>
    <row r="1364" spans="1:2" x14ac:dyDescent="0.25">
      <c r="A1364" s="1">
        <v>40702</v>
      </c>
      <c r="B1364">
        <v>11.92</v>
      </c>
    </row>
    <row r="1365" spans="1:2" x14ac:dyDescent="0.25">
      <c r="A1365" s="1">
        <v>40703</v>
      </c>
      <c r="B1365">
        <v>12.17</v>
      </c>
    </row>
    <row r="1366" spans="1:2" x14ac:dyDescent="0.25">
      <c r="A1366" s="1">
        <v>40704</v>
      </c>
      <c r="B1366">
        <v>12.17</v>
      </c>
    </row>
    <row r="1367" spans="1:2" x14ac:dyDescent="0.25">
      <c r="A1367" s="1">
        <v>40707</v>
      </c>
      <c r="B1367">
        <v>12.17</v>
      </c>
    </row>
    <row r="1368" spans="1:2" x14ac:dyDescent="0.25">
      <c r="A1368" s="1">
        <v>40708</v>
      </c>
      <c r="B1368">
        <v>12.17</v>
      </c>
    </row>
    <row r="1369" spans="1:2" x14ac:dyDescent="0.25">
      <c r="A1369" s="1">
        <v>40709</v>
      </c>
      <c r="B1369">
        <v>12.17</v>
      </c>
    </row>
    <row r="1370" spans="1:2" x14ac:dyDescent="0.25">
      <c r="A1370" s="1">
        <v>40710</v>
      </c>
      <c r="B1370">
        <v>12.17</v>
      </c>
    </row>
    <row r="1371" spans="1:2" x14ac:dyDescent="0.25">
      <c r="A1371" s="1">
        <v>40711</v>
      </c>
      <c r="B1371">
        <v>12.17</v>
      </c>
    </row>
    <row r="1372" spans="1:2" x14ac:dyDescent="0.25">
      <c r="A1372" s="1">
        <v>40714</v>
      </c>
      <c r="B1372">
        <v>12.17</v>
      </c>
    </row>
    <row r="1373" spans="1:2" x14ac:dyDescent="0.25">
      <c r="A1373" s="1">
        <v>40715</v>
      </c>
      <c r="B1373">
        <v>12.17</v>
      </c>
    </row>
    <row r="1374" spans="1:2" x14ac:dyDescent="0.25">
      <c r="A1374" s="1">
        <v>40716</v>
      </c>
      <c r="B1374">
        <v>12.17</v>
      </c>
    </row>
    <row r="1375" spans="1:2" x14ac:dyDescent="0.25">
      <c r="A1375" s="1">
        <v>40718</v>
      </c>
      <c r="B1375">
        <v>12.17</v>
      </c>
    </row>
    <row r="1376" spans="1:2" x14ac:dyDescent="0.25">
      <c r="A1376" s="1">
        <v>40721</v>
      </c>
      <c r="B1376">
        <v>12.17</v>
      </c>
    </row>
    <row r="1377" spans="1:2" x14ac:dyDescent="0.25">
      <c r="A1377" s="1">
        <v>40722</v>
      </c>
      <c r="B1377">
        <v>12.17</v>
      </c>
    </row>
    <row r="1378" spans="1:2" x14ac:dyDescent="0.25">
      <c r="A1378" s="1">
        <v>40723</v>
      </c>
      <c r="B1378">
        <v>12.17</v>
      </c>
    </row>
    <row r="1379" spans="1:2" x14ac:dyDescent="0.25">
      <c r="A1379" s="1">
        <v>40724</v>
      </c>
      <c r="B1379">
        <v>12.17</v>
      </c>
    </row>
    <row r="1380" spans="1:2" x14ac:dyDescent="0.25">
      <c r="A1380" s="1">
        <v>40725</v>
      </c>
      <c r="B1380">
        <v>12.17</v>
      </c>
    </row>
    <row r="1381" spans="1:2" x14ac:dyDescent="0.25">
      <c r="A1381" s="1">
        <v>40728</v>
      </c>
      <c r="B1381">
        <v>12.17</v>
      </c>
    </row>
    <row r="1382" spans="1:2" x14ac:dyDescent="0.25">
      <c r="A1382" s="1">
        <v>40729</v>
      </c>
      <c r="B1382">
        <v>12.17</v>
      </c>
    </row>
    <row r="1383" spans="1:2" x14ac:dyDescent="0.25">
      <c r="A1383" s="1">
        <v>40730</v>
      </c>
      <c r="B1383">
        <v>12.17</v>
      </c>
    </row>
    <row r="1384" spans="1:2" x14ac:dyDescent="0.25">
      <c r="A1384" s="1">
        <v>40731</v>
      </c>
      <c r="B1384">
        <v>12.17</v>
      </c>
    </row>
    <row r="1385" spans="1:2" x14ac:dyDescent="0.25">
      <c r="A1385" s="1">
        <v>40732</v>
      </c>
      <c r="B1385">
        <v>12.17</v>
      </c>
    </row>
    <row r="1386" spans="1:2" x14ac:dyDescent="0.25">
      <c r="A1386" s="1">
        <v>40735</v>
      </c>
      <c r="B1386">
        <v>12.17</v>
      </c>
    </row>
    <row r="1387" spans="1:2" x14ac:dyDescent="0.25">
      <c r="A1387" s="1">
        <v>40736</v>
      </c>
      <c r="B1387">
        <v>12.17</v>
      </c>
    </row>
    <row r="1388" spans="1:2" x14ac:dyDescent="0.25">
      <c r="A1388" s="1">
        <v>40737</v>
      </c>
      <c r="B1388">
        <v>12.17</v>
      </c>
    </row>
    <row r="1389" spans="1:2" x14ac:dyDescent="0.25">
      <c r="A1389" s="1">
        <v>40738</v>
      </c>
      <c r="B1389">
        <v>12.17</v>
      </c>
    </row>
    <row r="1390" spans="1:2" x14ac:dyDescent="0.25">
      <c r="A1390" s="1">
        <v>40739</v>
      </c>
      <c r="B1390">
        <v>12.17</v>
      </c>
    </row>
    <row r="1391" spans="1:2" x14ac:dyDescent="0.25">
      <c r="A1391" s="1">
        <v>40742</v>
      </c>
      <c r="B1391">
        <v>12.17</v>
      </c>
    </row>
    <row r="1392" spans="1:2" x14ac:dyDescent="0.25">
      <c r="A1392" s="1">
        <v>40743</v>
      </c>
      <c r="B1392">
        <v>12.17</v>
      </c>
    </row>
    <row r="1393" spans="1:2" x14ac:dyDescent="0.25">
      <c r="A1393" s="1">
        <v>40744</v>
      </c>
      <c r="B1393">
        <v>12.17</v>
      </c>
    </row>
    <row r="1394" spans="1:2" x14ac:dyDescent="0.25">
      <c r="A1394" s="1">
        <v>40745</v>
      </c>
      <c r="B1394">
        <v>12.42</v>
      </c>
    </row>
    <row r="1395" spans="1:2" x14ac:dyDescent="0.25">
      <c r="A1395" s="1">
        <v>40746</v>
      </c>
      <c r="B1395">
        <v>12.42</v>
      </c>
    </row>
    <row r="1396" spans="1:2" x14ac:dyDescent="0.25">
      <c r="A1396" s="1">
        <v>40749</v>
      </c>
      <c r="B1396">
        <v>12.42</v>
      </c>
    </row>
    <row r="1397" spans="1:2" x14ac:dyDescent="0.25">
      <c r="A1397" s="1">
        <v>40750</v>
      </c>
      <c r="B1397">
        <v>12.42</v>
      </c>
    </row>
    <row r="1398" spans="1:2" x14ac:dyDescent="0.25">
      <c r="A1398" s="1">
        <v>40751</v>
      </c>
      <c r="B1398">
        <v>12.42</v>
      </c>
    </row>
    <row r="1399" spans="1:2" x14ac:dyDescent="0.25">
      <c r="A1399" s="1">
        <v>40752</v>
      </c>
      <c r="B1399">
        <v>12.42</v>
      </c>
    </row>
    <row r="1400" spans="1:2" x14ac:dyDescent="0.25">
      <c r="A1400" s="1">
        <v>40753</v>
      </c>
      <c r="B1400">
        <v>12.42</v>
      </c>
    </row>
    <row r="1401" spans="1:2" x14ac:dyDescent="0.25">
      <c r="A1401" s="1">
        <v>40756</v>
      </c>
      <c r="B1401">
        <v>12.42</v>
      </c>
    </row>
    <row r="1402" spans="1:2" x14ac:dyDescent="0.25">
      <c r="A1402" s="1">
        <v>40757</v>
      </c>
      <c r="B1402">
        <v>12.42</v>
      </c>
    </row>
    <row r="1403" spans="1:2" x14ac:dyDescent="0.25">
      <c r="A1403" s="1">
        <v>40758</v>
      </c>
      <c r="B1403">
        <v>12.42</v>
      </c>
    </row>
    <row r="1404" spans="1:2" x14ac:dyDescent="0.25">
      <c r="A1404" s="1">
        <v>40759</v>
      </c>
      <c r="B1404">
        <v>12.42</v>
      </c>
    </row>
    <row r="1405" spans="1:2" x14ac:dyDescent="0.25">
      <c r="A1405" s="1">
        <v>40760</v>
      </c>
      <c r="B1405">
        <v>12.42</v>
      </c>
    </row>
    <row r="1406" spans="1:2" x14ac:dyDescent="0.25">
      <c r="A1406" s="1">
        <v>40763</v>
      </c>
      <c r="B1406">
        <v>12.42</v>
      </c>
    </row>
    <row r="1407" spans="1:2" x14ac:dyDescent="0.25">
      <c r="A1407" s="1">
        <v>40764</v>
      </c>
      <c r="B1407">
        <v>12.42</v>
      </c>
    </row>
    <row r="1408" spans="1:2" x14ac:dyDescent="0.25">
      <c r="A1408" s="1">
        <v>40765</v>
      </c>
      <c r="B1408">
        <v>12.42</v>
      </c>
    </row>
    <row r="1409" spans="1:2" x14ac:dyDescent="0.25">
      <c r="A1409" s="1">
        <v>40766</v>
      </c>
      <c r="B1409">
        <v>12.42</v>
      </c>
    </row>
    <row r="1410" spans="1:2" x14ac:dyDescent="0.25">
      <c r="A1410" s="1">
        <v>40767</v>
      </c>
      <c r="B1410">
        <v>12.42</v>
      </c>
    </row>
    <row r="1411" spans="1:2" x14ac:dyDescent="0.25">
      <c r="A1411" s="1">
        <v>40770</v>
      </c>
      <c r="B1411">
        <v>12.42</v>
      </c>
    </row>
    <row r="1412" spans="1:2" x14ac:dyDescent="0.25">
      <c r="A1412" s="1">
        <v>40771</v>
      </c>
      <c r="B1412">
        <v>12.42</v>
      </c>
    </row>
    <row r="1413" spans="1:2" x14ac:dyDescent="0.25">
      <c r="A1413" s="1">
        <v>40772</v>
      </c>
      <c r="B1413">
        <v>12.42</v>
      </c>
    </row>
    <row r="1414" spans="1:2" x14ac:dyDescent="0.25">
      <c r="A1414" s="1">
        <v>40773</v>
      </c>
      <c r="B1414">
        <v>12.42</v>
      </c>
    </row>
    <row r="1415" spans="1:2" x14ac:dyDescent="0.25">
      <c r="A1415" s="1">
        <v>40774</v>
      </c>
      <c r="B1415">
        <v>12.42</v>
      </c>
    </row>
    <row r="1416" spans="1:2" x14ac:dyDescent="0.25">
      <c r="A1416" s="1">
        <v>40777</v>
      </c>
      <c r="B1416">
        <v>12.42</v>
      </c>
    </row>
    <row r="1417" spans="1:2" x14ac:dyDescent="0.25">
      <c r="A1417" s="1">
        <v>40778</v>
      </c>
      <c r="B1417">
        <v>12.42</v>
      </c>
    </row>
    <row r="1418" spans="1:2" x14ac:dyDescent="0.25">
      <c r="A1418" s="1">
        <v>40779</v>
      </c>
      <c r="B1418">
        <v>12.42</v>
      </c>
    </row>
    <row r="1419" spans="1:2" x14ac:dyDescent="0.25">
      <c r="A1419" s="1">
        <v>40780</v>
      </c>
      <c r="B1419">
        <v>12.41</v>
      </c>
    </row>
    <row r="1420" spans="1:2" x14ac:dyDescent="0.25">
      <c r="A1420" s="1">
        <v>40781</v>
      </c>
      <c r="B1420">
        <v>12.41</v>
      </c>
    </row>
    <row r="1421" spans="1:2" x14ac:dyDescent="0.25">
      <c r="A1421" s="1">
        <v>40784</v>
      </c>
      <c r="B1421">
        <v>12.41</v>
      </c>
    </row>
    <row r="1422" spans="1:2" x14ac:dyDescent="0.25">
      <c r="A1422" s="1">
        <v>40785</v>
      </c>
      <c r="B1422">
        <v>12.41</v>
      </c>
    </row>
    <row r="1423" spans="1:2" x14ac:dyDescent="0.25">
      <c r="A1423" s="1">
        <v>40786</v>
      </c>
      <c r="B1423">
        <v>12.41</v>
      </c>
    </row>
    <row r="1424" spans="1:2" x14ac:dyDescent="0.25">
      <c r="A1424" s="1">
        <v>40787</v>
      </c>
      <c r="B1424">
        <v>11.91</v>
      </c>
    </row>
    <row r="1425" spans="1:2" x14ac:dyDescent="0.25">
      <c r="A1425" s="1">
        <v>40788</v>
      </c>
      <c r="B1425">
        <v>11.91</v>
      </c>
    </row>
    <row r="1426" spans="1:2" x14ac:dyDescent="0.25">
      <c r="A1426" s="1">
        <v>40791</v>
      </c>
      <c r="B1426">
        <v>11.91</v>
      </c>
    </row>
    <row r="1427" spans="1:2" x14ac:dyDescent="0.25">
      <c r="A1427" s="1">
        <v>40792</v>
      </c>
      <c r="B1427">
        <v>11.91</v>
      </c>
    </row>
    <row r="1428" spans="1:2" x14ac:dyDescent="0.25">
      <c r="A1428" s="1">
        <v>40794</v>
      </c>
      <c r="B1428">
        <v>11.91</v>
      </c>
    </row>
    <row r="1429" spans="1:2" x14ac:dyDescent="0.25">
      <c r="A1429" s="1">
        <v>40795</v>
      </c>
      <c r="B1429">
        <v>11.91</v>
      </c>
    </row>
    <row r="1430" spans="1:2" x14ac:dyDescent="0.25">
      <c r="A1430" s="1">
        <v>40798</v>
      </c>
      <c r="B1430">
        <v>11.91</v>
      </c>
    </row>
    <row r="1431" spans="1:2" x14ac:dyDescent="0.25">
      <c r="A1431" s="1">
        <v>40799</v>
      </c>
      <c r="B1431">
        <v>11.91</v>
      </c>
    </row>
    <row r="1432" spans="1:2" x14ac:dyDescent="0.25">
      <c r="A1432" s="1">
        <v>40800</v>
      </c>
      <c r="B1432">
        <v>11.91</v>
      </c>
    </row>
    <row r="1433" spans="1:2" x14ac:dyDescent="0.25">
      <c r="A1433" s="1">
        <v>40801</v>
      </c>
      <c r="B1433">
        <v>11.91</v>
      </c>
    </row>
    <row r="1434" spans="1:2" x14ac:dyDescent="0.25">
      <c r="A1434" s="1">
        <v>40802</v>
      </c>
      <c r="B1434">
        <v>11.91</v>
      </c>
    </row>
    <row r="1435" spans="1:2" x14ac:dyDescent="0.25">
      <c r="A1435" s="1">
        <v>40805</v>
      </c>
      <c r="B1435">
        <v>11.9</v>
      </c>
    </row>
    <row r="1436" spans="1:2" x14ac:dyDescent="0.25">
      <c r="A1436" s="1">
        <v>40806</v>
      </c>
      <c r="B1436">
        <v>11.9</v>
      </c>
    </row>
    <row r="1437" spans="1:2" x14ac:dyDescent="0.25">
      <c r="A1437" s="1">
        <v>40807</v>
      </c>
      <c r="B1437">
        <v>11.9</v>
      </c>
    </row>
    <row r="1438" spans="1:2" x14ac:dyDescent="0.25">
      <c r="A1438" s="1">
        <v>40808</v>
      </c>
      <c r="B1438">
        <v>11.9</v>
      </c>
    </row>
    <row r="1439" spans="1:2" x14ac:dyDescent="0.25">
      <c r="A1439" s="1">
        <v>40809</v>
      </c>
      <c r="B1439">
        <v>11.9</v>
      </c>
    </row>
    <row r="1440" spans="1:2" x14ac:dyDescent="0.25">
      <c r="A1440" s="1">
        <v>40812</v>
      </c>
      <c r="B1440">
        <v>11.9</v>
      </c>
    </row>
    <row r="1441" spans="1:2" x14ac:dyDescent="0.25">
      <c r="A1441" s="1">
        <v>40813</v>
      </c>
      <c r="B1441">
        <v>11.9</v>
      </c>
    </row>
    <row r="1442" spans="1:2" x14ac:dyDescent="0.25">
      <c r="A1442" s="1">
        <v>40814</v>
      </c>
      <c r="B1442">
        <v>11.9</v>
      </c>
    </row>
    <row r="1443" spans="1:2" x14ac:dyDescent="0.25">
      <c r="A1443" s="1">
        <v>40815</v>
      </c>
      <c r="B1443">
        <v>11.9</v>
      </c>
    </row>
    <row r="1444" spans="1:2" x14ac:dyDescent="0.25">
      <c r="A1444" s="1">
        <v>40816</v>
      </c>
      <c r="B1444">
        <v>11.9</v>
      </c>
    </row>
    <row r="1445" spans="1:2" x14ac:dyDescent="0.25">
      <c r="A1445" s="1">
        <v>40819</v>
      </c>
      <c r="B1445">
        <v>11.9</v>
      </c>
    </row>
    <row r="1446" spans="1:2" x14ac:dyDescent="0.25">
      <c r="A1446" s="1">
        <v>40820</v>
      </c>
      <c r="B1446">
        <v>11.9</v>
      </c>
    </row>
    <row r="1447" spans="1:2" x14ac:dyDescent="0.25">
      <c r="A1447" s="1">
        <v>40821</v>
      </c>
      <c r="B1447">
        <v>11.9</v>
      </c>
    </row>
    <row r="1448" spans="1:2" x14ac:dyDescent="0.25">
      <c r="A1448" s="1">
        <v>40822</v>
      </c>
      <c r="B1448">
        <v>11.9</v>
      </c>
    </row>
    <row r="1449" spans="1:2" x14ac:dyDescent="0.25">
      <c r="A1449" s="1">
        <v>40823</v>
      </c>
      <c r="B1449">
        <v>11.9</v>
      </c>
    </row>
    <row r="1450" spans="1:2" x14ac:dyDescent="0.25">
      <c r="A1450" s="1">
        <v>40826</v>
      </c>
      <c r="B1450">
        <v>11.9</v>
      </c>
    </row>
    <row r="1451" spans="1:2" x14ac:dyDescent="0.25">
      <c r="A1451" s="1">
        <v>40827</v>
      </c>
      <c r="B1451">
        <v>11.9</v>
      </c>
    </row>
    <row r="1452" spans="1:2" x14ac:dyDescent="0.25">
      <c r="A1452" s="1">
        <v>40829</v>
      </c>
      <c r="B1452">
        <v>11.9</v>
      </c>
    </row>
    <row r="1453" spans="1:2" x14ac:dyDescent="0.25">
      <c r="A1453" s="1">
        <v>40830</v>
      </c>
      <c r="B1453">
        <v>11.9</v>
      </c>
    </row>
    <row r="1454" spans="1:2" x14ac:dyDescent="0.25">
      <c r="A1454" s="1">
        <v>40833</v>
      </c>
      <c r="B1454">
        <v>11.9</v>
      </c>
    </row>
    <row r="1455" spans="1:2" x14ac:dyDescent="0.25">
      <c r="A1455" s="1">
        <v>40834</v>
      </c>
      <c r="B1455">
        <v>11.9</v>
      </c>
    </row>
    <row r="1456" spans="1:2" x14ac:dyDescent="0.25">
      <c r="A1456" s="1">
        <v>40835</v>
      </c>
      <c r="B1456">
        <v>11.89</v>
      </c>
    </row>
    <row r="1457" spans="1:2" x14ac:dyDescent="0.25">
      <c r="A1457" s="1">
        <v>40836</v>
      </c>
      <c r="B1457">
        <v>11.4</v>
      </c>
    </row>
    <row r="1458" spans="1:2" x14ac:dyDescent="0.25">
      <c r="A1458" s="1">
        <v>40837</v>
      </c>
      <c r="B1458">
        <v>11.4</v>
      </c>
    </row>
    <row r="1459" spans="1:2" x14ac:dyDescent="0.25">
      <c r="A1459" s="1">
        <v>40840</v>
      </c>
      <c r="B1459">
        <v>11.4</v>
      </c>
    </row>
    <row r="1460" spans="1:2" x14ac:dyDescent="0.25">
      <c r="A1460" s="1">
        <v>40841</v>
      </c>
      <c r="B1460">
        <v>11.4</v>
      </c>
    </row>
    <row r="1461" spans="1:2" x14ac:dyDescent="0.25">
      <c r="A1461" s="1">
        <v>40842</v>
      </c>
      <c r="B1461">
        <v>11.4</v>
      </c>
    </row>
    <row r="1462" spans="1:2" x14ac:dyDescent="0.25">
      <c r="A1462" s="1">
        <v>40843</v>
      </c>
      <c r="B1462">
        <v>11.4</v>
      </c>
    </row>
    <row r="1463" spans="1:2" x14ac:dyDescent="0.25">
      <c r="A1463" s="1">
        <v>40844</v>
      </c>
      <c r="B1463">
        <v>11.4</v>
      </c>
    </row>
    <row r="1464" spans="1:2" x14ac:dyDescent="0.25">
      <c r="A1464" s="1">
        <v>40847</v>
      </c>
      <c r="B1464">
        <v>11.4</v>
      </c>
    </row>
    <row r="1465" spans="1:2" x14ac:dyDescent="0.25">
      <c r="A1465" s="1">
        <v>40848</v>
      </c>
      <c r="B1465">
        <v>11.4</v>
      </c>
    </row>
    <row r="1466" spans="1:2" x14ac:dyDescent="0.25">
      <c r="A1466" s="1">
        <v>40850</v>
      </c>
      <c r="B1466">
        <v>11.4</v>
      </c>
    </row>
    <row r="1467" spans="1:2" x14ac:dyDescent="0.25">
      <c r="A1467" s="1">
        <v>40851</v>
      </c>
      <c r="B1467">
        <v>11.4</v>
      </c>
    </row>
    <row r="1468" spans="1:2" x14ac:dyDescent="0.25">
      <c r="A1468" s="1">
        <v>40854</v>
      </c>
      <c r="B1468">
        <v>11.4</v>
      </c>
    </row>
    <row r="1469" spans="1:2" x14ac:dyDescent="0.25">
      <c r="A1469" s="1">
        <v>40855</v>
      </c>
      <c r="B1469">
        <v>11.4</v>
      </c>
    </row>
    <row r="1470" spans="1:2" x14ac:dyDescent="0.25">
      <c r="A1470" s="1">
        <v>40856</v>
      </c>
      <c r="B1470">
        <v>11.4</v>
      </c>
    </row>
    <row r="1471" spans="1:2" x14ac:dyDescent="0.25">
      <c r="A1471" s="1">
        <v>40857</v>
      </c>
      <c r="B1471">
        <v>11.4</v>
      </c>
    </row>
    <row r="1472" spans="1:2" x14ac:dyDescent="0.25">
      <c r="A1472" s="1">
        <v>40858</v>
      </c>
      <c r="B1472">
        <v>11.4</v>
      </c>
    </row>
    <row r="1473" spans="1:2" x14ac:dyDescent="0.25">
      <c r="A1473" s="1">
        <v>40861</v>
      </c>
      <c r="B1473">
        <v>11.4</v>
      </c>
    </row>
    <row r="1474" spans="1:2" x14ac:dyDescent="0.25">
      <c r="A1474" s="1">
        <v>40863</v>
      </c>
      <c r="B1474">
        <v>11.4</v>
      </c>
    </row>
    <row r="1475" spans="1:2" x14ac:dyDescent="0.25">
      <c r="A1475" s="1">
        <v>40864</v>
      </c>
      <c r="B1475">
        <v>11.4</v>
      </c>
    </row>
    <row r="1476" spans="1:2" x14ac:dyDescent="0.25">
      <c r="A1476" s="1">
        <v>40865</v>
      </c>
      <c r="B1476">
        <v>11.4</v>
      </c>
    </row>
    <row r="1477" spans="1:2" x14ac:dyDescent="0.25">
      <c r="A1477" s="1">
        <v>40868</v>
      </c>
      <c r="B1477">
        <v>11.4</v>
      </c>
    </row>
    <row r="1478" spans="1:2" x14ac:dyDescent="0.25">
      <c r="A1478" s="1">
        <v>40869</v>
      </c>
      <c r="B1478">
        <v>11.4</v>
      </c>
    </row>
    <row r="1479" spans="1:2" x14ac:dyDescent="0.25">
      <c r="A1479" s="1">
        <v>40870</v>
      </c>
      <c r="B1479">
        <v>11.4</v>
      </c>
    </row>
    <row r="1480" spans="1:2" x14ac:dyDescent="0.25">
      <c r="A1480" s="1">
        <v>40871</v>
      </c>
      <c r="B1480">
        <v>11.4</v>
      </c>
    </row>
    <row r="1481" spans="1:2" x14ac:dyDescent="0.25">
      <c r="A1481" s="1">
        <v>40872</v>
      </c>
      <c r="B1481">
        <v>11.4</v>
      </c>
    </row>
    <row r="1482" spans="1:2" x14ac:dyDescent="0.25">
      <c r="A1482" s="1">
        <v>40875</v>
      </c>
      <c r="B1482">
        <v>11.4</v>
      </c>
    </row>
    <row r="1483" spans="1:2" x14ac:dyDescent="0.25">
      <c r="A1483" s="1">
        <v>40876</v>
      </c>
      <c r="B1483">
        <v>11.4</v>
      </c>
    </row>
    <row r="1484" spans="1:2" x14ac:dyDescent="0.25">
      <c r="A1484" s="1">
        <v>40877</v>
      </c>
      <c r="B1484">
        <v>11.4</v>
      </c>
    </row>
    <row r="1485" spans="1:2" x14ac:dyDescent="0.25">
      <c r="A1485" s="1">
        <v>40878</v>
      </c>
      <c r="B1485">
        <v>10.9</v>
      </c>
    </row>
    <row r="1486" spans="1:2" x14ac:dyDescent="0.25">
      <c r="A1486" s="1">
        <v>40879</v>
      </c>
      <c r="B1486">
        <v>10.9</v>
      </c>
    </row>
    <row r="1487" spans="1:2" x14ac:dyDescent="0.25">
      <c r="A1487" s="1">
        <v>40882</v>
      </c>
      <c r="B1487">
        <v>10.9</v>
      </c>
    </row>
    <row r="1488" spans="1:2" x14ac:dyDescent="0.25">
      <c r="A1488" s="1">
        <v>40883</v>
      </c>
      <c r="B1488">
        <v>10.9</v>
      </c>
    </row>
    <row r="1489" spans="1:2" x14ac:dyDescent="0.25">
      <c r="A1489" s="1">
        <v>40884</v>
      </c>
      <c r="B1489">
        <v>10.9</v>
      </c>
    </row>
    <row r="1490" spans="1:2" x14ac:dyDescent="0.25">
      <c r="A1490" s="1">
        <v>40885</v>
      </c>
      <c r="B1490">
        <v>10.9</v>
      </c>
    </row>
    <row r="1491" spans="1:2" x14ac:dyDescent="0.25">
      <c r="A1491" s="1">
        <v>40886</v>
      </c>
      <c r="B1491">
        <v>10.9</v>
      </c>
    </row>
    <row r="1492" spans="1:2" x14ac:dyDescent="0.25">
      <c r="A1492" s="1">
        <v>40889</v>
      </c>
      <c r="B1492">
        <v>10.9</v>
      </c>
    </row>
    <row r="1493" spans="1:2" x14ac:dyDescent="0.25">
      <c r="A1493" s="1">
        <v>40890</v>
      </c>
      <c r="B1493">
        <v>10.9</v>
      </c>
    </row>
    <row r="1494" spans="1:2" x14ac:dyDescent="0.25">
      <c r="A1494" s="1">
        <v>40891</v>
      </c>
      <c r="B1494">
        <v>10.9</v>
      </c>
    </row>
    <row r="1495" spans="1:2" x14ac:dyDescent="0.25">
      <c r="A1495" s="1">
        <v>40892</v>
      </c>
      <c r="B1495">
        <v>10.9</v>
      </c>
    </row>
    <row r="1496" spans="1:2" x14ac:dyDescent="0.25">
      <c r="A1496" s="1">
        <v>40893</v>
      </c>
      <c r="B1496">
        <v>10.9</v>
      </c>
    </row>
    <row r="1497" spans="1:2" x14ac:dyDescent="0.25">
      <c r="A1497" s="1">
        <v>40896</v>
      </c>
      <c r="B1497">
        <v>10.9</v>
      </c>
    </row>
    <row r="1498" spans="1:2" x14ac:dyDescent="0.25">
      <c r="A1498" s="1">
        <v>40897</v>
      </c>
      <c r="B1498">
        <v>10.9</v>
      </c>
    </row>
    <row r="1499" spans="1:2" x14ac:dyDescent="0.25">
      <c r="A1499" s="1">
        <v>40898</v>
      </c>
      <c r="B1499">
        <v>10.9</v>
      </c>
    </row>
    <row r="1500" spans="1:2" x14ac:dyDescent="0.25">
      <c r="A1500" s="1">
        <v>40899</v>
      </c>
      <c r="B1500">
        <v>10.9</v>
      </c>
    </row>
    <row r="1501" spans="1:2" x14ac:dyDescent="0.25">
      <c r="A1501" s="1">
        <v>40900</v>
      </c>
      <c r="B1501">
        <v>10.9</v>
      </c>
    </row>
    <row r="1502" spans="1:2" x14ac:dyDescent="0.25">
      <c r="A1502" s="1">
        <v>40903</v>
      </c>
      <c r="B1502">
        <v>10.9</v>
      </c>
    </row>
    <row r="1503" spans="1:2" x14ac:dyDescent="0.25">
      <c r="A1503" s="1">
        <v>40904</v>
      </c>
      <c r="B1503">
        <v>10.9</v>
      </c>
    </row>
    <row r="1504" spans="1:2" x14ac:dyDescent="0.25">
      <c r="A1504" s="1">
        <v>40905</v>
      </c>
      <c r="B1504">
        <v>10.9</v>
      </c>
    </row>
    <row r="1505" spans="1:2" x14ac:dyDescent="0.25">
      <c r="A1505" s="1">
        <v>40906</v>
      </c>
      <c r="B1505">
        <v>10.9</v>
      </c>
    </row>
    <row r="1506" spans="1:2" x14ac:dyDescent="0.25">
      <c r="A1506" s="1">
        <v>40907</v>
      </c>
      <c r="B1506">
        <v>10.91</v>
      </c>
    </row>
    <row r="1507" spans="1:2" x14ac:dyDescent="0.25">
      <c r="A1507" s="1">
        <v>40910</v>
      </c>
      <c r="B1507">
        <v>10.9</v>
      </c>
    </row>
    <row r="1508" spans="1:2" x14ac:dyDescent="0.25">
      <c r="A1508" s="1">
        <v>40911</v>
      </c>
      <c r="B1508">
        <v>10.9</v>
      </c>
    </row>
    <row r="1509" spans="1:2" x14ac:dyDescent="0.25">
      <c r="A1509" s="1">
        <v>40912</v>
      </c>
      <c r="B1509">
        <v>10.9</v>
      </c>
    </row>
    <row r="1510" spans="1:2" x14ac:dyDescent="0.25">
      <c r="A1510" s="1">
        <v>40913</v>
      </c>
      <c r="B1510">
        <v>10.9</v>
      </c>
    </row>
    <row r="1511" spans="1:2" x14ac:dyDescent="0.25">
      <c r="A1511" s="1">
        <v>40914</v>
      </c>
      <c r="B1511">
        <v>10.9</v>
      </c>
    </row>
    <row r="1512" spans="1:2" x14ac:dyDescent="0.25">
      <c r="A1512" s="1">
        <v>40917</v>
      </c>
      <c r="B1512">
        <v>10.9</v>
      </c>
    </row>
    <row r="1513" spans="1:2" x14ac:dyDescent="0.25">
      <c r="A1513" s="1">
        <v>40918</v>
      </c>
      <c r="B1513">
        <v>10.9</v>
      </c>
    </row>
    <row r="1514" spans="1:2" x14ac:dyDescent="0.25">
      <c r="A1514" s="1">
        <v>40919</v>
      </c>
      <c r="B1514">
        <v>10.9</v>
      </c>
    </row>
    <row r="1515" spans="1:2" x14ac:dyDescent="0.25">
      <c r="A1515" s="1">
        <v>40920</v>
      </c>
      <c r="B1515">
        <v>10.9</v>
      </c>
    </row>
    <row r="1516" spans="1:2" x14ac:dyDescent="0.25">
      <c r="A1516" s="1">
        <v>40921</v>
      </c>
      <c r="B1516">
        <v>10.9</v>
      </c>
    </row>
    <row r="1517" spans="1:2" x14ac:dyDescent="0.25">
      <c r="A1517" s="1">
        <v>40924</v>
      </c>
      <c r="B1517">
        <v>10.9</v>
      </c>
    </row>
    <row r="1518" spans="1:2" x14ac:dyDescent="0.25">
      <c r="A1518" s="1">
        <v>40925</v>
      </c>
      <c r="B1518">
        <v>10.9</v>
      </c>
    </row>
    <row r="1519" spans="1:2" x14ac:dyDescent="0.25">
      <c r="A1519" s="1">
        <v>40926</v>
      </c>
      <c r="B1519">
        <v>10.9</v>
      </c>
    </row>
    <row r="1520" spans="1:2" x14ac:dyDescent="0.25">
      <c r="A1520" s="1">
        <v>40927</v>
      </c>
      <c r="B1520">
        <v>10.4</v>
      </c>
    </row>
    <row r="1521" spans="1:2" x14ac:dyDescent="0.25">
      <c r="A1521" s="1">
        <v>40928</v>
      </c>
      <c r="B1521">
        <v>10.4</v>
      </c>
    </row>
    <row r="1522" spans="1:2" x14ac:dyDescent="0.25">
      <c r="A1522" s="1">
        <v>40931</v>
      </c>
      <c r="B1522">
        <v>10.4</v>
      </c>
    </row>
    <row r="1523" spans="1:2" x14ac:dyDescent="0.25">
      <c r="A1523" s="1">
        <v>40932</v>
      </c>
      <c r="B1523">
        <v>10.4</v>
      </c>
    </row>
    <row r="1524" spans="1:2" x14ac:dyDescent="0.25">
      <c r="A1524" s="1">
        <v>40933</v>
      </c>
      <c r="B1524">
        <v>10.4</v>
      </c>
    </row>
    <row r="1525" spans="1:2" x14ac:dyDescent="0.25">
      <c r="A1525" s="1">
        <v>40934</v>
      </c>
      <c r="B1525">
        <v>10.4</v>
      </c>
    </row>
    <row r="1526" spans="1:2" x14ac:dyDescent="0.25">
      <c r="A1526" s="1">
        <v>40935</v>
      </c>
      <c r="B1526">
        <v>10.4</v>
      </c>
    </row>
    <row r="1527" spans="1:2" x14ac:dyDescent="0.25">
      <c r="A1527" s="1">
        <v>40938</v>
      </c>
      <c r="B1527">
        <v>10.4</v>
      </c>
    </row>
    <row r="1528" spans="1:2" x14ac:dyDescent="0.25">
      <c r="A1528" s="1">
        <v>40939</v>
      </c>
      <c r="B1528">
        <v>10.4</v>
      </c>
    </row>
    <row r="1529" spans="1:2" x14ac:dyDescent="0.25">
      <c r="A1529" s="1">
        <v>40940</v>
      </c>
      <c r="B1529">
        <v>10.4</v>
      </c>
    </row>
    <row r="1530" spans="1:2" x14ac:dyDescent="0.25">
      <c r="A1530" s="1">
        <v>40941</v>
      </c>
      <c r="B1530">
        <v>10.4</v>
      </c>
    </row>
    <row r="1531" spans="1:2" x14ac:dyDescent="0.25">
      <c r="A1531" s="1">
        <v>40942</v>
      </c>
      <c r="B1531">
        <v>10.4</v>
      </c>
    </row>
    <row r="1532" spans="1:2" x14ac:dyDescent="0.25">
      <c r="A1532" s="1">
        <v>40945</v>
      </c>
      <c r="B1532">
        <v>10.4</v>
      </c>
    </row>
    <row r="1533" spans="1:2" x14ac:dyDescent="0.25">
      <c r="A1533" s="1">
        <v>40946</v>
      </c>
      <c r="B1533">
        <v>10.4</v>
      </c>
    </row>
    <row r="1534" spans="1:2" x14ac:dyDescent="0.25">
      <c r="A1534" s="1">
        <v>40947</v>
      </c>
      <c r="B1534">
        <v>10.4</v>
      </c>
    </row>
    <row r="1535" spans="1:2" x14ac:dyDescent="0.25">
      <c r="A1535" s="1">
        <v>40948</v>
      </c>
      <c r="B1535">
        <v>10.4</v>
      </c>
    </row>
    <row r="1536" spans="1:2" x14ac:dyDescent="0.25">
      <c r="A1536" s="1">
        <v>40949</v>
      </c>
      <c r="B1536">
        <v>10.4</v>
      </c>
    </row>
    <row r="1537" spans="1:2" x14ac:dyDescent="0.25">
      <c r="A1537" s="1">
        <v>40952</v>
      </c>
      <c r="B1537">
        <v>10.4</v>
      </c>
    </row>
    <row r="1538" spans="1:2" x14ac:dyDescent="0.25">
      <c r="A1538" s="1">
        <v>40953</v>
      </c>
      <c r="B1538">
        <v>10.4</v>
      </c>
    </row>
    <row r="1539" spans="1:2" x14ac:dyDescent="0.25">
      <c r="A1539" s="1">
        <v>40954</v>
      </c>
      <c r="B1539">
        <v>10.4</v>
      </c>
    </row>
    <row r="1540" spans="1:2" x14ac:dyDescent="0.25">
      <c r="A1540" s="1">
        <v>40955</v>
      </c>
      <c r="B1540">
        <v>10.4</v>
      </c>
    </row>
    <row r="1541" spans="1:2" x14ac:dyDescent="0.25">
      <c r="A1541" s="1">
        <v>40956</v>
      </c>
      <c r="B1541">
        <v>10.4</v>
      </c>
    </row>
    <row r="1542" spans="1:2" x14ac:dyDescent="0.25">
      <c r="A1542" s="1">
        <v>40961</v>
      </c>
      <c r="B1542">
        <v>10.4</v>
      </c>
    </row>
    <row r="1543" spans="1:2" x14ac:dyDescent="0.25">
      <c r="A1543" s="1">
        <v>40962</v>
      </c>
      <c r="B1543">
        <v>10.4</v>
      </c>
    </row>
    <row r="1544" spans="1:2" x14ac:dyDescent="0.25">
      <c r="A1544" s="1">
        <v>40963</v>
      </c>
      <c r="B1544">
        <v>10.4</v>
      </c>
    </row>
    <row r="1545" spans="1:2" x14ac:dyDescent="0.25">
      <c r="A1545" s="1">
        <v>40966</v>
      </c>
      <c r="B1545">
        <v>10.4</v>
      </c>
    </row>
    <row r="1546" spans="1:2" x14ac:dyDescent="0.25">
      <c r="A1546" s="1">
        <v>40967</v>
      </c>
      <c r="B1546">
        <v>10.4</v>
      </c>
    </row>
    <row r="1547" spans="1:2" x14ac:dyDescent="0.25">
      <c r="A1547" s="1">
        <v>40968</v>
      </c>
      <c r="B1547">
        <v>10.4</v>
      </c>
    </row>
    <row r="1548" spans="1:2" x14ac:dyDescent="0.25">
      <c r="A1548" s="1">
        <v>40969</v>
      </c>
      <c r="B1548">
        <v>10.4</v>
      </c>
    </row>
    <row r="1549" spans="1:2" x14ac:dyDescent="0.25">
      <c r="A1549" s="1">
        <v>40970</v>
      </c>
      <c r="B1549">
        <v>10.4</v>
      </c>
    </row>
    <row r="1550" spans="1:2" x14ac:dyDescent="0.25">
      <c r="A1550" s="1">
        <v>40973</v>
      </c>
      <c r="B1550">
        <v>10.4</v>
      </c>
    </row>
    <row r="1551" spans="1:2" x14ac:dyDescent="0.25">
      <c r="A1551" s="1">
        <v>40974</v>
      </c>
      <c r="B1551">
        <v>10.4</v>
      </c>
    </row>
    <row r="1552" spans="1:2" x14ac:dyDescent="0.25">
      <c r="A1552" s="1">
        <v>40975</v>
      </c>
      <c r="B1552">
        <v>10.4</v>
      </c>
    </row>
    <row r="1553" spans="1:2" x14ac:dyDescent="0.25">
      <c r="A1553" s="1">
        <v>40976</v>
      </c>
      <c r="B1553">
        <v>9.65</v>
      </c>
    </row>
    <row r="1554" spans="1:2" x14ac:dyDescent="0.25">
      <c r="A1554" s="1">
        <v>40977</v>
      </c>
      <c r="B1554">
        <v>9.65</v>
      </c>
    </row>
    <row r="1555" spans="1:2" x14ac:dyDescent="0.25">
      <c r="A1555" s="1">
        <v>40980</v>
      </c>
      <c r="B1555">
        <v>9.65</v>
      </c>
    </row>
    <row r="1556" spans="1:2" x14ac:dyDescent="0.25">
      <c r="A1556" s="1">
        <v>40981</v>
      </c>
      <c r="B1556">
        <v>9.65</v>
      </c>
    </row>
    <row r="1557" spans="1:2" x14ac:dyDescent="0.25">
      <c r="A1557" s="1">
        <v>40982</v>
      </c>
      <c r="B1557">
        <v>9.65</v>
      </c>
    </row>
    <row r="1558" spans="1:2" x14ac:dyDescent="0.25">
      <c r="A1558" s="1">
        <v>40983</v>
      </c>
      <c r="B1558">
        <v>9.65</v>
      </c>
    </row>
    <row r="1559" spans="1:2" x14ac:dyDescent="0.25">
      <c r="A1559" s="1">
        <v>40984</v>
      </c>
      <c r="B1559">
        <v>9.65</v>
      </c>
    </row>
    <row r="1560" spans="1:2" x14ac:dyDescent="0.25">
      <c r="A1560" s="1">
        <v>40987</v>
      </c>
      <c r="B1560">
        <v>9.65</v>
      </c>
    </row>
    <row r="1561" spans="1:2" x14ac:dyDescent="0.25">
      <c r="A1561" s="1">
        <v>40988</v>
      </c>
      <c r="B1561">
        <v>9.65</v>
      </c>
    </row>
    <row r="1562" spans="1:2" x14ac:dyDescent="0.25">
      <c r="A1562" s="1">
        <v>40989</v>
      </c>
      <c r="B1562">
        <v>9.65</v>
      </c>
    </row>
    <row r="1563" spans="1:2" x14ac:dyDescent="0.25">
      <c r="A1563" s="1">
        <v>40990</v>
      </c>
      <c r="B1563">
        <v>9.65</v>
      </c>
    </row>
    <row r="1564" spans="1:2" x14ac:dyDescent="0.25">
      <c r="A1564" s="1">
        <v>40991</v>
      </c>
      <c r="B1564">
        <v>9.65</v>
      </c>
    </row>
    <row r="1565" spans="1:2" x14ac:dyDescent="0.25">
      <c r="A1565" s="1">
        <v>40994</v>
      </c>
      <c r="B1565">
        <v>9.65</v>
      </c>
    </row>
    <row r="1566" spans="1:2" x14ac:dyDescent="0.25">
      <c r="A1566" s="1">
        <v>40995</v>
      </c>
      <c r="B1566">
        <v>9.65</v>
      </c>
    </row>
    <row r="1567" spans="1:2" x14ac:dyDescent="0.25">
      <c r="A1567" s="1">
        <v>40996</v>
      </c>
      <c r="B1567">
        <v>9.65</v>
      </c>
    </row>
    <row r="1568" spans="1:2" x14ac:dyDescent="0.25">
      <c r="A1568" s="1">
        <v>40997</v>
      </c>
      <c r="B1568">
        <v>9.65</v>
      </c>
    </row>
    <row r="1569" spans="1:2" x14ac:dyDescent="0.25">
      <c r="A1569" s="1">
        <v>40998</v>
      </c>
      <c r="B1569">
        <v>9.65</v>
      </c>
    </row>
    <row r="1570" spans="1:2" x14ac:dyDescent="0.25">
      <c r="A1570" s="1">
        <v>41001</v>
      </c>
      <c r="B1570">
        <v>9.65</v>
      </c>
    </row>
    <row r="1571" spans="1:2" x14ac:dyDescent="0.25">
      <c r="A1571" s="1">
        <v>41002</v>
      </c>
      <c r="B1571">
        <v>9.65</v>
      </c>
    </row>
    <row r="1572" spans="1:2" x14ac:dyDescent="0.25">
      <c r="A1572" s="1">
        <v>41003</v>
      </c>
      <c r="B1572">
        <v>9.65</v>
      </c>
    </row>
    <row r="1573" spans="1:2" x14ac:dyDescent="0.25">
      <c r="A1573" s="1">
        <v>41004</v>
      </c>
      <c r="B1573">
        <v>9.65</v>
      </c>
    </row>
    <row r="1574" spans="1:2" x14ac:dyDescent="0.25">
      <c r="A1574" s="1">
        <v>41008</v>
      </c>
      <c r="B1574">
        <v>9.65</v>
      </c>
    </row>
    <row r="1575" spans="1:2" x14ac:dyDescent="0.25">
      <c r="A1575" s="1">
        <v>41009</v>
      </c>
      <c r="B1575">
        <v>9.65</v>
      </c>
    </row>
    <row r="1576" spans="1:2" x14ac:dyDescent="0.25">
      <c r="A1576" s="1">
        <v>41010</v>
      </c>
      <c r="B1576">
        <v>9.65</v>
      </c>
    </row>
    <row r="1577" spans="1:2" x14ac:dyDescent="0.25">
      <c r="A1577" s="1">
        <v>41011</v>
      </c>
      <c r="B1577">
        <v>9.65</v>
      </c>
    </row>
    <row r="1578" spans="1:2" x14ac:dyDescent="0.25">
      <c r="A1578" s="1">
        <v>41012</v>
      </c>
      <c r="B1578">
        <v>9.65</v>
      </c>
    </row>
    <row r="1579" spans="1:2" x14ac:dyDescent="0.25">
      <c r="A1579" s="1">
        <v>41015</v>
      </c>
      <c r="B1579">
        <v>9.65</v>
      </c>
    </row>
    <row r="1580" spans="1:2" x14ac:dyDescent="0.25">
      <c r="A1580" s="1">
        <v>41016</v>
      </c>
      <c r="B1580">
        <v>9.65</v>
      </c>
    </row>
    <row r="1581" spans="1:2" x14ac:dyDescent="0.25">
      <c r="A1581" s="1">
        <v>41017</v>
      </c>
      <c r="B1581">
        <v>9.65</v>
      </c>
    </row>
    <row r="1582" spans="1:2" x14ac:dyDescent="0.25">
      <c r="A1582" s="1">
        <v>41018</v>
      </c>
      <c r="B1582">
        <v>8.9</v>
      </c>
    </row>
    <row r="1583" spans="1:2" x14ac:dyDescent="0.25">
      <c r="A1583" s="1">
        <v>41019</v>
      </c>
      <c r="B1583">
        <v>8.9</v>
      </c>
    </row>
    <row r="1584" spans="1:2" x14ac:dyDescent="0.25">
      <c r="A1584" s="1">
        <v>41022</v>
      </c>
      <c r="B1584">
        <v>8.9</v>
      </c>
    </row>
    <row r="1585" spans="1:2" x14ac:dyDescent="0.25">
      <c r="A1585" s="1">
        <v>41023</v>
      </c>
      <c r="B1585">
        <v>8.9</v>
      </c>
    </row>
    <row r="1586" spans="1:2" x14ac:dyDescent="0.25">
      <c r="A1586" s="1">
        <v>41024</v>
      </c>
      <c r="B1586">
        <v>8.9</v>
      </c>
    </row>
    <row r="1587" spans="1:2" x14ac:dyDescent="0.25">
      <c r="A1587" s="1">
        <v>41025</v>
      </c>
      <c r="B1587">
        <v>8.9</v>
      </c>
    </row>
    <row r="1588" spans="1:2" x14ac:dyDescent="0.25">
      <c r="A1588" s="1">
        <v>41026</v>
      </c>
      <c r="B1588">
        <v>8.9</v>
      </c>
    </row>
    <row r="1589" spans="1:2" x14ac:dyDescent="0.25">
      <c r="A1589" s="1">
        <v>41029</v>
      </c>
      <c r="B1589">
        <v>8.9</v>
      </c>
    </row>
    <row r="1590" spans="1:2" x14ac:dyDescent="0.25">
      <c r="A1590" s="1">
        <v>41031</v>
      </c>
      <c r="B1590">
        <v>8.9</v>
      </c>
    </row>
    <row r="1591" spans="1:2" x14ac:dyDescent="0.25">
      <c r="A1591" s="1">
        <v>41032</v>
      </c>
      <c r="B1591">
        <v>8.9</v>
      </c>
    </row>
    <row r="1592" spans="1:2" x14ac:dyDescent="0.25">
      <c r="A1592" s="1">
        <v>41033</v>
      </c>
      <c r="B1592">
        <v>8.9</v>
      </c>
    </row>
    <row r="1593" spans="1:2" x14ac:dyDescent="0.25">
      <c r="A1593" s="1">
        <v>41036</v>
      </c>
      <c r="B1593">
        <v>8.9</v>
      </c>
    </row>
    <row r="1594" spans="1:2" x14ac:dyDescent="0.25">
      <c r="A1594" s="1">
        <v>41037</v>
      </c>
      <c r="B1594">
        <v>8.9</v>
      </c>
    </row>
    <row r="1595" spans="1:2" x14ac:dyDescent="0.25">
      <c r="A1595" s="1">
        <v>41038</v>
      </c>
      <c r="B1595">
        <v>8.9</v>
      </c>
    </row>
    <row r="1596" spans="1:2" x14ac:dyDescent="0.25">
      <c r="A1596" s="1">
        <v>41039</v>
      </c>
      <c r="B1596">
        <v>8.9</v>
      </c>
    </row>
    <row r="1597" spans="1:2" x14ac:dyDescent="0.25">
      <c r="A1597" s="1">
        <v>41040</v>
      </c>
      <c r="B1597">
        <v>8.9</v>
      </c>
    </row>
    <row r="1598" spans="1:2" x14ac:dyDescent="0.25">
      <c r="A1598" s="1">
        <v>41043</v>
      </c>
      <c r="B1598">
        <v>8.89</v>
      </c>
    </row>
    <row r="1599" spans="1:2" x14ac:dyDescent="0.25">
      <c r="A1599" s="1">
        <v>41044</v>
      </c>
      <c r="B1599">
        <v>8.89</v>
      </c>
    </row>
    <row r="1600" spans="1:2" x14ac:dyDescent="0.25">
      <c r="A1600" s="1">
        <v>41045</v>
      </c>
      <c r="B1600">
        <v>8.89</v>
      </c>
    </row>
    <row r="1601" spans="1:2" x14ac:dyDescent="0.25">
      <c r="A1601" s="1">
        <v>41046</v>
      </c>
      <c r="B1601">
        <v>8.89</v>
      </c>
    </row>
    <row r="1602" spans="1:2" x14ac:dyDescent="0.25">
      <c r="A1602" s="1">
        <v>41047</v>
      </c>
      <c r="B1602">
        <v>8.89</v>
      </c>
    </row>
    <row r="1603" spans="1:2" x14ac:dyDescent="0.25">
      <c r="A1603" s="1">
        <v>41050</v>
      </c>
      <c r="B1603">
        <v>8.89</v>
      </c>
    </row>
    <row r="1604" spans="1:2" x14ac:dyDescent="0.25">
      <c r="A1604" s="1">
        <v>41051</v>
      </c>
      <c r="B1604">
        <v>8.89</v>
      </c>
    </row>
    <row r="1605" spans="1:2" x14ac:dyDescent="0.25">
      <c r="A1605" s="1">
        <v>41052</v>
      </c>
      <c r="B1605">
        <v>8.89</v>
      </c>
    </row>
    <row r="1606" spans="1:2" x14ac:dyDescent="0.25">
      <c r="A1606" s="1">
        <v>41053</v>
      </c>
      <c r="B1606">
        <v>8.89</v>
      </c>
    </row>
    <row r="1607" spans="1:2" x14ac:dyDescent="0.25">
      <c r="A1607" s="1">
        <v>41054</v>
      </c>
      <c r="B1607">
        <v>8.89</v>
      </c>
    </row>
    <row r="1608" spans="1:2" x14ac:dyDescent="0.25">
      <c r="A1608" s="1">
        <v>41057</v>
      </c>
      <c r="B1608">
        <v>8.89</v>
      </c>
    </row>
    <row r="1609" spans="1:2" x14ac:dyDescent="0.25">
      <c r="A1609" s="1">
        <v>41058</v>
      </c>
      <c r="B1609">
        <v>8.89</v>
      </c>
    </row>
    <row r="1610" spans="1:2" x14ac:dyDescent="0.25">
      <c r="A1610" s="1">
        <v>41059</v>
      </c>
      <c r="B1610">
        <v>8.8800000000000008</v>
      </c>
    </row>
    <row r="1611" spans="1:2" x14ac:dyDescent="0.25">
      <c r="A1611" s="1">
        <v>41060</v>
      </c>
      <c r="B1611">
        <v>8.39</v>
      </c>
    </row>
    <row r="1612" spans="1:2" x14ac:dyDescent="0.25">
      <c r="A1612" s="1">
        <v>41061</v>
      </c>
      <c r="B1612">
        <v>8.39</v>
      </c>
    </row>
    <row r="1613" spans="1:2" x14ac:dyDescent="0.25">
      <c r="A1613" s="1">
        <v>41064</v>
      </c>
      <c r="B1613">
        <v>8.39</v>
      </c>
    </row>
    <row r="1614" spans="1:2" x14ac:dyDescent="0.25">
      <c r="A1614" s="1">
        <v>41065</v>
      </c>
      <c r="B1614">
        <v>8.39</v>
      </c>
    </row>
    <row r="1615" spans="1:2" x14ac:dyDescent="0.25">
      <c r="A1615" s="1">
        <v>41066</v>
      </c>
      <c r="B1615">
        <v>8.39</v>
      </c>
    </row>
    <row r="1616" spans="1:2" x14ac:dyDescent="0.25">
      <c r="A1616" s="1">
        <v>41068</v>
      </c>
      <c r="B1616">
        <v>8.39</v>
      </c>
    </row>
    <row r="1617" spans="1:2" x14ac:dyDescent="0.25">
      <c r="A1617" s="1">
        <v>41071</v>
      </c>
      <c r="B1617">
        <v>8.39</v>
      </c>
    </row>
    <row r="1618" spans="1:2" x14ac:dyDescent="0.25">
      <c r="A1618" s="1">
        <v>41072</v>
      </c>
      <c r="B1618">
        <v>8.39</v>
      </c>
    </row>
    <row r="1619" spans="1:2" x14ac:dyDescent="0.25">
      <c r="A1619" s="1">
        <v>41073</v>
      </c>
      <c r="B1619">
        <v>8.39</v>
      </c>
    </row>
    <row r="1620" spans="1:2" x14ac:dyDescent="0.25">
      <c r="A1620" s="1">
        <v>41074</v>
      </c>
      <c r="B1620">
        <v>8.39</v>
      </c>
    </row>
    <row r="1621" spans="1:2" x14ac:dyDescent="0.25">
      <c r="A1621" s="1">
        <v>41075</v>
      </c>
      <c r="B1621">
        <v>8.39</v>
      </c>
    </row>
    <row r="1622" spans="1:2" x14ac:dyDescent="0.25">
      <c r="A1622" s="1">
        <v>41078</v>
      </c>
      <c r="B1622">
        <v>8.39</v>
      </c>
    </row>
    <row r="1623" spans="1:2" x14ac:dyDescent="0.25">
      <c r="A1623" s="1">
        <v>41079</v>
      </c>
      <c r="B1623">
        <v>8.39</v>
      </c>
    </row>
    <row r="1624" spans="1:2" x14ac:dyDescent="0.25">
      <c r="A1624" s="1">
        <v>41080</v>
      </c>
      <c r="B1624">
        <v>8.39</v>
      </c>
    </row>
    <row r="1625" spans="1:2" x14ac:dyDescent="0.25">
      <c r="A1625" s="1">
        <v>41081</v>
      </c>
      <c r="B1625">
        <v>8.39</v>
      </c>
    </row>
    <row r="1626" spans="1:2" x14ac:dyDescent="0.25">
      <c r="A1626" s="1">
        <v>41082</v>
      </c>
      <c r="B1626">
        <v>8.39</v>
      </c>
    </row>
    <row r="1627" spans="1:2" x14ac:dyDescent="0.25">
      <c r="A1627" s="1">
        <v>41085</v>
      </c>
      <c r="B1627">
        <v>8.39</v>
      </c>
    </row>
    <row r="1628" spans="1:2" x14ac:dyDescent="0.25">
      <c r="A1628" s="1">
        <v>41086</v>
      </c>
      <c r="B1628">
        <v>8.39</v>
      </c>
    </row>
    <row r="1629" spans="1:2" x14ac:dyDescent="0.25">
      <c r="A1629" s="1">
        <v>41087</v>
      </c>
      <c r="B1629">
        <v>8.39</v>
      </c>
    </row>
    <row r="1630" spans="1:2" x14ac:dyDescent="0.25">
      <c r="A1630" s="1">
        <v>41088</v>
      </c>
      <c r="B1630">
        <v>8.39</v>
      </c>
    </row>
    <row r="1631" spans="1:2" x14ac:dyDescent="0.25">
      <c r="A1631" s="1">
        <v>41089</v>
      </c>
      <c r="B1631">
        <v>8.4</v>
      </c>
    </row>
    <row r="1632" spans="1:2" x14ac:dyDescent="0.25">
      <c r="A1632" s="1">
        <v>41092</v>
      </c>
      <c r="B1632">
        <v>8.39</v>
      </c>
    </row>
    <row r="1633" spans="1:2" x14ac:dyDescent="0.25">
      <c r="A1633" s="1">
        <v>41093</v>
      </c>
      <c r="B1633">
        <v>8.39</v>
      </c>
    </row>
    <row r="1634" spans="1:2" x14ac:dyDescent="0.25">
      <c r="A1634" s="1">
        <v>41094</v>
      </c>
      <c r="B1634">
        <v>8.39</v>
      </c>
    </row>
    <row r="1635" spans="1:2" x14ac:dyDescent="0.25">
      <c r="A1635" s="1">
        <v>41095</v>
      </c>
      <c r="B1635">
        <v>8.39</v>
      </c>
    </row>
    <row r="1636" spans="1:2" x14ac:dyDescent="0.25">
      <c r="A1636" s="1">
        <v>41096</v>
      </c>
      <c r="B1636">
        <v>8.39</v>
      </c>
    </row>
    <row r="1637" spans="1:2" x14ac:dyDescent="0.25">
      <c r="A1637" s="1">
        <v>41099</v>
      </c>
      <c r="B1637">
        <v>8.39</v>
      </c>
    </row>
    <row r="1638" spans="1:2" x14ac:dyDescent="0.25">
      <c r="A1638" s="1">
        <v>41100</v>
      </c>
      <c r="B1638">
        <v>8.39</v>
      </c>
    </row>
    <row r="1639" spans="1:2" x14ac:dyDescent="0.25">
      <c r="A1639" s="1">
        <v>41101</v>
      </c>
      <c r="B1639">
        <v>8.39</v>
      </c>
    </row>
    <row r="1640" spans="1:2" x14ac:dyDescent="0.25">
      <c r="A1640" s="1">
        <v>41102</v>
      </c>
      <c r="B1640">
        <v>7.89</v>
      </c>
    </row>
    <row r="1641" spans="1:2" x14ac:dyDescent="0.25">
      <c r="A1641" s="1">
        <v>41103</v>
      </c>
      <c r="B1641">
        <v>7.89</v>
      </c>
    </row>
    <row r="1642" spans="1:2" x14ac:dyDescent="0.25">
      <c r="A1642" s="1">
        <v>41106</v>
      </c>
      <c r="B1642">
        <v>7.89</v>
      </c>
    </row>
    <row r="1643" spans="1:2" x14ac:dyDescent="0.25">
      <c r="A1643" s="1">
        <v>41107</v>
      </c>
      <c r="B1643">
        <v>7.89</v>
      </c>
    </row>
    <row r="1644" spans="1:2" x14ac:dyDescent="0.25">
      <c r="A1644" s="1">
        <v>41108</v>
      </c>
      <c r="B1644">
        <v>7.89</v>
      </c>
    </row>
    <row r="1645" spans="1:2" x14ac:dyDescent="0.25">
      <c r="A1645" s="1">
        <v>41109</v>
      </c>
      <c r="B1645">
        <v>7.89</v>
      </c>
    </row>
    <row r="1646" spans="1:2" x14ac:dyDescent="0.25">
      <c r="A1646" s="1">
        <v>41110</v>
      </c>
      <c r="B1646">
        <v>7.89</v>
      </c>
    </row>
    <row r="1647" spans="1:2" x14ac:dyDescent="0.25">
      <c r="A1647" s="1">
        <v>41113</v>
      </c>
      <c r="B1647">
        <v>7.89</v>
      </c>
    </row>
    <row r="1648" spans="1:2" x14ac:dyDescent="0.25">
      <c r="A1648" s="1">
        <v>41114</v>
      </c>
      <c r="B1648">
        <v>7.89</v>
      </c>
    </row>
    <row r="1649" spans="1:2" x14ac:dyDescent="0.25">
      <c r="A1649" s="1">
        <v>41115</v>
      </c>
      <c r="B1649">
        <v>7.89</v>
      </c>
    </row>
    <row r="1650" spans="1:2" x14ac:dyDescent="0.25">
      <c r="A1650" s="1">
        <v>41116</v>
      </c>
      <c r="B1650">
        <v>7.89</v>
      </c>
    </row>
    <row r="1651" spans="1:2" x14ac:dyDescent="0.25">
      <c r="A1651" s="1">
        <v>41117</v>
      </c>
      <c r="B1651">
        <v>7.89</v>
      </c>
    </row>
    <row r="1652" spans="1:2" x14ac:dyDescent="0.25">
      <c r="A1652" s="1">
        <v>41120</v>
      </c>
      <c r="B1652">
        <v>7.89</v>
      </c>
    </row>
    <row r="1653" spans="1:2" x14ac:dyDescent="0.25">
      <c r="A1653" s="1">
        <v>41121</v>
      </c>
      <c r="B1653">
        <v>7.89</v>
      </c>
    </row>
    <row r="1654" spans="1:2" x14ac:dyDescent="0.25">
      <c r="A1654" s="1">
        <v>41122</v>
      </c>
      <c r="B1654">
        <v>7.89</v>
      </c>
    </row>
    <row r="1655" spans="1:2" x14ac:dyDescent="0.25">
      <c r="A1655" s="1">
        <v>41123</v>
      </c>
      <c r="B1655">
        <v>7.89</v>
      </c>
    </row>
    <row r="1656" spans="1:2" x14ac:dyDescent="0.25">
      <c r="A1656" s="1">
        <v>41124</v>
      </c>
      <c r="B1656">
        <v>7.89</v>
      </c>
    </row>
    <row r="1657" spans="1:2" x14ac:dyDescent="0.25">
      <c r="A1657" s="1">
        <v>41127</v>
      </c>
      <c r="B1657">
        <v>7.89</v>
      </c>
    </row>
    <row r="1658" spans="1:2" x14ac:dyDescent="0.25">
      <c r="A1658" s="1">
        <v>41128</v>
      </c>
      <c r="B1658">
        <v>7.89</v>
      </c>
    </row>
    <row r="1659" spans="1:2" x14ac:dyDescent="0.25">
      <c r="A1659" s="1">
        <v>41129</v>
      </c>
      <c r="B1659">
        <v>7.89</v>
      </c>
    </row>
    <row r="1660" spans="1:2" x14ac:dyDescent="0.25">
      <c r="A1660" s="1">
        <v>41130</v>
      </c>
      <c r="B1660">
        <v>7.89</v>
      </c>
    </row>
    <row r="1661" spans="1:2" x14ac:dyDescent="0.25">
      <c r="A1661" s="1">
        <v>41131</v>
      </c>
      <c r="B1661">
        <v>7.89</v>
      </c>
    </row>
    <row r="1662" spans="1:2" x14ac:dyDescent="0.25">
      <c r="A1662" s="1">
        <v>41134</v>
      </c>
      <c r="B1662">
        <v>7.89</v>
      </c>
    </row>
    <row r="1663" spans="1:2" x14ac:dyDescent="0.25">
      <c r="A1663" s="1">
        <v>41135</v>
      </c>
      <c r="B1663">
        <v>7.89</v>
      </c>
    </row>
    <row r="1664" spans="1:2" x14ac:dyDescent="0.25">
      <c r="A1664" s="1">
        <v>41136</v>
      </c>
      <c r="B1664">
        <v>7.89</v>
      </c>
    </row>
    <row r="1665" spans="1:2" x14ac:dyDescent="0.25">
      <c r="A1665" s="1">
        <v>41137</v>
      </c>
      <c r="B1665">
        <v>7.89</v>
      </c>
    </row>
    <row r="1666" spans="1:2" x14ac:dyDescent="0.25">
      <c r="A1666" s="1">
        <v>41138</v>
      </c>
      <c r="B1666">
        <v>7.89</v>
      </c>
    </row>
    <row r="1667" spans="1:2" x14ac:dyDescent="0.25">
      <c r="A1667" s="1">
        <v>41141</v>
      </c>
      <c r="B1667">
        <v>7.89</v>
      </c>
    </row>
    <row r="1668" spans="1:2" x14ac:dyDescent="0.25">
      <c r="A1668" s="1">
        <v>41142</v>
      </c>
      <c r="B1668">
        <v>7.89</v>
      </c>
    </row>
    <row r="1669" spans="1:2" x14ac:dyDescent="0.25">
      <c r="A1669" s="1">
        <v>41143</v>
      </c>
      <c r="B1669">
        <v>7.89</v>
      </c>
    </row>
    <row r="1670" spans="1:2" x14ac:dyDescent="0.25">
      <c r="A1670" s="1">
        <v>41144</v>
      </c>
      <c r="B1670">
        <v>7.89</v>
      </c>
    </row>
    <row r="1671" spans="1:2" x14ac:dyDescent="0.25">
      <c r="A1671" s="1">
        <v>41145</v>
      </c>
      <c r="B1671">
        <v>7.89</v>
      </c>
    </row>
    <row r="1672" spans="1:2" x14ac:dyDescent="0.25">
      <c r="A1672" s="1">
        <v>41148</v>
      </c>
      <c r="B1672">
        <v>7.89</v>
      </c>
    </row>
    <row r="1673" spans="1:2" x14ac:dyDescent="0.25">
      <c r="A1673" s="1">
        <v>41149</v>
      </c>
      <c r="B1673">
        <v>7.89</v>
      </c>
    </row>
    <row r="1674" spans="1:2" x14ac:dyDescent="0.25">
      <c r="A1674" s="1">
        <v>41150</v>
      </c>
      <c r="B1674">
        <v>7.89</v>
      </c>
    </row>
    <row r="1675" spans="1:2" x14ac:dyDescent="0.25">
      <c r="A1675" s="1">
        <v>41151</v>
      </c>
      <c r="B1675">
        <v>7.39</v>
      </c>
    </row>
    <row r="1676" spans="1:2" x14ac:dyDescent="0.25">
      <c r="A1676" s="1">
        <v>41152</v>
      </c>
      <c r="B1676">
        <v>7.39</v>
      </c>
    </row>
    <row r="1677" spans="1:2" x14ac:dyDescent="0.25">
      <c r="A1677" s="1">
        <v>41155</v>
      </c>
      <c r="B1677">
        <v>7.39</v>
      </c>
    </row>
    <row r="1678" spans="1:2" x14ac:dyDescent="0.25">
      <c r="A1678" s="1">
        <v>41156</v>
      </c>
      <c r="B1678">
        <v>7.39</v>
      </c>
    </row>
    <row r="1679" spans="1:2" x14ac:dyDescent="0.25">
      <c r="A1679" s="1">
        <v>41157</v>
      </c>
      <c r="B1679">
        <v>7.39</v>
      </c>
    </row>
    <row r="1680" spans="1:2" x14ac:dyDescent="0.25">
      <c r="A1680" s="1">
        <v>41158</v>
      </c>
      <c r="B1680">
        <v>7.39</v>
      </c>
    </row>
    <row r="1681" spans="1:2" x14ac:dyDescent="0.25">
      <c r="A1681" s="1">
        <v>41162</v>
      </c>
      <c r="B1681">
        <v>7.39</v>
      </c>
    </row>
    <row r="1682" spans="1:2" x14ac:dyDescent="0.25">
      <c r="A1682" s="1">
        <v>41163</v>
      </c>
      <c r="B1682">
        <v>7.39</v>
      </c>
    </row>
    <row r="1683" spans="1:2" x14ac:dyDescent="0.25">
      <c r="A1683" s="1">
        <v>41164</v>
      </c>
      <c r="B1683">
        <v>7.39</v>
      </c>
    </row>
    <row r="1684" spans="1:2" x14ac:dyDescent="0.25">
      <c r="A1684" s="1">
        <v>41165</v>
      </c>
      <c r="B1684">
        <v>7.39</v>
      </c>
    </row>
    <row r="1685" spans="1:2" x14ac:dyDescent="0.25">
      <c r="A1685" s="1">
        <v>41166</v>
      </c>
      <c r="B1685">
        <v>7.39</v>
      </c>
    </row>
    <row r="1686" spans="1:2" x14ac:dyDescent="0.25">
      <c r="A1686" s="1">
        <v>41169</v>
      </c>
      <c r="B1686">
        <v>7.39</v>
      </c>
    </row>
    <row r="1687" spans="1:2" x14ac:dyDescent="0.25">
      <c r="A1687" s="1">
        <v>41170</v>
      </c>
      <c r="B1687">
        <v>7.39</v>
      </c>
    </row>
    <row r="1688" spans="1:2" x14ac:dyDescent="0.25">
      <c r="A1688" s="1">
        <v>41171</v>
      </c>
      <c r="B1688">
        <v>7.39</v>
      </c>
    </row>
    <row r="1689" spans="1:2" x14ac:dyDescent="0.25">
      <c r="A1689" s="1">
        <v>41172</v>
      </c>
      <c r="B1689">
        <v>7.39</v>
      </c>
    </row>
    <row r="1690" spans="1:2" x14ac:dyDescent="0.25">
      <c r="A1690" s="1">
        <v>41173</v>
      </c>
      <c r="B1690">
        <v>7.39</v>
      </c>
    </row>
    <row r="1691" spans="1:2" x14ac:dyDescent="0.25">
      <c r="A1691" s="1">
        <v>41176</v>
      </c>
      <c r="B1691">
        <v>7.39</v>
      </c>
    </row>
    <row r="1692" spans="1:2" x14ac:dyDescent="0.25">
      <c r="A1692" s="1">
        <v>41177</v>
      </c>
      <c r="B1692">
        <v>7.39</v>
      </c>
    </row>
    <row r="1693" spans="1:2" x14ac:dyDescent="0.25">
      <c r="A1693" s="1">
        <v>41178</v>
      </c>
      <c r="B1693">
        <v>7.39</v>
      </c>
    </row>
    <row r="1694" spans="1:2" x14ac:dyDescent="0.25">
      <c r="A1694" s="1">
        <v>41179</v>
      </c>
      <c r="B1694">
        <v>7.39</v>
      </c>
    </row>
    <row r="1695" spans="1:2" x14ac:dyDescent="0.25">
      <c r="A1695" s="1">
        <v>41180</v>
      </c>
      <c r="B1695">
        <v>7.39</v>
      </c>
    </row>
    <row r="1696" spans="1:2" x14ac:dyDescent="0.25">
      <c r="A1696" s="1">
        <v>41183</v>
      </c>
      <c r="B1696">
        <v>7.39</v>
      </c>
    </row>
    <row r="1697" spans="1:2" x14ac:dyDescent="0.25">
      <c r="A1697" s="1">
        <v>41184</v>
      </c>
      <c r="B1697">
        <v>7.39</v>
      </c>
    </row>
    <row r="1698" spans="1:2" x14ac:dyDescent="0.25">
      <c r="A1698" s="1">
        <v>41185</v>
      </c>
      <c r="B1698">
        <v>7.39</v>
      </c>
    </row>
    <row r="1699" spans="1:2" x14ac:dyDescent="0.25">
      <c r="A1699" s="1">
        <v>41186</v>
      </c>
      <c r="B1699">
        <v>7.39</v>
      </c>
    </row>
    <row r="1700" spans="1:2" x14ac:dyDescent="0.25">
      <c r="A1700" s="1">
        <v>41187</v>
      </c>
      <c r="B1700">
        <v>7.39</v>
      </c>
    </row>
    <row r="1701" spans="1:2" x14ac:dyDescent="0.25">
      <c r="A1701" s="1">
        <v>41190</v>
      </c>
      <c r="B1701">
        <v>7.39</v>
      </c>
    </row>
    <row r="1702" spans="1:2" x14ac:dyDescent="0.25">
      <c r="A1702" s="1">
        <v>41191</v>
      </c>
      <c r="B1702">
        <v>7.39</v>
      </c>
    </row>
    <row r="1703" spans="1:2" x14ac:dyDescent="0.25">
      <c r="A1703" s="1">
        <v>41192</v>
      </c>
      <c r="B1703">
        <v>7.39</v>
      </c>
    </row>
    <row r="1704" spans="1:2" x14ac:dyDescent="0.25">
      <c r="A1704" s="1">
        <v>41193</v>
      </c>
      <c r="B1704">
        <v>7.14</v>
      </c>
    </row>
    <row r="1705" spans="1:2" x14ac:dyDescent="0.25">
      <c r="A1705" s="1">
        <v>41197</v>
      </c>
      <c r="B1705">
        <v>7.14</v>
      </c>
    </row>
    <row r="1706" spans="1:2" x14ac:dyDescent="0.25">
      <c r="A1706" s="1">
        <v>41198</v>
      </c>
      <c r="B1706">
        <v>7.14</v>
      </c>
    </row>
    <row r="1707" spans="1:2" x14ac:dyDescent="0.25">
      <c r="A1707" s="1">
        <v>41199</v>
      </c>
      <c r="B1707">
        <v>7.14</v>
      </c>
    </row>
    <row r="1708" spans="1:2" x14ac:dyDescent="0.25">
      <c r="A1708" s="1">
        <v>41200</v>
      </c>
      <c r="B1708">
        <v>7.14</v>
      </c>
    </row>
    <row r="1709" spans="1:2" x14ac:dyDescent="0.25">
      <c r="A1709" s="1">
        <v>41201</v>
      </c>
      <c r="B1709">
        <v>7.14</v>
      </c>
    </row>
    <row r="1710" spans="1:2" x14ac:dyDescent="0.25">
      <c r="A1710" s="1">
        <v>41204</v>
      </c>
      <c r="B1710">
        <v>7.14</v>
      </c>
    </row>
    <row r="1711" spans="1:2" x14ac:dyDescent="0.25">
      <c r="A1711" s="1">
        <v>41205</v>
      </c>
      <c r="B1711">
        <v>7.14</v>
      </c>
    </row>
    <row r="1712" spans="1:2" x14ac:dyDescent="0.25">
      <c r="A1712" s="1">
        <v>41206</v>
      </c>
      <c r="B1712">
        <v>7.14</v>
      </c>
    </row>
    <row r="1713" spans="1:2" x14ac:dyDescent="0.25">
      <c r="A1713" s="1">
        <v>41207</v>
      </c>
      <c r="B1713">
        <v>7.14</v>
      </c>
    </row>
    <row r="1714" spans="1:2" x14ac:dyDescent="0.25">
      <c r="A1714" s="1">
        <v>41208</v>
      </c>
      <c r="B1714">
        <v>7.14</v>
      </c>
    </row>
    <row r="1715" spans="1:2" x14ac:dyDescent="0.25">
      <c r="A1715" s="1">
        <v>41211</v>
      </c>
      <c r="B1715">
        <v>7.14</v>
      </c>
    </row>
    <row r="1716" spans="1:2" x14ac:dyDescent="0.25">
      <c r="A1716" s="1">
        <v>41212</v>
      </c>
      <c r="B1716">
        <v>7.14</v>
      </c>
    </row>
    <row r="1717" spans="1:2" x14ac:dyDescent="0.25">
      <c r="A1717" s="1">
        <v>41213</v>
      </c>
      <c r="B1717">
        <v>7.14</v>
      </c>
    </row>
    <row r="1718" spans="1:2" x14ac:dyDescent="0.25">
      <c r="A1718" s="1">
        <v>41214</v>
      </c>
      <c r="B1718">
        <v>7.14</v>
      </c>
    </row>
    <row r="1719" spans="1:2" x14ac:dyDescent="0.25">
      <c r="A1719" s="1">
        <v>41218</v>
      </c>
      <c r="B1719">
        <v>7.14</v>
      </c>
    </row>
    <row r="1720" spans="1:2" x14ac:dyDescent="0.25">
      <c r="A1720" s="1">
        <v>41219</v>
      </c>
      <c r="B1720">
        <v>7.14</v>
      </c>
    </row>
    <row r="1721" spans="1:2" x14ac:dyDescent="0.25">
      <c r="A1721" s="1">
        <v>41220</v>
      </c>
      <c r="B1721">
        <v>7.14</v>
      </c>
    </row>
    <row r="1722" spans="1:2" x14ac:dyDescent="0.25">
      <c r="A1722" s="1">
        <v>41221</v>
      </c>
      <c r="B1722">
        <v>7.14</v>
      </c>
    </row>
    <row r="1723" spans="1:2" x14ac:dyDescent="0.25">
      <c r="A1723" s="1">
        <v>41222</v>
      </c>
      <c r="B1723">
        <v>7.14</v>
      </c>
    </row>
    <row r="1724" spans="1:2" x14ac:dyDescent="0.25">
      <c r="A1724" s="1">
        <v>41225</v>
      </c>
      <c r="B1724">
        <v>7.14</v>
      </c>
    </row>
    <row r="1725" spans="1:2" x14ac:dyDescent="0.25">
      <c r="A1725" s="1">
        <v>41226</v>
      </c>
      <c r="B1725">
        <v>7.14</v>
      </c>
    </row>
    <row r="1726" spans="1:2" x14ac:dyDescent="0.25">
      <c r="A1726" s="1">
        <v>41227</v>
      </c>
      <c r="B1726">
        <v>7.14</v>
      </c>
    </row>
    <row r="1727" spans="1:2" x14ac:dyDescent="0.25">
      <c r="A1727" s="1">
        <v>41229</v>
      </c>
      <c r="B1727">
        <v>7.14</v>
      </c>
    </row>
    <row r="1728" spans="1:2" x14ac:dyDescent="0.25">
      <c r="A1728" s="1">
        <v>41232</v>
      </c>
      <c r="B1728">
        <v>7.14</v>
      </c>
    </row>
    <row r="1729" spans="1:2" x14ac:dyDescent="0.25">
      <c r="A1729" s="1">
        <v>41233</v>
      </c>
      <c r="B1729">
        <v>7.14</v>
      </c>
    </row>
    <row r="1730" spans="1:2" x14ac:dyDescent="0.25">
      <c r="A1730" s="1">
        <v>41234</v>
      </c>
      <c r="B1730">
        <v>7.14</v>
      </c>
    </row>
    <row r="1731" spans="1:2" x14ac:dyDescent="0.25">
      <c r="A1731" s="1">
        <v>41235</v>
      </c>
      <c r="B1731">
        <v>7.14</v>
      </c>
    </row>
    <row r="1732" spans="1:2" x14ac:dyDescent="0.25">
      <c r="A1732" s="1">
        <v>41236</v>
      </c>
      <c r="B1732">
        <v>7.14</v>
      </c>
    </row>
    <row r="1733" spans="1:2" x14ac:dyDescent="0.25">
      <c r="A1733" s="1">
        <v>41239</v>
      </c>
      <c r="B1733">
        <v>7.14</v>
      </c>
    </row>
    <row r="1734" spans="1:2" x14ac:dyDescent="0.25">
      <c r="A1734" s="1">
        <v>41240</v>
      </c>
      <c r="B1734">
        <v>7.14</v>
      </c>
    </row>
    <row r="1735" spans="1:2" x14ac:dyDescent="0.25">
      <c r="A1735" s="1">
        <v>41241</v>
      </c>
      <c r="B1735">
        <v>7.14</v>
      </c>
    </row>
    <row r="1736" spans="1:2" x14ac:dyDescent="0.25">
      <c r="A1736" s="1">
        <v>41242</v>
      </c>
      <c r="B1736">
        <v>7.14</v>
      </c>
    </row>
    <row r="1737" spans="1:2" x14ac:dyDescent="0.25">
      <c r="A1737" s="1">
        <v>41243</v>
      </c>
      <c r="B1737">
        <v>7.14</v>
      </c>
    </row>
    <row r="1738" spans="1:2" x14ac:dyDescent="0.25">
      <c r="A1738" s="1">
        <v>41246</v>
      </c>
      <c r="B1738">
        <v>7.14</v>
      </c>
    </row>
    <row r="1739" spans="1:2" x14ac:dyDescent="0.25">
      <c r="A1739" s="1">
        <v>41247</v>
      </c>
      <c r="B1739">
        <v>7.14</v>
      </c>
    </row>
    <row r="1740" spans="1:2" x14ac:dyDescent="0.25">
      <c r="A1740" s="1">
        <v>41248</v>
      </c>
      <c r="B1740">
        <v>7.14</v>
      </c>
    </row>
    <row r="1741" spans="1:2" x14ac:dyDescent="0.25">
      <c r="A1741" s="1">
        <v>41249</v>
      </c>
      <c r="B1741">
        <v>7.14</v>
      </c>
    </row>
    <row r="1742" spans="1:2" x14ac:dyDescent="0.25">
      <c r="A1742" s="1">
        <v>41250</v>
      </c>
      <c r="B1742">
        <v>7.14</v>
      </c>
    </row>
    <row r="1743" spans="1:2" x14ac:dyDescent="0.25">
      <c r="A1743" s="1">
        <v>41253</v>
      </c>
      <c r="B1743">
        <v>7.14</v>
      </c>
    </row>
    <row r="1744" spans="1:2" x14ac:dyDescent="0.25">
      <c r="A1744" s="1">
        <v>41254</v>
      </c>
      <c r="B1744">
        <v>7.13</v>
      </c>
    </row>
    <row r="1745" spans="1:2" x14ac:dyDescent="0.25">
      <c r="A1745" s="1">
        <v>41255</v>
      </c>
      <c r="B1745">
        <v>7.13</v>
      </c>
    </row>
    <row r="1746" spans="1:2" x14ac:dyDescent="0.25">
      <c r="A1746" s="1">
        <v>41256</v>
      </c>
      <c r="B1746">
        <v>7.13</v>
      </c>
    </row>
    <row r="1747" spans="1:2" x14ac:dyDescent="0.25">
      <c r="A1747" s="1">
        <v>41257</v>
      </c>
      <c r="B1747">
        <v>7.12</v>
      </c>
    </row>
    <row r="1748" spans="1:2" x14ac:dyDescent="0.25">
      <c r="A1748" s="1">
        <v>41260</v>
      </c>
      <c r="B1748">
        <v>7.12</v>
      </c>
    </row>
    <row r="1749" spans="1:2" x14ac:dyDescent="0.25">
      <c r="A1749" s="1">
        <v>41261</v>
      </c>
      <c r="B1749">
        <v>7.11</v>
      </c>
    </row>
    <row r="1750" spans="1:2" x14ac:dyDescent="0.25">
      <c r="A1750" s="1">
        <v>41262</v>
      </c>
      <c r="B1750">
        <v>7.11</v>
      </c>
    </row>
    <row r="1751" spans="1:2" x14ac:dyDescent="0.25">
      <c r="A1751" s="1">
        <v>41263</v>
      </c>
      <c r="B1751">
        <v>7.11</v>
      </c>
    </row>
    <row r="1752" spans="1:2" x14ac:dyDescent="0.25">
      <c r="A1752" s="1">
        <v>41264</v>
      </c>
      <c r="B1752">
        <v>7.11</v>
      </c>
    </row>
    <row r="1753" spans="1:2" x14ac:dyDescent="0.25">
      <c r="A1753" s="1">
        <v>41267</v>
      </c>
      <c r="B1753">
        <v>7.19</v>
      </c>
    </row>
    <row r="1754" spans="1:2" x14ac:dyDescent="0.25">
      <c r="A1754" s="1">
        <v>41269</v>
      </c>
      <c r="B1754">
        <v>7.24</v>
      </c>
    </row>
    <row r="1755" spans="1:2" x14ac:dyDescent="0.25">
      <c r="A1755" s="1">
        <v>41270</v>
      </c>
      <c r="B1755">
        <v>7.25</v>
      </c>
    </row>
    <row r="1756" spans="1:2" x14ac:dyDescent="0.25">
      <c r="A1756" s="1">
        <v>41271</v>
      </c>
      <c r="B1756">
        <v>7.27</v>
      </c>
    </row>
    <row r="1757" spans="1:2" x14ac:dyDescent="0.25">
      <c r="A1757" s="1">
        <v>41274</v>
      </c>
      <c r="B1757">
        <v>7.29</v>
      </c>
    </row>
    <row r="1758" spans="1:2" x14ac:dyDescent="0.25">
      <c r="A1758" s="1">
        <v>41276</v>
      </c>
      <c r="B1758">
        <v>7.11</v>
      </c>
    </row>
    <row r="1759" spans="1:2" x14ac:dyDescent="0.25">
      <c r="A1759" s="1">
        <v>41277</v>
      </c>
      <c r="B1759">
        <v>7.11</v>
      </c>
    </row>
    <row r="1760" spans="1:2" x14ac:dyDescent="0.25">
      <c r="A1760" s="1">
        <v>41278</v>
      </c>
      <c r="B1760">
        <v>7.11</v>
      </c>
    </row>
    <row r="1761" spans="1:2" x14ac:dyDescent="0.25">
      <c r="A1761" s="1">
        <v>41281</v>
      </c>
      <c r="B1761">
        <v>7.11</v>
      </c>
    </row>
    <row r="1762" spans="1:2" x14ac:dyDescent="0.25">
      <c r="A1762" s="1">
        <v>41282</v>
      </c>
      <c r="B1762">
        <v>7.11</v>
      </c>
    </row>
    <row r="1763" spans="1:2" x14ac:dyDescent="0.25">
      <c r="A1763" s="1">
        <v>41283</v>
      </c>
      <c r="B1763">
        <v>7.11</v>
      </c>
    </row>
    <row r="1764" spans="1:2" x14ac:dyDescent="0.25">
      <c r="A1764" s="1">
        <v>41284</v>
      </c>
      <c r="B1764">
        <v>7.11</v>
      </c>
    </row>
    <row r="1765" spans="1:2" x14ac:dyDescent="0.25">
      <c r="A1765" s="1">
        <v>41285</v>
      </c>
      <c r="B1765">
        <v>7.11</v>
      </c>
    </row>
    <row r="1766" spans="1:2" x14ac:dyDescent="0.25">
      <c r="A1766" s="1">
        <v>41288</v>
      </c>
      <c r="B1766">
        <v>7.11</v>
      </c>
    </row>
    <row r="1767" spans="1:2" x14ac:dyDescent="0.25">
      <c r="A1767" s="1">
        <v>41289</v>
      </c>
      <c r="B1767">
        <v>7.11</v>
      </c>
    </row>
    <row r="1768" spans="1:2" x14ac:dyDescent="0.25">
      <c r="A1768" s="1">
        <v>41290</v>
      </c>
      <c r="B1768">
        <v>7.11</v>
      </c>
    </row>
    <row r="1769" spans="1:2" x14ac:dyDescent="0.25">
      <c r="A1769" s="1">
        <v>41291</v>
      </c>
      <c r="B1769">
        <v>7.11</v>
      </c>
    </row>
    <row r="1770" spans="1:2" x14ac:dyDescent="0.25">
      <c r="A1770" s="1">
        <v>41292</v>
      </c>
      <c r="B1770">
        <v>7.11</v>
      </c>
    </row>
    <row r="1771" spans="1:2" x14ac:dyDescent="0.25">
      <c r="A1771" s="1">
        <v>41295</v>
      </c>
      <c r="B1771">
        <v>7.11</v>
      </c>
    </row>
    <row r="1772" spans="1:2" x14ac:dyDescent="0.25">
      <c r="A1772" s="1">
        <v>41296</v>
      </c>
      <c r="B1772">
        <v>7.11</v>
      </c>
    </row>
    <row r="1773" spans="1:2" x14ac:dyDescent="0.25">
      <c r="A1773" s="1">
        <v>41297</v>
      </c>
      <c r="B1773">
        <v>7.11</v>
      </c>
    </row>
    <row r="1774" spans="1:2" x14ac:dyDescent="0.25">
      <c r="A1774" s="1">
        <v>41298</v>
      </c>
      <c r="B1774">
        <v>7.11</v>
      </c>
    </row>
    <row r="1775" spans="1:2" x14ac:dyDescent="0.25">
      <c r="A1775" s="1">
        <v>41299</v>
      </c>
      <c r="B1775">
        <v>7.11</v>
      </c>
    </row>
    <row r="1776" spans="1:2" x14ac:dyDescent="0.25">
      <c r="A1776" s="1">
        <v>41302</v>
      </c>
      <c r="B1776">
        <v>7.11</v>
      </c>
    </row>
    <row r="1777" spans="1:2" x14ac:dyDescent="0.25">
      <c r="A1777" s="1">
        <v>41303</v>
      </c>
      <c r="B1777">
        <v>7.11</v>
      </c>
    </row>
    <row r="1778" spans="1:2" x14ac:dyDescent="0.25">
      <c r="A1778" s="1">
        <v>41304</v>
      </c>
      <c r="B1778">
        <v>7.11</v>
      </c>
    </row>
    <row r="1779" spans="1:2" x14ac:dyDescent="0.25">
      <c r="A1779" s="1">
        <v>41305</v>
      </c>
      <c r="B1779">
        <v>7.11</v>
      </c>
    </row>
    <row r="1780" spans="1:2" x14ac:dyDescent="0.25">
      <c r="A1780" s="1">
        <v>41306</v>
      </c>
      <c r="B1780">
        <v>7.11</v>
      </c>
    </row>
    <row r="1781" spans="1:2" x14ac:dyDescent="0.25">
      <c r="A1781" s="1">
        <v>41309</v>
      </c>
      <c r="B1781">
        <v>7.11</v>
      </c>
    </row>
    <row r="1782" spans="1:2" x14ac:dyDescent="0.25">
      <c r="A1782" s="1">
        <v>41310</v>
      </c>
      <c r="B1782">
        <v>7.11</v>
      </c>
    </row>
    <row r="1783" spans="1:2" x14ac:dyDescent="0.25">
      <c r="A1783" s="1">
        <v>41311</v>
      </c>
      <c r="B1783">
        <v>7.11</v>
      </c>
    </row>
    <row r="1784" spans="1:2" x14ac:dyDescent="0.25">
      <c r="A1784" s="1">
        <v>41312</v>
      </c>
      <c r="B1784">
        <v>7.11</v>
      </c>
    </row>
    <row r="1785" spans="1:2" x14ac:dyDescent="0.25">
      <c r="A1785" s="1">
        <v>41313</v>
      </c>
      <c r="B1785">
        <v>7.11</v>
      </c>
    </row>
    <row r="1786" spans="1:2" x14ac:dyDescent="0.25">
      <c r="A1786" s="1">
        <v>41318</v>
      </c>
      <c r="B1786">
        <v>7.11</v>
      </c>
    </row>
    <row r="1787" spans="1:2" x14ac:dyDescent="0.25">
      <c r="A1787" s="1">
        <v>41319</v>
      </c>
      <c r="B1787">
        <v>7.11</v>
      </c>
    </row>
    <row r="1788" spans="1:2" x14ac:dyDescent="0.25">
      <c r="A1788" s="1">
        <v>41320</v>
      </c>
      <c r="B1788">
        <v>7.11</v>
      </c>
    </row>
    <row r="1789" spans="1:2" x14ac:dyDescent="0.25">
      <c r="A1789" s="1">
        <v>41323</v>
      </c>
      <c r="B1789">
        <v>7.11</v>
      </c>
    </row>
    <row r="1790" spans="1:2" x14ac:dyDescent="0.25">
      <c r="A1790" s="1">
        <v>41324</v>
      </c>
      <c r="B1790">
        <v>7.11</v>
      </c>
    </row>
    <row r="1791" spans="1:2" x14ac:dyDescent="0.25">
      <c r="A1791" s="1">
        <v>41325</v>
      </c>
      <c r="B1791">
        <v>7.11</v>
      </c>
    </row>
    <row r="1792" spans="1:2" x14ac:dyDescent="0.25">
      <c r="A1792" s="1">
        <v>41326</v>
      </c>
      <c r="B1792">
        <v>7.11</v>
      </c>
    </row>
    <row r="1793" spans="1:2" x14ac:dyDescent="0.25">
      <c r="A1793" s="1">
        <v>41327</v>
      </c>
      <c r="B1793">
        <v>7.11</v>
      </c>
    </row>
    <row r="1794" spans="1:2" x14ac:dyDescent="0.25">
      <c r="A1794" s="1">
        <v>41330</v>
      </c>
      <c r="B1794">
        <v>7.11</v>
      </c>
    </row>
    <row r="1795" spans="1:2" x14ac:dyDescent="0.25">
      <c r="A1795" s="1">
        <v>41331</v>
      </c>
      <c r="B1795">
        <v>7.18</v>
      </c>
    </row>
    <row r="1796" spans="1:2" x14ac:dyDescent="0.25">
      <c r="A1796" s="1">
        <v>41332</v>
      </c>
      <c r="B1796">
        <v>7.2</v>
      </c>
    </row>
    <row r="1797" spans="1:2" x14ac:dyDescent="0.25">
      <c r="A1797" s="1">
        <v>41333</v>
      </c>
      <c r="B1797">
        <v>7.2</v>
      </c>
    </row>
    <row r="1798" spans="1:2" x14ac:dyDescent="0.25">
      <c r="A1798" s="1">
        <v>41334</v>
      </c>
      <c r="B1798">
        <v>7.14</v>
      </c>
    </row>
    <row r="1799" spans="1:2" x14ac:dyDescent="0.25">
      <c r="A1799" s="1">
        <v>41337</v>
      </c>
      <c r="B1799">
        <v>7.12</v>
      </c>
    </row>
    <row r="1800" spans="1:2" x14ac:dyDescent="0.25">
      <c r="A1800" s="1">
        <v>41338</v>
      </c>
      <c r="B1800">
        <v>7.12</v>
      </c>
    </row>
    <row r="1801" spans="1:2" x14ac:dyDescent="0.25">
      <c r="A1801" s="1">
        <v>41339</v>
      </c>
      <c r="B1801">
        <v>7.14</v>
      </c>
    </row>
    <row r="1802" spans="1:2" x14ac:dyDescent="0.25">
      <c r="A1802" s="1">
        <v>41340</v>
      </c>
      <c r="B1802">
        <v>7.12</v>
      </c>
    </row>
    <row r="1803" spans="1:2" x14ac:dyDescent="0.25">
      <c r="A1803" s="1">
        <v>41341</v>
      </c>
      <c r="B1803">
        <v>7.13</v>
      </c>
    </row>
    <row r="1804" spans="1:2" x14ac:dyDescent="0.25">
      <c r="A1804" s="1">
        <v>41344</v>
      </c>
      <c r="B1804">
        <v>7.13</v>
      </c>
    </row>
    <row r="1805" spans="1:2" x14ac:dyDescent="0.25">
      <c r="A1805" s="1">
        <v>41345</v>
      </c>
      <c r="B1805">
        <v>7.14</v>
      </c>
    </row>
    <row r="1806" spans="1:2" x14ac:dyDescent="0.25">
      <c r="A1806" s="1">
        <v>41346</v>
      </c>
      <c r="B1806">
        <v>7.15</v>
      </c>
    </row>
    <row r="1807" spans="1:2" x14ac:dyDescent="0.25">
      <c r="A1807" s="1">
        <v>41347</v>
      </c>
      <c r="B1807">
        <v>7.16</v>
      </c>
    </row>
    <row r="1808" spans="1:2" x14ac:dyDescent="0.25">
      <c r="A1808" s="1">
        <v>41348</v>
      </c>
      <c r="B1808">
        <v>7.16</v>
      </c>
    </row>
    <row r="1809" spans="1:2" x14ac:dyDescent="0.25">
      <c r="A1809" s="1">
        <v>41351</v>
      </c>
      <c r="B1809">
        <v>7.16</v>
      </c>
    </row>
    <row r="1810" spans="1:2" x14ac:dyDescent="0.25">
      <c r="A1810" s="1">
        <v>41352</v>
      </c>
      <c r="B1810">
        <v>7.16</v>
      </c>
    </row>
    <row r="1811" spans="1:2" x14ac:dyDescent="0.25">
      <c r="A1811" s="1">
        <v>41353</v>
      </c>
      <c r="B1811">
        <v>7.16</v>
      </c>
    </row>
    <row r="1812" spans="1:2" x14ac:dyDescent="0.25">
      <c r="A1812" s="1">
        <v>41354</v>
      </c>
      <c r="B1812">
        <v>7.16</v>
      </c>
    </row>
    <row r="1813" spans="1:2" x14ac:dyDescent="0.25">
      <c r="A1813" s="1">
        <v>41355</v>
      </c>
      <c r="B1813">
        <v>7.16</v>
      </c>
    </row>
    <row r="1814" spans="1:2" x14ac:dyDescent="0.25">
      <c r="A1814" s="1">
        <v>41358</v>
      </c>
      <c r="B1814">
        <v>7.16</v>
      </c>
    </row>
    <row r="1815" spans="1:2" x14ac:dyDescent="0.25">
      <c r="A1815" s="1">
        <v>41359</v>
      </c>
      <c r="B1815">
        <v>7.16</v>
      </c>
    </row>
    <row r="1816" spans="1:2" x14ac:dyDescent="0.25">
      <c r="A1816" s="1">
        <v>41360</v>
      </c>
      <c r="B1816">
        <v>7.16</v>
      </c>
    </row>
    <row r="1817" spans="1:2" x14ac:dyDescent="0.25">
      <c r="A1817" s="1">
        <v>41361</v>
      </c>
      <c r="B1817">
        <v>7.16</v>
      </c>
    </row>
    <row r="1818" spans="1:2" x14ac:dyDescent="0.25">
      <c r="A1818" s="1">
        <v>41365</v>
      </c>
      <c r="B1818">
        <v>7.16</v>
      </c>
    </row>
    <row r="1819" spans="1:2" x14ac:dyDescent="0.25">
      <c r="A1819" s="1">
        <v>41366</v>
      </c>
      <c r="B1819">
        <v>7.16</v>
      </c>
    </row>
    <row r="1820" spans="1:2" x14ac:dyDescent="0.25">
      <c r="A1820" s="1">
        <v>41367</v>
      </c>
      <c r="B1820">
        <v>7.16</v>
      </c>
    </row>
    <row r="1821" spans="1:2" x14ac:dyDescent="0.25">
      <c r="A1821" s="1">
        <v>41368</v>
      </c>
      <c r="B1821">
        <v>7.16</v>
      </c>
    </row>
    <row r="1822" spans="1:2" x14ac:dyDescent="0.25">
      <c r="A1822" s="1">
        <v>41369</v>
      </c>
      <c r="B1822">
        <v>7.16</v>
      </c>
    </row>
    <row r="1823" spans="1:2" x14ac:dyDescent="0.25">
      <c r="A1823" s="1">
        <v>41372</v>
      </c>
      <c r="B1823">
        <v>7.16</v>
      </c>
    </row>
    <row r="1824" spans="1:2" x14ac:dyDescent="0.25">
      <c r="A1824" s="1">
        <v>41373</v>
      </c>
      <c r="B1824">
        <v>7.16</v>
      </c>
    </row>
    <row r="1825" spans="1:2" x14ac:dyDescent="0.25">
      <c r="A1825" s="1">
        <v>41374</v>
      </c>
      <c r="B1825">
        <v>7.16</v>
      </c>
    </row>
    <row r="1826" spans="1:2" x14ac:dyDescent="0.25">
      <c r="A1826" s="1">
        <v>41375</v>
      </c>
      <c r="B1826">
        <v>7.16</v>
      </c>
    </row>
    <row r="1827" spans="1:2" x14ac:dyDescent="0.25">
      <c r="A1827" s="1">
        <v>41376</v>
      </c>
      <c r="B1827">
        <v>7.16</v>
      </c>
    </row>
    <row r="1828" spans="1:2" x14ac:dyDescent="0.25">
      <c r="A1828" s="1">
        <v>41379</v>
      </c>
      <c r="B1828">
        <v>7.16</v>
      </c>
    </row>
    <row r="1829" spans="1:2" x14ac:dyDescent="0.25">
      <c r="A1829" s="1">
        <v>41380</v>
      </c>
      <c r="B1829">
        <v>7.16</v>
      </c>
    </row>
    <row r="1830" spans="1:2" x14ac:dyDescent="0.25">
      <c r="A1830" s="1">
        <v>41381</v>
      </c>
      <c r="B1830">
        <v>7.16</v>
      </c>
    </row>
    <row r="1831" spans="1:2" x14ac:dyDescent="0.25">
      <c r="A1831" s="1">
        <v>41382</v>
      </c>
      <c r="B1831">
        <v>7.41</v>
      </c>
    </row>
    <row r="1832" spans="1:2" x14ac:dyDescent="0.25">
      <c r="A1832" s="1">
        <v>41383</v>
      </c>
      <c r="B1832">
        <v>7.41</v>
      </c>
    </row>
    <row r="1833" spans="1:2" x14ac:dyDescent="0.25">
      <c r="A1833" s="1">
        <v>41386</v>
      </c>
      <c r="B1833">
        <v>7.4</v>
      </c>
    </row>
    <row r="1834" spans="1:2" x14ac:dyDescent="0.25">
      <c r="A1834" s="1">
        <v>41387</v>
      </c>
      <c r="B1834">
        <v>7.4</v>
      </c>
    </row>
    <row r="1835" spans="1:2" x14ac:dyDescent="0.25">
      <c r="A1835" s="1">
        <v>41388</v>
      </c>
      <c r="B1835">
        <v>7.4</v>
      </c>
    </row>
    <row r="1836" spans="1:2" x14ac:dyDescent="0.25">
      <c r="A1836" s="1">
        <v>41389</v>
      </c>
      <c r="B1836">
        <v>7.4</v>
      </c>
    </row>
    <row r="1837" spans="1:2" x14ac:dyDescent="0.25">
      <c r="A1837" s="1">
        <v>41390</v>
      </c>
      <c r="B1837">
        <v>7.4</v>
      </c>
    </row>
    <row r="1838" spans="1:2" x14ac:dyDescent="0.25">
      <c r="A1838" s="1">
        <v>41393</v>
      </c>
      <c r="B1838">
        <v>7.4</v>
      </c>
    </row>
    <row r="1839" spans="1:2" x14ac:dyDescent="0.25">
      <c r="A1839" s="1">
        <v>41394</v>
      </c>
      <c r="B1839">
        <v>7.4</v>
      </c>
    </row>
    <row r="1840" spans="1:2" x14ac:dyDescent="0.25">
      <c r="A1840" s="1">
        <v>41396</v>
      </c>
      <c r="B1840">
        <v>7.4</v>
      </c>
    </row>
    <row r="1841" spans="1:2" x14ac:dyDescent="0.25">
      <c r="A1841" s="1">
        <v>41397</v>
      </c>
      <c r="B1841">
        <v>7.4</v>
      </c>
    </row>
    <row r="1842" spans="1:2" x14ac:dyDescent="0.25">
      <c r="A1842" s="1">
        <v>41400</v>
      </c>
      <c r="B1842">
        <v>7.4</v>
      </c>
    </row>
    <row r="1843" spans="1:2" x14ac:dyDescent="0.25">
      <c r="A1843" s="1">
        <v>41401</v>
      </c>
      <c r="B1843">
        <v>7.4</v>
      </c>
    </row>
    <row r="1844" spans="1:2" x14ac:dyDescent="0.25">
      <c r="A1844" s="1">
        <v>41402</v>
      </c>
      <c r="B1844">
        <v>7.4</v>
      </c>
    </row>
    <row r="1845" spans="1:2" x14ac:dyDescent="0.25">
      <c r="A1845" s="1">
        <v>41403</v>
      </c>
      <c r="B1845">
        <v>7.4</v>
      </c>
    </row>
    <row r="1846" spans="1:2" x14ac:dyDescent="0.25">
      <c r="A1846" s="1">
        <v>41404</v>
      </c>
      <c r="B1846">
        <v>7.4</v>
      </c>
    </row>
    <row r="1847" spans="1:2" x14ac:dyDescent="0.25">
      <c r="A1847" s="1">
        <v>41407</v>
      </c>
      <c r="B1847">
        <v>7.4</v>
      </c>
    </row>
    <row r="1848" spans="1:2" x14ac:dyDescent="0.25">
      <c r="A1848" s="1">
        <v>41408</v>
      </c>
      <c r="B1848">
        <v>7.4</v>
      </c>
    </row>
    <row r="1849" spans="1:2" x14ac:dyDescent="0.25">
      <c r="A1849" s="1">
        <v>41409</v>
      </c>
      <c r="B1849">
        <v>7.4</v>
      </c>
    </row>
    <row r="1850" spans="1:2" x14ac:dyDescent="0.25">
      <c r="A1850" s="1">
        <v>41410</v>
      </c>
      <c r="B1850">
        <v>7.4</v>
      </c>
    </row>
    <row r="1851" spans="1:2" x14ac:dyDescent="0.25">
      <c r="A1851" s="1">
        <v>41411</v>
      </c>
      <c r="B1851">
        <v>7.4</v>
      </c>
    </row>
    <row r="1852" spans="1:2" x14ac:dyDescent="0.25">
      <c r="A1852" s="1">
        <v>41414</v>
      </c>
      <c r="B1852">
        <v>7.4</v>
      </c>
    </row>
    <row r="1853" spans="1:2" x14ac:dyDescent="0.25">
      <c r="A1853" s="1">
        <v>41415</v>
      </c>
      <c r="B1853">
        <v>7.4</v>
      </c>
    </row>
    <row r="1854" spans="1:2" x14ac:dyDescent="0.25">
      <c r="A1854" s="1">
        <v>41416</v>
      </c>
      <c r="B1854">
        <v>7.4</v>
      </c>
    </row>
    <row r="1855" spans="1:2" x14ac:dyDescent="0.25">
      <c r="A1855" s="1">
        <v>41417</v>
      </c>
      <c r="B1855">
        <v>7.4</v>
      </c>
    </row>
    <row r="1856" spans="1:2" x14ac:dyDescent="0.25">
      <c r="A1856" s="1">
        <v>41418</v>
      </c>
      <c r="B1856">
        <v>7.4</v>
      </c>
    </row>
    <row r="1857" spans="1:2" x14ac:dyDescent="0.25">
      <c r="A1857" s="1">
        <v>41421</v>
      </c>
      <c r="B1857">
        <v>7.4</v>
      </c>
    </row>
    <row r="1858" spans="1:2" x14ac:dyDescent="0.25">
      <c r="A1858" s="1">
        <v>41422</v>
      </c>
      <c r="B1858">
        <v>7.4</v>
      </c>
    </row>
    <row r="1859" spans="1:2" x14ac:dyDescent="0.25">
      <c r="A1859" s="1">
        <v>41423</v>
      </c>
      <c r="B1859">
        <v>7.4</v>
      </c>
    </row>
    <row r="1860" spans="1:2" x14ac:dyDescent="0.25">
      <c r="A1860" s="1">
        <v>41425</v>
      </c>
      <c r="B1860">
        <v>7.9</v>
      </c>
    </row>
    <row r="1861" spans="1:2" x14ac:dyDescent="0.25">
      <c r="A1861" s="1">
        <v>41428</v>
      </c>
      <c r="B1861">
        <v>7.9</v>
      </c>
    </row>
    <row r="1862" spans="1:2" x14ac:dyDescent="0.25">
      <c r="A1862" s="1">
        <v>41429</v>
      </c>
      <c r="B1862">
        <v>7.9</v>
      </c>
    </row>
    <row r="1863" spans="1:2" x14ac:dyDescent="0.25">
      <c r="A1863" s="1">
        <v>41430</v>
      </c>
      <c r="B1863">
        <v>7.9</v>
      </c>
    </row>
    <row r="1864" spans="1:2" x14ac:dyDescent="0.25">
      <c r="A1864" s="1">
        <v>41431</v>
      </c>
      <c r="B1864">
        <v>7.9</v>
      </c>
    </row>
    <row r="1865" spans="1:2" x14ac:dyDescent="0.25">
      <c r="A1865" s="1">
        <v>41432</v>
      </c>
      <c r="B1865">
        <v>7.9</v>
      </c>
    </row>
    <row r="1866" spans="1:2" x14ac:dyDescent="0.25">
      <c r="A1866" s="1">
        <v>41435</v>
      </c>
      <c r="B1866">
        <v>7.9</v>
      </c>
    </row>
    <row r="1867" spans="1:2" x14ac:dyDescent="0.25">
      <c r="A1867" s="1">
        <v>41436</v>
      </c>
      <c r="B1867">
        <v>7.9</v>
      </c>
    </row>
    <row r="1868" spans="1:2" x14ac:dyDescent="0.25">
      <c r="A1868" s="1">
        <v>41437</v>
      </c>
      <c r="B1868">
        <v>7.9</v>
      </c>
    </row>
    <row r="1869" spans="1:2" x14ac:dyDescent="0.25">
      <c r="A1869" s="1">
        <v>41438</v>
      </c>
      <c r="B1869">
        <v>7.9</v>
      </c>
    </row>
    <row r="1870" spans="1:2" x14ac:dyDescent="0.25">
      <c r="A1870" s="1">
        <v>41439</v>
      </c>
      <c r="B1870">
        <v>7.9</v>
      </c>
    </row>
    <row r="1871" spans="1:2" x14ac:dyDescent="0.25">
      <c r="A1871" s="1">
        <v>41442</v>
      </c>
      <c r="B1871">
        <v>7.9</v>
      </c>
    </row>
    <row r="1872" spans="1:2" x14ac:dyDescent="0.25">
      <c r="A1872" s="1">
        <v>41443</v>
      </c>
      <c r="B1872">
        <v>7.9</v>
      </c>
    </row>
    <row r="1873" spans="1:2" x14ac:dyDescent="0.25">
      <c r="A1873" s="1">
        <v>41444</v>
      </c>
      <c r="B1873">
        <v>7.9</v>
      </c>
    </row>
    <row r="1874" spans="1:2" x14ac:dyDescent="0.25">
      <c r="A1874" s="1">
        <v>41445</v>
      </c>
      <c r="B1874">
        <v>7.9</v>
      </c>
    </row>
    <row r="1875" spans="1:2" x14ac:dyDescent="0.25">
      <c r="A1875" s="1">
        <v>41446</v>
      </c>
      <c r="B1875">
        <v>7.9</v>
      </c>
    </row>
    <row r="1876" spans="1:2" x14ac:dyDescent="0.25">
      <c r="A1876" s="1">
        <v>41449</v>
      </c>
      <c r="B1876">
        <v>7.9</v>
      </c>
    </row>
    <row r="1877" spans="1:2" x14ac:dyDescent="0.25">
      <c r="A1877" s="1">
        <v>41450</v>
      </c>
      <c r="B1877">
        <v>7.9</v>
      </c>
    </row>
    <row r="1878" spans="1:2" x14ac:dyDescent="0.25">
      <c r="A1878" s="1">
        <v>41451</v>
      </c>
      <c r="B1878">
        <v>7.9</v>
      </c>
    </row>
    <row r="1879" spans="1:2" x14ac:dyDescent="0.25">
      <c r="A1879" s="1">
        <v>41452</v>
      </c>
      <c r="B1879">
        <v>7.9</v>
      </c>
    </row>
    <row r="1880" spans="1:2" x14ac:dyDescent="0.25">
      <c r="A1880" s="1">
        <v>41453</v>
      </c>
      <c r="B1880">
        <v>7.9</v>
      </c>
    </row>
    <row r="1881" spans="1:2" x14ac:dyDescent="0.25">
      <c r="A1881" s="1">
        <v>41456</v>
      </c>
      <c r="B1881">
        <v>7.9</v>
      </c>
    </row>
    <row r="1882" spans="1:2" x14ac:dyDescent="0.25">
      <c r="A1882" s="1">
        <v>41457</v>
      </c>
      <c r="B1882">
        <v>7.9</v>
      </c>
    </row>
    <row r="1883" spans="1:2" x14ac:dyDescent="0.25">
      <c r="A1883" s="1">
        <v>41458</v>
      </c>
      <c r="B1883">
        <v>7.9</v>
      </c>
    </row>
    <row r="1884" spans="1:2" x14ac:dyDescent="0.25">
      <c r="A1884" s="1">
        <v>41459</v>
      </c>
      <c r="B1884">
        <v>7.9</v>
      </c>
    </row>
    <row r="1885" spans="1:2" x14ac:dyDescent="0.25">
      <c r="A1885" s="1">
        <v>41460</v>
      </c>
      <c r="B1885">
        <v>7.9</v>
      </c>
    </row>
    <row r="1886" spans="1:2" x14ac:dyDescent="0.25">
      <c r="A1886" s="1">
        <v>41463</v>
      </c>
      <c r="B1886">
        <v>7.9</v>
      </c>
    </row>
    <row r="1887" spans="1:2" x14ac:dyDescent="0.25">
      <c r="A1887" s="1">
        <v>41464</v>
      </c>
      <c r="B1887">
        <v>7.9</v>
      </c>
    </row>
    <row r="1888" spans="1:2" x14ac:dyDescent="0.25">
      <c r="A1888" s="1">
        <v>41465</v>
      </c>
      <c r="B1888">
        <v>7.9</v>
      </c>
    </row>
    <row r="1889" spans="1:2" x14ac:dyDescent="0.25">
      <c r="A1889" s="1">
        <v>41466</v>
      </c>
      <c r="B1889">
        <v>8.4</v>
      </c>
    </row>
    <row r="1890" spans="1:2" x14ac:dyDescent="0.25">
      <c r="A1890" s="1">
        <v>41467</v>
      </c>
      <c r="B1890">
        <v>8.4</v>
      </c>
    </row>
    <row r="1891" spans="1:2" x14ac:dyDescent="0.25">
      <c r="A1891" s="1">
        <v>41470</v>
      </c>
      <c r="B1891">
        <v>8.4</v>
      </c>
    </row>
    <row r="1892" spans="1:2" x14ac:dyDescent="0.25">
      <c r="A1892" s="1">
        <v>41471</v>
      </c>
      <c r="B1892">
        <v>8.4</v>
      </c>
    </row>
    <row r="1893" spans="1:2" x14ac:dyDescent="0.25">
      <c r="A1893" s="1">
        <v>41472</v>
      </c>
      <c r="B1893">
        <v>8.4</v>
      </c>
    </row>
    <row r="1894" spans="1:2" x14ac:dyDescent="0.25">
      <c r="A1894" s="1">
        <v>41473</v>
      </c>
      <c r="B1894">
        <v>8.4</v>
      </c>
    </row>
    <row r="1895" spans="1:2" x14ac:dyDescent="0.25">
      <c r="A1895" s="1">
        <v>41474</v>
      </c>
      <c r="B1895">
        <v>8.4</v>
      </c>
    </row>
    <row r="1896" spans="1:2" x14ac:dyDescent="0.25">
      <c r="A1896" s="1">
        <v>41477</v>
      </c>
      <c r="B1896">
        <v>8.4</v>
      </c>
    </row>
    <row r="1897" spans="1:2" x14ac:dyDescent="0.25">
      <c r="A1897" s="1">
        <v>41478</v>
      </c>
      <c r="B1897">
        <v>8.4</v>
      </c>
    </row>
    <row r="1898" spans="1:2" x14ac:dyDescent="0.25">
      <c r="A1898" s="1">
        <v>41479</v>
      </c>
      <c r="B1898">
        <v>8.4</v>
      </c>
    </row>
    <row r="1899" spans="1:2" x14ac:dyDescent="0.25">
      <c r="A1899" s="1">
        <v>41480</v>
      </c>
      <c r="B1899">
        <v>8.4</v>
      </c>
    </row>
    <row r="1900" spans="1:2" x14ac:dyDescent="0.25">
      <c r="A1900" s="1">
        <v>41481</v>
      </c>
      <c r="B1900">
        <v>8.4</v>
      </c>
    </row>
    <row r="1901" spans="1:2" x14ac:dyDescent="0.25">
      <c r="A1901" s="1">
        <v>41484</v>
      </c>
      <c r="B1901">
        <v>8.4</v>
      </c>
    </row>
    <row r="1902" spans="1:2" x14ac:dyDescent="0.25">
      <c r="A1902" s="1">
        <v>41485</v>
      </c>
      <c r="B1902">
        <v>8.4</v>
      </c>
    </row>
    <row r="1903" spans="1:2" x14ac:dyDescent="0.25">
      <c r="A1903" s="1">
        <v>41486</v>
      </c>
      <c r="B1903">
        <v>8.4</v>
      </c>
    </row>
    <row r="1904" spans="1:2" x14ac:dyDescent="0.25">
      <c r="A1904" s="1">
        <v>41487</v>
      </c>
      <c r="B1904">
        <v>8.4</v>
      </c>
    </row>
    <row r="1905" spans="1:2" x14ac:dyDescent="0.25">
      <c r="A1905" s="1">
        <v>41488</v>
      </c>
      <c r="B1905">
        <v>8.4</v>
      </c>
    </row>
    <row r="1906" spans="1:2" x14ac:dyDescent="0.25">
      <c r="A1906" s="1">
        <v>41491</v>
      </c>
      <c r="B1906">
        <v>8.4</v>
      </c>
    </row>
    <row r="1907" spans="1:2" x14ac:dyDescent="0.25">
      <c r="A1907" s="1">
        <v>41492</v>
      </c>
      <c r="B1907">
        <v>8.4</v>
      </c>
    </row>
    <row r="1908" spans="1:2" x14ac:dyDescent="0.25">
      <c r="A1908" s="1">
        <v>41493</v>
      </c>
      <c r="B1908">
        <v>8.4</v>
      </c>
    </row>
    <row r="1909" spans="1:2" x14ac:dyDescent="0.25">
      <c r="A1909" s="1">
        <v>41494</v>
      </c>
      <c r="B1909">
        <v>8.4</v>
      </c>
    </row>
    <row r="1910" spans="1:2" x14ac:dyDescent="0.25">
      <c r="A1910" s="1">
        <v>41495</v>
      </c>
      <c r="B1910">
        <v>8.4</v>
      </c>
    </row>
    <row r="1911" spans="1:2" x14ac:dyDescent="0.25">
      <c r="A1911" s="1">
        <v>41498</v>
      </c>
      <c r="B1911">
        <v>8.4</v>
      </c>
    </row>
    <row r="1912" spans="1:2" x14ac:dyDescent="0.25">
      <c r="A1912" s="1">
        <v>41499</v>
      </c>
      <c r="B1912">
        <v>8.4</v>
      </c>
    </row>
    <row r="1913" spans="1:2" x14ac:dyDescent="0.25">
      <c r="A1913" s="1">
        <v>41500</v>
      </c>
      <c r="B1913">
        <v>8.4</v>
      </c>
    </row>
    <row r="1914" spans="1:2" x14ac:dyDescent="0.25">
      <c r="A1914" s="1">
        <v>41501</v>
      </c>
      <c r="B1914">
        <v>8.4</v>
      </c>
    </row>
    <row r="1915" spans="1:2" x14ac:dyDescent="0.25">
      <c r="A1915" s="1">
        <v>41502</v>
      </c>
      <c r="B1915">
        <v>8.4</v>
      </c>
    </row>
    <row r="1916" spans="1:2" x14ac:dyDescent="0.25">
      <c r="A1916" s="1">
        <v>41505</v>
      </c>
      <c r="B1916">
        <v>8.4</v>
      </c>
    </row>
    <row r="1917" spans="1:2" x14ac:dyDescent="0.25">
      <c r="A1917" s="1">
        <v>41506</v>
      </c>
      <c r="B1917">
        <v>8.4</v>
      </c>
    </row>
    <row r="1918" spans="1:2" x14ac:dyDescent="0.25">
      <c r="A1918" s="1">
        <v>41507</v>
      </c>
      <c r="B1918">
        <v>8.4</v>
      </c>
    </row>
    <row r="1919" spans="1:2" x14ac:dyDescent="0.25">
      <c r="A1919" s="1">
        <v>41508</v>
      </c>
      <c r="B1919">
        <v>8.4</v>
      </c>
    </row>
    <row r="1920" spans="1:2" x14ac:dyDescent="0.25">
      <c r="A1920" s="1">
        <v>41509</v>
      </c>
      <c r="B1920">
        <v>8.4</v>
      </c>
    </row>
    <row r="1921" spans="1:2" x14ac:dyDescent="0.25">
      <c r="A1921" s="1">
        <v>41512</v>
      </c>
      <c r="B1921">
        <v>8.4</v>
      </c>
    </row>
    <row r="1922" spans="1:2" x14ac:dyDescent="0.25">
      <c r="A1922" s="1">
        <v>41513</v>
      </c>
      <c r="B1922">
        <v>8.4</v>
      </c>
    </row>
    <row r="1923" spans="1:2" x14ac:dyDescent="0.25">
      <c r="A1923" s="1">
        <v>41514</v>
      </c>
      <c r="B1923">
        <v>8.4</v>
      </c>
    </row>
    <row r="1924" spans="1:2" x14ac:dyDescent="0.25">
      <c r="A1924" s="1">
        <v>41515</v>
      </c>
      <c r="B1924">
        <v>8.9</v>
      </c>
    </row>
    <row r="1925" spans="1:2" x14ac:dyDescent="0.25">
      <c r="A1925" s="1">
        <v>41516</v>
      </c>
      <c r="B1925">
        <v>8.9</v>
      </c>
    </row>
    <row r="1926" spans="1:2" x14ac:dyDescent="0.25">
      <c r="A1926" s="1">
        <v>41519</v>
      </c>
      <c r="B1926">
        <v>8.9</v>
      </c>
    </row>
    <row r="1927" spans="1:2" x14ac:dyDescent="0.25">
      <c r="A1927" s="1">
        <v>41520</v>
      </c>
      <c r="B1927">
        <v>8.9</v>
      </c>
    </row>
    <row r="1928" spans="1:2" x14ac:dyDescent="0.25">
      <c r="A1928" s="1">
        <v>41521</v>
      </c>
      <c r="B1928">
        <v>8.9</v>
      </c>
    </row>
    <row r="1929" spans="1:2" x14ac:dyDescent="0.25">
      <c r="A1929" s="1">
        <v>41522</v>
      </c>
      <c r="B1929">
        <v>8.9</v>
      </c>
    </row>
    <row r="1930" spans="1:2" x14ac:dyDescent="0.25">
      <c r="A1930" s="1">
        <v>41523</v>
      </c>
      <c r="B1930">
        <v>8.9</v>
      </c>
    </row>
    <row r="1931" spans="1:2" x14ac:dyDescent="0.25">
      <c r="A1931" s="1">
        <v>41526</v>
      </c>
      <c r="B1931">
        <v>8.9</v>
      </c>
    </row>
    <row r="1932" spans="1:2" x14ac:dyDescent="0.25">
      <c r="A1932" s="1">
        <v>41527</v>
      </c>
      <c r="B1932">
        <v>8.9</v>
      </c>
    </row>
    <row r="1933" spans="1:2" x14ac:dyDescent="0.25">
      <c r="A1933" s="1">
        <v>41528</v>
      </c>
      <c r="B1933">
        <v>8.9</v>
      </c>
    </row>
    <row r="1934" spans="1:2" x14ac:dyDescent="0.25">
      <c r="A1934" s="1">
        <v>41529</v>
      </c>
      <c r="B1934">
        <v>8.9</v>
      </c>
    </row>
    <row r="1935" spans="1:2" x14ac:dyDescent="0.25">
      <c r="A1935" s="1">
        <v>41530</v>
      </c>
      <c r="B1935">
        <v>8.9</v>
      </c>
    </row>
    <row r="1936" spans="1:2" x14ac:dyDescent="0.25">
      <c r="A1936" s="1">
        <v>41533</v>
      </c>
      <c r="B1936">
        <v>8.9</v>
      </c>
    </row>
    <row r="1937" spans="1:2" x14ac:dyDescent="0.25">
      <c r="A1937" s="1">
        <v>41534</v>
      </c>
      <c r="B1937">
        <v>8.9</v>
      </c>
    </row>
    <row r="1938" spans="1:2" x14ac:dyDescent="0.25">
      <c r="A1938" s="1">
        <v>41535</v>
      </c>
      <c r="B1938">
        <v>8.9</v>
      </c>
    </row>
    <row r="1939" spans="1:2" x14ac:dyDescent="0.25">
      <c r="A1939" s="1">
        <v>41536</v>
      </c>
      <c r="B1939">
        <v>8.9</v>
      </c>
    </row>
    <row r="1940" spans="1:2" x14ac:dyDescent="0.25">
      <c r="A1940" s="1">
        <v>41537</v>
      </c>
      <c r="B1940">
        <v>8.9</v>
      </c>
    </row>
    <row r="1941" spans="1:2" x14ac:dyDescent="0.25">
      <c r="A1941" s="1">
        <v>41540</v>
      </c>
      <c r="B1941">
        <v>8.9</v>
      </c>
    </row>
    <row r="1942" spans="1:2" x14ac:dyDescent="0.25">
      <c r="A1942" s="1">
        <v>41541</v>
      </c>
      <c r="B1942">
        <v>8.9</v>
      </c>
    </row>
    <row r="1943" spans="1:2" x14ac:dyDescent="0.25">
      <c r="A1943" s="1">
        <v>41542</v>
      </c>
      <c r="B1943">
        <v>8.9</v>
      </c>
    </row>
    <row r="1944" spans="1:2" x14ac:dyDescent="0.25">
      <c r="A1944" s="1">
        <v>41543</v>
      </c>
      <c r="B1944">
        <v>8.9</v>
      </c>
    </row>
    <row r="1945" spans="1:2" x14ac:dyDescent="0.25">
      <c r="A1945" s="1">
        <v>41544</v>
      </c>
      <c r="B1945">
        <v>8.9</v>
      </c>
    </row>
    <row r="1946" spans="1:2" x14ac:dyDescent="0.25">
      <c r="A1946" s="1">
        <v>41547</v>
      </c>
      <c r="B1946">
        <v>8.9</v>
      </c>
    </row>
    <row r="1947" spans="1:2" x14ac:dyDescent="0.25">
      <c r="A1947" s="1">
        <v>41548</v>
      </c>
      <c r="B1947">
        <v>8.9</v>
      </c>
    </row>
    <row r="1948" spans="1:2" x14ac:dyDescent="0.25">
      <c r="A1948" s="1">
        <v>41549</v>
      </c>
      <c r="B1948">
        <v>8.9</v>
      </c>
    </row>
    <row r="1949" spans="1:2" x14ac:dyDescent="0.25">
      <c r="A1949" s="1">
        <v>41550</v>
      </c>
      <c r="B1949">
        <v>8.9</v>
      </c>
    </row>
    <row r="1950" spans="1:2" x14ac:dyDescent="0.25">
      <c r="A1950" s="1">
        <v>41551</v>
      </c>
      <c r="B1950">
        <v>8.9</v>
      </c>
    </row>
    <row r="1951" spans="1:2" x14ac:dyDescent="0.25">
      <c r="A1951" s="1">
        <v>41554</v>
      </c>
      <c r="B1951">
        <v>8.9</v>
      </c>
    </row>
    <row r="1952" spans="1:2" x14ac:dyDescent="0.25">
      <c r="A1952" s="1">
        <v>41555</v>
      </c>
      <c r="B1952">
        <v>8.9</v>
      </c>
    </row>
    <row r="1953" spans="1:2" x14ac:dyDescent="0.25">
      <c r="A1953" s="1">
        <v>41556</v>
      </c>
      <c r="B1953">
        <v>8.9</v>
      </c>
    </row>
    <row r="1954" spans="1:2" x14ac:dyDescent="0.25">
      <c r="A1954" s="1">
        <v>41557</v>
      </c>
      <c r="B1954">
        <v>9.4</v>
      </c>
    </row>
    <row r="1955" spans="1:2" x14ac:dyDescent="0.25">
      <c r="A1955" s="1">
        <v>41558</v>
      </c>
      <c r="B1955">
        <v>9.4</v>
      </c>
    </row>
    <row r="1956" spans="1:2" x14ac:dyDescent="0.25">
      <c r="A1956" s="1">
        <v>41561</v>
      </c>
      <c r="B1956">
        <v>9.4</v>
      </c>
    </row>
    <row r="1957" spans="1:2" x14ac:dyDescent="0.25">
      <c r="A1957" s="1">
        <v>41562</v>
      </c>
      <c r="B1957">
        <v>9.4</v>
      </c>
    </row>
    <row r="1958" spans="1:2" x14ac:dyDescent="0.25">
      <c r="A1958" s="1">
        <v>41563</v>
      </c>
      <c r="B1958">
        <v>9.4</v>
      </c>
    </row>
    <row r="1959" spans="1:2" x14ac:dyDescent="0.25">
      <c r="A1959" s="1">
        <v>41564</v>
      </c>
      <c r="B1959">
        <v>9.4</v>
      </c>
    </row>
    <row r="1960" spans="1:2" x14ac:dyDescent="0.25">
      <c r="A1960" s="1">
        <v>41565</v>
      </c>
      <c r="B1960">
        <v>9.4</v>
      </c>
    </row>
    <row r="1961" spans="1:2" x14ac:dyDescent="0.25">
      <c r="A1961" s="1">
        <v>41568</v>
      </c>
      <c r="B1961">
        <v>9.4</v>
      </c>
    </row>
    <row r="1962" spans="1:2" x14ac:dyDescent="0.25">
      <c r="A1962" s="1">
        <v>41569</v>
      </c>
      <c r="B1962">
        <v>9.4</v>
      </c>
    </row>
    <row r="1963" spans="1:2" x14ac:dyDescent="0.25">
      <c r="A1963" s="1">
        <v>41570</v>
      </c>
      <c r="B1963">
        <v>9.4</v>
      </c>
    </row>
    <row r="1964" spans="1:2" x14ac:dyDescent="0.25">
      <c r="A1964" s="1">
        <v>41571</v>
      </c>
      <c r="B1964">
        <v>9.4</v>
      </c>
    </row>
    <row r="1965" spans="1:2" x14ac:dyDescent="0.25">
      <c r="A1965" s="1">
        <v>41572</v>
      </c>
      <c r="B1965">
        <v>9.4</v>
      </c>
    </row>
    <row r="1966" spans="1:2" x14ac:dyDescent="0.25">
      <c r="A1966" s="1">
        <v>41575</v>
      </c>
      <c r="B1966">
        <v>9.4</v>
      </c>
    </row>
    <row r="1967" spans="1:2" x14ac:dyDescent="0.25">
      <c r="A1967" s="1">
        <v>41576</v>
      </c>
      <c r="B1967">
        <v>9.4</v>
      </c>
    </row>
    <row r="1968" spans="1:2" x14ac:dyDescent="0.25">
      <c r="A1968" s="1">
        <v>41577</v>
      </c>
      <c r="B1968">
        <v>9.4</v>
      </c>
    </row>
    <row r="1969" spans="1:2" x14ac:dyDescent="0.25">
      <c r="A1969" s="1">
        <v>41578</v>
      </c>
      <c r="B1969">
        <v>9.4</v>
      </c>
    </row>
    <row r="1970" spans="1:2" x14ac:dyDescent="0.25">
      <c r="A1970" s="1">
        <v>41579</v>
      </c>
      <c r="B1970">
        <v>9.4</v>
      </c>
    </row>
    <row r="1971" spans="1:2" x14ac:dyDescent="0.25">
      <c r="A1971" s="1">
        <v>41582</v>
      </c>
      <c r="B1971">
        <v>9.4</v>
      </c>
    </row>
    <row r="1972" spans="1:2" x14ac:dyDescent="0.25">
      <c r="A1972" s="1">
        <v>41583</v>
      </c>
      <c r="B1972">
        <v>9.4</v>
      </c>
    </row>
    <row r="1973" spans="1:2" x14ac:dyDescent="0.25">
      <c r="A1973" s="1">
        <v>41584</v>
      </c>
      <c r="B1973">
        <v>9.4</v>
      </c>
    </row>
    <row r="1974" spans="1:2" x14ac:dyDescent="0.25">
      <c r="A1974" s="1">
        <v>41585</v>
      </c>
      <c r="B1974">
        <v>9.4</v>
      </c>
    </row>
    <row r="1975" spans="1:2" x14ac:dyDescent="0.25">
      <c r="A1975" s="1">
        <v>41586</v>
      </c>
      <c r="B1975">
        <v>9.4</v>
      </c>
    </row>
    <row r="1976" spans="1:2" x14ac:dyDescent="0.25">
      <c r="A1976" s="1">
        <v>41589</v>
      </c>
      <c r="B1976">
        <v>9.4</v>
      </c>
    </row>
    <row r="1977" spans="1:2" x14ac:dyDescent="0.25">
      <c r="A1977" s="1">
        <v>41590</v>
      </c>
      <c r="B1977">
        <v>9.4</v>
      </c>
    </row>
    <row r="1978" spans="1:2" x14ac:dyDescent="0.25">
      <c r="A1978" s="1">
        <v>41591</v>
      </c>
      <c r="B1978">
        <v>9.4</v>
      </c>
    </row>
    <row r="1979" spans="1:2" x14ac:dyDescent="0.25">
      <c r="A1979" s="1">
        <v>41592</v>
      </c>
      <c r="B1979">
        <v>9.4</v>
      </c>
    </row>
    <row r="1980" spans="1:2" x14ac:dyDescent="0.25">
      <c r="A1980" s="1">
        <v>41596</v>
      </c>
      <c r="B1980">
        <v>9.4</v>
      </c>
    </row>
    <row r="1981" spans="1:2" x14ac:dyDescent="0.25">
      <c r="A1981" s="1">
        <v>41597</v>
      </c>
      <c r="B1981">
        <v>9.4</v>
      </c>
    </row>
    <row r="1982" spans="1:2" x14ac:dyDescent="0.25">
      <c r="A1982" s="1">
        <v>41598</v>
      </c>
      <c r="B1982">
        <v>9.4</v>
      </c>
    </row>
    <row r="1983" spans="1:2" x14ac:dyDescent="0.25">
      <c r="A1983" s="1">
        <v>41599</v>
      </c>
      <c r="B1983">
        <v>9.4</v>
      </c>
    </row>
    <row r="1984" spans="1:2" x14ac:dyDescent="0.25">
      <c r="A1984" s="1">
        <v>41600</v>
      </c>
      <c r="B1984">
        <v>9.4</v>
      </c>
    </row>
    <row r="1985" spans="1:2" x14ac:dyDescent="0.25">
      <c r="A1985" s="1">
        <v>41603</v>
      </c>
      <c r="B1985">
        <v>9.4</v>
      </c>
    </row>
    <row r="1986" spans="1:2" x14ac:dyDescent="0.25">
      <c r="A1986" s="1">
        <v>41604</v>
      </c>
      <c r="B1986">
        <v>9.4</v>
      </c>
    </row>
    <row r="1987" spans="1:2" x14ac:dyDescent="0.25">
      <c r="A1987" s="1">
        <v>41605</v>
      </c>
      <c r="B1987">
        <v>9.4</v>
      </c>
    </row>
    <row r="1988" spans="1:2" x14ac:dyDescent="0.25">
      <c r="A1988" s="1">
        <v>41606</v>
      </c>
      <c r="B1988">
        <v>9.9</v>
      </c>
    </row>
    <row r="1989" spans="1:2" x14ac:dyDescent="0.25">
      <c r="A1989" s="1">
        <v>41607</v>
      </c>
      <c r="B1989">
        <v>9.9</v>
      </c>
    </row>
    <row r="1990" spans="1:2" x14ac:dyDescent="0.25">
      <c r="A1990" s="1">
        <v>41610</v>
      </c>
      <c r="B1990">
        <v>9.9</v>
      </c>
    </row>
    <row r="1991" spans="1:2" x14ac:dyDescent="0.25">
      <c r="A1991" s="1">
        <v>41611</v>
      </c>
      <c r="B1991">
        <v>9.9</v>
      </c>
    </row>
    <row r="1992" spans="1:2" x14ac:dyDescent="0.25">
      <c r="A1992" s="1">
        <v>41612</v>
      </c>
      <c r="B1992">
        <v>9.9</v>
      </c>
    </row>
    <row r="1993" spans="1:2" x14ac:dyDescent="0.25">
      <c r="A1993" s="1">
        <v>41613</v>
      </c>
      <c r="B1993">
        <v>9.9</v>
      </c>
    </row>
    <row r="1994" spans="1:2" x14ac:dyDescent="0.25">
      <c r="A1994" s="1">
        <v>41614</v>
      </c>
      <c r="B1994">
        <v>9.89</v>
      </c>
    </row>
    <row r="1995" spans="1:2" x14ac:dyDescent="0.25">
      <c r="A1995" s="1">
        <v>41617</v>
      </c>
      <c r="B1995">
        <v>9.9</v>
      </c>
    </row>
    <row r="1996" spans="1:2" x14ac:dyDescent="0.25">
      <c r="A1996" s="1">
        <v>41618</v>
      </c>
      <c r="B1996">
        <v>9.9</v>
      </c>
    </row>
    <row r="1997" spans="1:2" x14ac:dyDescent="0.25">
      <c r="A1997" s="1">
        <v>41619</v>
      </c>
      <c r="B1997">
        <v>9.9</v>
      </c>
    </row>
    <row r="1998" spans="1:2" x14ac:dyDescent="0.25">
      <c r="A1998" s="1">
        <v>41620</v>
      </c>
      <c r="B1998">
        <v>9.9</v>
      </c>
    </row>
    <row r="1999" spans="1:2" x14ac:dyDescent="0.25">
      <c r="A1999" s="1">
        <v>41621</v>
      </c>
      <c r="B1999">
        <v>9.9</v>
      </c>
    </row>
    <row r="2000" spans="1:2" x14ac:dyDescent="0.25">
      <c r="A2000" s="1">
        <v>41624</v>
      </c>
      <c r="B2000">
        <v>9.9</v>
      </c>
    </row>
    <row r="2001" spans="1:2" x14ac:dyDescent="0.25">
      <c r="A2001" s="1">
        <v>41625</v>
      </c>
      <c r="B2001">
        <v>9.9</v>
      </c>
    </row>
    <row r="2002" spans="1:2" x14ac:dyDescent="0.25">
      <c r="A2002" s="1">
        <v>41626</v>
      </c>
      <c r="B2002">
        <v>9.9</v>
      </c>
    </row>
    <row r="2003" spans="1:2" x14ac:dyDescent="0.25">
      <c r="A2003" s="1">
        <v>41627</v>
      </c>
      <c r="B2003">
        <v>9.9</v>
      </c>
    </row>
    <row r="2004" spans="1:2" x14ac:dyDescent="0.25">
      <c r="A2004" s="1">
        <v>41628</v>
      </c>
      <c r="B2004">
        <v>9.9</v>
      </c>
    </row>
    <row r="2005" spans="1:2" x14ac:dyDescent="0.25">
      <c r="A2005" s="1">
        <v>41631</v>
      </c>
      <c r="B2005">
        <v>9.9</v>
      </c>
    </row>
    <row r="2006" spans="1:2" x14ac:dyDescent="0.25">
      <c r="A2006" s="1">
        <v>41632</v>
      </c>
      <c r="B2006">
        <v>9.9</v>
      </c>
    </row>
    <row r="2007" spans="1:2" x14ac:dyDescent="0.25">
      <c r="A2007" s="1">
        <v>41634</v>
      </c>
      <c r="B2007">
        <v>9.9</v>
      </c>
    </row>
    <row r="2008" spans="1:2" x14ac:dyDescent="0.25">
      <c r="A2008" s="1">
        <v>41635</v>
      </c>
      <c r="B2008">
        <v>9.9</v>
      </c>
    </row>
    <row r="2009" spans="1:2" x14ac:dyDescent="0.25">
      <c r="A2009" s="1">
        <v>41638</v>
      </c>
      <c r="B2009">
        <v>9.9</v>
      </c>
    </row>
    <row r="2010" spans="1:2" x14ac:dyDescent="0.25">
      <c r="A2010" s="1">
        <v>41639</v>
      </c>
      <c r="B2010">
        <v>9.9</v>
      </c>
    </row>
    <row r="2011" spans="1:2" x14ac:dyDescent="0.25">
      <c r="A2011" s="1">
        <v>41641</v>
      </c>
      <c r="B2011">
        <v>9.9</v>
      </c>
    </row>
    <row r="2012" spans="1:2" x14ac:dyDescent="0.25">
      <c r="A2012" s="1">
        <v>41642</v>
      </c>
      <c r="B2012">
        <v>9.9</v>
      </c>
    </row>
    <row r="2013" spans="1:2" x14ac:dyDescent="0.25">
      <c r="A2013" s="1">
        <v>41645</v>
      </c>
      <c r="B2013">
        <v>9.9</v>
      </c>
    </row>
    <row r="2014" spans="1:2" x14ac:dyDescent="0.25">
      <c r="A2014" s="1">
        <v>41646</v>
      </c>
      <c r="B2014">
        <v>9.9</v>
      </c>
    </row>
    <row r="2015" spans="1:2" x14ac:dyDescent="0.25">
      <c r="A2015" s="1">
        <v>41647</v>
      </c>
      <c r="B2015">
        <v>9.9</v>
      </c>
    </row>
    <row r="2016" spans="1:2" x14ac:dyDescent="0.25">
      <c r="A2016" s="1">
        <v>41648</v>
      </c>
      <c r="B2016">
        <v>9.9</v>
      </c>
    </row>
    <row r="2017" spans="1:2" x14ac:dyDescent="0.25">
      <c r="A2017" s="1">
        <v>41649</v>
      </c>
      <c r="B2017">
        <v>9.9</v>
      </c>
    </row>
    <row r="2018" spans="1:2" x14ac:dyDescent="0.25">
      <c r="A2018" s="1">
        <v>41652</v>
      </c>
      <c r="B2018">
        <v>9.9</v>
      </c>
    </row>
    <row r="2019" spans="1:2" x14ac:dyDescent="0.25">
      <c r="A2019" s="1">
        <v>41653</v>
      </c>
      <c r="B2019">
        <v>9.9</v>
      </c>
    </row>
    <row r="2020" spans="1:2" x14ac:dyDescent="0.25">
      <c r="A2020" s="1">
        <v>41654</v>
      </c>
      <c r="B2020">
        <v>9.9</v>
      </c>
    </row>
    <row r="2021" spans="1:2" x14ac:dyDescent="0.25">
      <c r="A2021" s="1">
        <v>41655</v>
      </c>
      <c r="B2021">
        <v>10.4</v>
      </c>
    </row>
    <row r="2022" spans="1:2" x14ac:dyDescent="0.25">
      <c r="A2022" s="1">
        <v>41656</v>
      </c>
      <c r="B2022">
        <v>10.4</v>
      </c>
    </row>
    <row r="2023" spans="1:2" x14ac:dyDescent="0.25">
      <c r="A2023" s="1">
        <v>41659</v>
      </c>
      <c r="B2023">
        <v>10.4</v>
      </c>
    </row>
    <row r="2024" spans="1:2" x14ac:dyDescent="0.25">
      <c r="A2024" s="1">
        <v>41660</v>
      </c>
      <c r="B2024">
        <v>10.4</v>
      </c>
    </row>
    <row r="2025" spans="1:2" x14ac:dyDescent="0.25">
      <c r="A2025" s="1">
        <v>41661</v>
      </c>
      <c r="B2025">
        <v>10.4</v>
      </c>
    </row>
    <row r="2026" spans="1:2" x14ac:dyDescent="0.25">
      <c r="A2026" s="1">
        <v>41662</v>
      </c>
      <c r="B2026">
        <v>10.4</v>
      </c>
    </row>
    <row r="2027" spans="1:2" x14ac:dyDescent="0.25">
      <c r="A2027" s="1">
        <v>41663</v>
      </c>
      <c r="B2027">
        <v>10.4</v>
      </c>
    </row>
    <row r="2028" spans="1:2" x14ac:dyDescent="0.25">
      <c r="A2028" s="1">
        <v>41666</v>
      </c>
      <c r="B2028">
        <v>10.4</v>
      </c>
    </row>
    <row r="2029" spans="1:2" x14ac:dyDescent="0.25">
      <c r="A2029" s="1">
        <v>41667</v>
      </c>
      <c r="B2029">
        <v>10.4</v>
      </c>
    </row>
    <row r="2030" spans="1:2" x14ac:dyDescent="0.25">
      <c r="A2030" s="1">
        <v>41668</v>
      </c>
      <c r="B2030">
        <v>10.4</v>
      </c>
    </row>
    <row r="2031" spans="1:2" x14ac:dyDescent="0.25">
      <c r="A2031" s="1">
        <v>41669</v>
      </c>
      <c r="B2031">
        <v>10.4</v>
      </c>
    </row>
    <row r="2032" spans="1:2" x14ac:dyDescent="0.25">
      <c r="A2032" s="1">
        <v>41670</v>
      </c>
      <c r="B2032">
        <v>10.4</v>
      </c>
    </row>
    <row r="2033" spans="1:2" x14ac:dyDescent="0.25">
      <c r="A2033" s="1">
        <v>41673</v>
      </c>
      <c r="B2033">
        <v>10.4</v>
      </c>
    </row>
    <row r="2034" spans="1:2" x14ac:dyDescent="0.25">
      <c r="A2034" s="1">
        <v>41674</v>
      </c>
      <c r="B2034">
        <v>10.4</v>
      </c>
    </row>
    <row r="2035" spans="1:2" x14ac:dyDescent="0.25">
      <c r="A2035" s="1">
        <v>41675</v>
      </c>
      <c r="B2035">
        <v>10.4</v>
      </c>
    </row>
    <row r="2036" spans="1:2" x14ac:dyDescent="0.25">
      <c r="A2036" s="1">
        <v>41676</v>
      </c>
      <c r="B2036">
        <v>10.4</v>
      </c>
    </row>
    <row r="2037" spans="1:2" x14ac:dyDescent="0.25">
      <c r="A2037" s="1">
        <v>41677</v>
      </c>
      <c r="B2037">
        <v>10.4</v>
      </c>
    </row>
    <row r="2038" spans="1:2" x14ac:dyDescent="0.25">
      <c r="A2038" s="1">
        <v>41680</v>
      </c>
      <c r="B2038">
        <v>10.4</v>
      </c>
    </row>
    <row r="2039" spans="1:2" x14ac:dyDescent="0.25">
      <c r="A2039" s="1">
        <v>41681</v>
      </c>
      <c r="B2039">
        <v>10.4</v>
      </c>
    </row>
    <row r="2040" spans="1:2" x14ac:dyDescent="0.25">
      <c r="A2040" s="1">
        <v>41682</v>
      </c>
      <c r="B2040">
        <v>10.4</v>
      </c>
    </row>
    <row r="2041" spans="1:2" x14ac:dyDescent="0.25">
      <c r="A2041" s="1">
        <v>41683</v>
      </c>
      <c r="B2041">
        <v>10.4</v>
      </c>
    </row>
    <row r="2042" spans="1:2" x14ac:dyDescent="0.25">
      <c r="A2042" s="1">
        <v>41684</v>
      </c>
      <c r="B2042">
        <v>10.4</v>
      </c>
    </row>
    <row r="2043" spans="1:2" x14ac:dyDescent="0.25">
      <c r="A2043" s="1">
        <v>41687</v>
      </c>
      <c r="B2043">
        <v>10.4</v>
      </c>
    </row>
    <row r="2044" spans="1:2" x14ac:dyDescent="0.25">
      <c r="A2044" s="1">
        <v>41688</v>
      </c>
      <c r="B2044">
        <v>10.4</v>
      </c>
    </row>
    <row r="2045" spans="1:2" x14ac:dyDescent="0.25">
      <c r="A2045" s="1">
        <v>41689</v>
      </c>
      <c r="B2045">
        <v>10.4</v>
      </c>
    </row>
    <row r="2046" spans="1:2" x14ac:dyDescent="0.25">
      <c r="A2046" s="1">
        <v>41690</v>
      </c>
      <c r="B2046">
        <v>10.4</v>
      </c>
    </row>
    <row r="2047" spans="1:2" x14ac:dyDescent="0.25">
      <c r="A2047" s="1">
        <v>41691</v>
      </c>
      <c r="B2047">
        <v>10.4</v>
      </c>
    </row>
    <row r="2048" spans="1:2" x14ac:dyDescent="0.25">
      <c r="A2048" s="1">
        <v>41694</v>
      </c>
      <c r="B2048">
        <v>10.4</v>
      </c>
    </row>
    <row r="2049" spans="1:2" x14ac:dyDescent="0.25">
      <c r="A2049" s="1">
        <v>41695</v>
      </c>
      <c r="B2049">
        <v>10.4</v>
      </c>
    </row>
    <row r="2050" spans="1:2" x14ac:dyDescent="0.25">
      <c r="A2050" s="1">
        <v>41696</v>
      </c>
      <c r="B2050">
        <v>10.4</v>
      </c>
    </row>
    <row r="2051" spans="1:2" x14ac:dyDescent="0.25">
      <c r="A2051" s="1">
        <v>41697</v>
      </c>
      <c r="B2051">
        <v>10.65</v>
      </c>
    </row>
    <row r="2052" spans="1:2" x14ac:dyDescent="0.25">
      <c r="A2052" s="1">
        <v>41698</v>
      </c>
      <c r="B2052">
        <v>10.65</v>
      </c>
    </row>
    <row r="2053" spans="1:2" x14ac:dyDescent="0.25">
      <c r="A2053" s="1">
        <v>41703</v>
      </c>
      <c r="B2053">
        <v>10.65</v>
      </c>
    </row>
    <row r="2054" spans="1:2" x14ac:dyDescent="0.25">
      <c r="A2054" s="1">
        <v>41704</v>
      </c>
      <c r="B2054">
        <v>10.65</v>
      </c>
    </row>
    <row r="2055" spans="1:2" x14ac:dyDescent="0.25">
      <c r="A2055" s="1">
        <v>41705</v>
      </c>
      <c r="B2055">
        <v>10.65</v>
      </c>
    </row>
    <row r="2056" spans="1:2" x14ac:dyDescent="0.25">
      <c r="A2056" s="1">
        <v>41708</v>
      </c>
      <c r="B2056">
        <v>10.65</v>
      </c>
    </row>
    <row r="2057" spans="1:2" x14ac:dyDescent="0.25">
      <c r="A2057" s="1">
        <v>41709</v>
      </c>
      <c r="B2057">
        <v>10.65</v>
      </c>
    </row>
    <row r="2058" spans="1:2" x14ac:dyDescent="0.25">
      <c r="A2058" s="1">
        <v>41710</v>
      </c>
      <c r="B2058">
        <v>10.65</v>
      </c>
    </row>
    <row r="2059" spans="1:2" x14ac:dyDescent="0.25">
      <c r="A2059" s="1">
        <v>41711</v>
      </c>
      <c r="B2059">
        <v>10.65</v>
      </c>
    </row>
    <row r="2060" spans="1:2" x14ac:dyDescent="0.25">
      <c r="A2060" s="1">
        <v>41712</v>
      </c>
      <c r="B2060">
        <v>10.65</v>
      </c>
    </row>
    <row r="2061" spans="1:2" x14ac:dyDescent="0.25">
      <c r="A2061" s="1">
        <v>41715</v>
      </c>
      <c r="B2061">
        <v>10.65</v>
      </c>
    </row>
    <row r="2062" spans="1:2" x14ac:dyDescent="0.25">
      <c r="A2062" s="1">
        <v>41716</v>
      </c>
      <c r="B2062">
        <v>10.65</v>
      </c>
    </row>
    <row r="2063" spans="1:2" x14ac:dyDescent="0.25">
      <c r="A2063" s="1">
        <v>41717</v>
      </c>
      <c r="B2063">
        <v>10.65</v>
      </c>
    </row>
    <row r="2064" spans="1:2" x14ac:dyDescent="0.25">
      <c r="A2064" s="1">
        <v>41718</v>
      </c>
      <c r="B2064">
        <v>10.65</v>
      </c>
    </row>
    <row r="2065" spans="1:2" x14ac:dyDescent="0.25">
      <c r="A2065" s="1">
        <v>41719</v>
      </c>
      <c r="B2065">
        <v>10.65</v>
      </c>
    </row>
    <row r="2066" spans="1:2" x14ac:dyDescent="0.25">
      <c r="A2066" s="1">
        <v>41722</v>
      </c>
      <c r="B2066">
        <v>10.65</v>
      </c>
    </row>
    <row r="2067" spans="1:2" x14ac:dyDescent="0.25">
      <c r="A2067" s="1">
        <v>41723</v>
      </c>
      <c r="B2067">
        <v>10.65</v>
      </c>
    </row>
    <row r="2068" spans="1:2" x14ac:dyDescent="0.25">
      <c r="A2068" s="1">
        <v>41724</v>
      </c>
      <c r="B2068">
        <v>10.65</v>
      </c>
    </row>
    <row r="2069" spans="1:2" x14ac:dyDescent="0.25">
      <c r="A2069" s="1">
        <v>41725</v>
      </c>
      <c r="B2069">
        <v>10.65</v>
      </c>
    </row>
    <row r="2070" spans="1:2" x14ac:dyDescent="0.25">
      <c r="A2070" s="1">
        <v>41726</v>
      </c>
      <c r="B2070">
        <v>10.65</v>
      </c>
    </row>
    <row r="2071" spans="1:2" x14ac:dyDescent="0.25">
      <c r="A2071" s="1">
        <v>41729</v>
      </c>
      <c r="B2071">
        <v>10.65</v>
      </c>
    </row>
    <row r="2072" spans="1:2" x14ac:dyDescent="0.25">
      <c r="A2072" s="1">
        <v>41730</v>
      </c>
      <c r="B2072">
        <v>10.65</v>
      </c>
    </row>
    <row r="2073" spans="1:2" x14ac:dyDescent="0.25">
      <c r="A2073" s="1">
        <v>41731</v>
      </c>
      <c r="B2073">
        <v>10.65</v>
      </c>
    </row>
    <row r="2074" spans="1:2" x14ac:dyDescent="0.25">
      <c r="A2074" s="1">
        <v>41732</v>
      </c>
      <c r="B2074">
        <v>10.9</v>
      </c>
    </row>
    <row r="2075" spans="1:2" x14ac:dyDescent="0.25">
      <c r="A2075" s="1">
        <v>41733</v>
      </c>
      <c r="B2075">
        <v>10.9</v>
      </c>
    </row>
    <row r="2076" spans="1:2" x14ac:dyDescent="0.25">
      <c r="A2076" s="1">
        <v>41736</v>
      </c>
      <c r="B2076">
        <v>10.9</v>
      </c>
    </row>
    <row r="2077" spans="1:2" x14ac:dyDescent="0.25">
      <c r="A2077" s="1">
        <v>41737</v>
      </c>
      <c r="B2077">
        <v>10.9</v>
      </c>
    </row>
    <row r="2078" spans="1:2" x14ac:dyDescent="0.25">
      <c r="A2078" s="1">
        <v>41738</v>
      </c>
      <c r="B2078">
        <v>10.9</v>
      </c>
    </row>
    <row r="2079" spans="1:2" x14ac:dyDescent="0.25">
      <c r="A2079" s="1">
        <v>41739</v>
      </c>
      <c r="B2079">
        <v>10.9</v>
      </c>
    </row>
    <row r="2080" spans="1:2" x14ac:dyDescent="0.25">
      <c r="A2080" s="1">
        <v>41740</v>
      </c>
      <c r="B2080">
        <v>10.9</v>
      </c>
    </row>
    <row r="2081" spans="1:2" x14ac:dyDescent="0.25">
      <c r="A2081" s="1">
        <v>41743</v>
      </c>
      <c r="B2081">
        <v>10.9</v>
      </c>
    </row>
    <row r="2082" spans="1:2" x14ac:dyDescent="0.25">
      <c r="A2082" s="1">
        <v>41744</v>
      </c>
      <c r="B2082">
        <v>10.9</v>
      </c>
    </row>
    <row r="2083" spans="1:2" x14ac:dyDescent="0.25">
      <c r="A2083" s="1">
        <v>41745</v>
      </c>
      <c r="B2083">
        <v>10.9</v>
      </c>
    </row>
    <row r="2084" spans="1:2" x14ac:dyDescent="0.25">
      <c r="A2084" s="1">
        <v>41746</v>
      </c>
      <c r="B2084">
        <v>10.9</v>
      </c>
    </row>
    <row r="2085" spans="1:2" x14ac:dyDescent="0.25">
      <c r="A2085" s="1">
        <v>41751</v>
      </c>
      <c r="B2085">
        <v>10.9</v>
      </c>
    </row>
    <row r="2086" spans="1:2" x14ac:dyDescent="0.25">
      <c r="A2086" s="1">
        <v>41752</v>
      </c>
      <c r="B2086">
        <v>10.9</v>
      </c>
    </row>
    <row r="2087" spans="1:2" x14ac:dyDescent="0.25">
      <c r="A2087" s="1">
        <v>41753</v>
      </c>
      <c r="B2087">
        <v>10.9</v>
      </c>
    </row>
    <row r="2088" spans="1:2" x14ac:dyDescent="0.25">
      <c r="A2088" s="1">
        <v>41754</v>
      </c>
      <c r="B2088">
        <v>10.9</v>
      </c>
    </row>
    <row r="2089" spans="1:2" x14ac:dyDescent="0.25">
      <c r="A2089" s="1">
        <v>41757</v>
      </c>
      <c r="B2089">
        <v>10.9</v>
      </c>
    </row>
    <row r="2090" spans="1:2" x14ac:dyDescent="0.25">
      <c r="A2090" s="1">
        <v>41758</v>
      </c>
      <c r="B2090">
        <v>10.9</v>
      </c>
    </row>
    <row r="2091" spans="1:2" x14ac:dyDescent="0.25">
      <c r="A2091" s="1">
        <v>41759</v>
      </c>
      <c r="B2091">
        <v>10.9</v>
      </c>
    </row>
    <row r="2092" spans="1:2" x14ac:dyDescent="0.25">
      <c r="A2092" s="1">
        <v>41761</v>
      </c>
      <c r="B2092">
        <v>10.9</v>
      </c>
    </row>
    <row r="2093" spans="1:2" x14ac:dyDescent="0.25">
      <c r="A2093" s="1">
        <v>41764</v>
      </c>
      <c r="B2093">
        <v>10.9</v>
      </c>
    </row>
    <row r="2094" spans="1:2" x14ac:dyDescent="0.25">
      <c r="A2094" s="1">
        <v>41765</v>
      </c>
      <c r="B2094">
        <v>10.9</v>
      </c>
    </row>
    <row r="2095" spans="1:2" x14ac:dyDescent="0.25">
      <c r="A2095" s="1">
        <v>41766</v>
      </c>
      <c r="B2095">
        <v>10.9</v>
      </c>
    </row>
    <row r="2096" spans="1:2" x14ac:dyDescent="0.25">
      <c r="A2096" s="1">
        <v>41767</v>
      </c>
      <c r="B2096">
        <v>10.9</v>
      </c>
    </row>
    <row r="2097" spans="1:2" x14ac:dyDescent="0.25">
      <c r="A2097" s="1">
        <v>41768</v>
      </c>
      <c r="B2097">
        <v>10.9</v>
      </c>
    </row>
    <row r="2098" spans="1:2" x14ac:dyDescent="0.25">
      <c r="A2098" s="1">
        <v>41771</v>
      </c>
      <c r="B2098">
        <v>10.9</v>
      </c>
    </row>
    <row r="2099" spans="1:2" x14ac:dyDescent="0.25">
      <c r="A2099" s="1">
        <v>41772</v>
      </c>
      <c r="B2099">
        <v>10.9</v>
      </c>
    </row>
    <row r="2100" spans="1:2" x14ac:dyDescent="0.25">
      <c r="A2100" s="1">
        <v>41773</v>
      </c>
      <c r="B2100">
        <v>10.9</v>
      </c>
    </row>
    <row r="2101" spans="1:2" x14ac:dyDescent="0.25">
      <c r="A2101" s="1">
        <v>41774</v>
      </c>
      <c r="B2101">
        <v>10.9</v>
      </c>
    </row>
    <row r="2102" spans="1:2" x14ac:dyDescent="0.25">
      <c r="A2102" s="1">
        <v>41775</v>
      </c>
      <c r="B2102">
        <v>10.9</v>
      </c>
    </row>
    <row r="2103" spans="1:2" x14ac:dyDescent="0.25">
      <c r="A2103" s="1">
        <v>41778</v>
      </c>
      <c r="B2103">
        <v>10.9</v>
      </c>
    </row>
    <row r="2104" spans="1:2" x14ac:dyDescent="0.25">
      <c r="A2104" s="1">
        <v>41779</v>
      </c>
      <c r="B2104">
        <v>10.9</v>
      </c>
    </row>
    <row r="2105" spans="1:2" x14ac:dyDescent="0.25">
      <c r="A2105" s="1">
        <v>41780</v>
      </c>
      <c r="B2105">
        <v>10.9</v>
      </c>
    </row>
    <row r="2106" spans="1:2" x14ac:dyDescent="0.25">
      <c r="A2106" s="1">
        <v>41781</v>
      </c>
      <c r="B2106">
        <v>10.9</v>
      </c>
    </row>
    <row r="2107" spans="1:2" x14ac:dyDescent="0.25">
      <c r="A2107" s="1">
        <v>41782</v>
      </c>
      <c r="B2107">
        <v>10.9</v>
      </c>
    </row>
    <row r="2108" spans="1:2" x14ac:dyDescent="0.25">
      <c r="A2108" s="1">
        <v>41785</v>
      </c>
      <c r="B2108">
        <v>10.9</v>
      </c>
    </row>
    <row r="2109" spans="1:2" x14ac:dyDescent="0.25">
      <c r="A2109" s="1">
        <v>41786</v>
      </c>
      <c r="B2109">
        <v>10.9</v>
      </c>
    </row>
    <row r="2110" spans="1:2" x14ac:dyDescent="0.25">
      <c r="A2110" s="1">
        <v>41787</v>
      </c>
      <c r="B2110">
        <v>10.9</v>
      </c>
    </row>
    <row r="2111" spans="1:2" x14ac:dyDescent="0.25">
      <c r="A2111" s="1">
        <v>41788</v>
      </c>
      <c r="B2111">
        <v>10.9</v>
      </c>
    </row>
    <row r="2112" spans="1:2" x14ac:dyDescent="0.25">
      <c r="A2112" s="1">
        <v>41789</v>
      </c>
      <c r="B2112">
        <v>10.9</v>
      </c>
    </row>
    <row r="2113" spans="1:2" x14ac:dyDescent="0.25">
      <c r="A2113" s="1">
        <v>41792</v>
      </c>
      <c r="B2113">
        <v>10.9</v>
      </c>
    </row>
    <row r="2114" spans="1:2" x14ac:dyDescent="0.25">
      <c r="A2114" s="1">
        <v>41793</v>
      </c>
      <c r="B2114">
        <v>10.9</v>
      </c>
    </row>
    <row r="2115" spans="1:2" x14ac:dyDescent="0.25">
      <c r="A2115" s="1">
        <v>41794</v>
      </c>
      <c r="B2115">
        <v>10.9</v>
      </c>
    </row>
    <row r="2116" spans="1:2" x14ac:dyDescent="0.25">
      <c r="A2116" s="1">
        <v>41795</v>
      </c>
      <c r="B2116">
        <v>10.9</v>
      </c>
    </row>
    <row r="2117" spans="1:2" x14ac:dyDescent="0.25">
      <c r="A2117" s="1">
        <v>41796</v>
      </c>
      <c r="B2117">
        <v>10.9</v>
      </c>
    </row>
    <row r="2118" spans="1:2" x14ac:dyDescent="0.25">
      <c r="A2118" s="1">
        <v>41799</v>
      </c>
      <c r="B2118">
        <v>10.9</v>
      </c>
    </row>
    <row r="2119" spans="1:2" x14ac:dyDescent="0.25">
      <c r="A2119" s="1">
        <v>41800</v>
      </c>
      <c r="B2119">
        <v>10.9</v>
      </c>
    </row>
    <row r="2120" spans="1:2" x14ac:dyDescent="0.25">
      <c r="A2120" s="1">
        <v>41801</v>
      </c>
      <c r="B2120">
        <v>10.9</v>
      </c>
    </row>
    <row r="2121" spans="1:2" x14ac:dyDescent="0.25">
      <c r="A2121" s="1">
        <v>41802</v>
      </c>
      <c r="B2121">
        <v>10.9</v>
      </c>
    </row>
    <row r="2122" spans="1:2" x14ac:dyDescent="0.25">
      <c r="A2122" s="1">
        <v>41803</v>
      </c>
      <c r="B2122">
        <v>10.9</v>
      </c>
    </row>
    <row r="2123" spans="1:2" x14ac:dyDescent="0.25">
      <c r="A2123" s="1">
        <v>41806</v>
      </c>
      <c r="B2123">
        <v>10.9</v>
      </c>
    </row>
    <row r="2124" spans="1:2" x14ac:dyDescent="0.25">
      <c r="A2124" s="1">
        <v>41807</v>
      </c>
      <c r="B2124">
        <v>10.9</v>
      </c>
    </row>
    <row r="2125" spans="1:2" x14ac:dyDescent="0.25">
      <c r="A2125" s="1">
        <v>41808</v>
      </c>
      <c r="B2125">
        <v>10.9</v>
      </c>
    </row>
    <row r="2126" spans="1:2" x14ac:dyDescent="0.25">
      <c r="A2126" s="1">
        <v>41810</v>
      </c>
      <c r="B2126">
        <v>10.9</v>
      </c>
    </row>
    <row r="2127" spans="1:2" x14ac:dyDescent="0.25">
      <c r="A2127" s="1">
        <v>41813</v>
      </c>
      <c r="B2127">
        <v>10.9</v>
      </c>
    </row>
    <row r="2128" spans="1:2" x14ac:dyDescent="0.25">
      <c r="A2128" s="1">
        <v>41814</v>
      </c>
      <c r="B2128">
        <v>10.9</v>
      </c>
    </row>
    <row r="2129" spans="1:2" x14ac:dyDescent="0.25">
      <c r="A2129" s="1">
        <v>41815</v>
      </c>
      <c r="B2129">
        <v>10.9</v>
      </c>
    </row>
    <row r="2130" spans="1:2" x14ac:dyDescent="0.25">
      <c r="A2130" s="1">
        <v>41816</v>
      </c>
      <c r="B2130">
        <v>10.9</v>
      </c>
    </row>
    <row r="2131" spans="1:2" x14ac:dyDescent="0.25">
      <c r="A2131" s="1">
        <v>41817</v>
      </c>
      <c r="B2131">
        <v>10.9</v>
      </c>
    </row>
    <row r="2132" spans="1:2" x14ac:dyDescent="0.25">
      <c r="A2132" s="1">
        <v>41820</v>
      </c>
      <c r="B2132">
        <v>10.9</v>
      </c>
    </row>
    <row r="2133" spans="1:2" x14ac:dyDescent="0.25">
      <c r="A2133" s="1">
        <v>41821</v>
      </c>
      <c r="B2133">
        <v>10.9</v>
      </c>
    </row>
    <row r="2134" spans="1:2" x14ac:dyDescent="0.25">
      <c r="A2134" s="1">
        <v>41822</v>
      </c>
      <c r="B2134">
        <v>10.9</v>
      </c>
    </row>
    <row r="2135" spans="1:2" x14ac:dyDescent="0.25">
      <c r="A2135" s="1">
        <v>41823</v>
      </c>
      <c r="B2135">
        <v>10.9</v>
      </c>
    </row>
    <row r="2136" spans="1:2" x14ac:dyDescent="0.25">
      <c r="A2136" s="1">
        <v>41824</v>
      </c>
      <c r="B2136">
        <v>10.9</v>
      </c>
    </row>
    <row r="2137" spans="1:2" x14ac:dyDescent="0.25">
      <c r="A2137" s="1">
        <v>41827</v>
      </c>
      <c r="B2137">
        <v>10.9</v>
      </c>
    </row>
    <row r="2138" spans="1:2" x14ac:dyDescent="0.25">
      <c r="A2138" s="1">
        <v>41828</v>
      </c>
      <c r="B2138">
        <v>10.9</v>
      </c>
    </row>
    <row r="2139" spans="1:2" x14ac:dyDescent="0.25">
      <c r="A2139" s="1">
        <v>41829</v>
      </c>
      <c r="B2139">
        <v>10.9</v>
      </c>
    </row>
    <row r="2140" spans="1:2" x14ac:dyDescent="0.25">
      <c r="A2140" s="1">
        <v>41830</v>
      </c>
      <c r="B2140">
        <v>10.9</v>
      </c>
    </row>
    <row r="2141" spans="1:2" x14ac:dyDescent="0.25">
      <c r="A2141" s="1">
        <v>41831</v>
      </c>
      <c r="B2141">
        <v>10.9</v>
      </c>
    </row>
    <row r="2142" spans="1:2" x14ac:dyDescent="0.25">
      <c r="A2142" s="1">
        <v>41834</v>
      </c>
      <c r="B2142">
        <v>10.9</v>
      </c>
    </row>
    <row r="2143" spans="1:2" x14ac:dyDescent="0.25">
      <c r="A2143" s="1">
        <v>41835</v>
      </c>
      <c r="B2143">
        <v>10.9</v>
      </c>
    </row>
    <row r="2144" spans="1:2" x14ac:dyDescent="0.25">
      <c r="A2144" s="1">
        <v>41836</v>
      </c>
      <c r="B2144">
        <v>10.9</v>
      </c>
    </row>
    <row r="2145" spans="1:2" x14ac:dyDescent="0.25">
      <c r="A2145" s="1">
        <v>41837</v>
      </c>
      <c r="B2145">
        <v>10.9</v>
      </c>
    </row>
    <row r="2146" spans="1:2" x14ac:dyDescent="0.25">
      <c r="A2146" s="1">
        <v>41838</v>
      </c>
      <c r="B2146">
        <v>10.9</v>
      </c>
    </row>
    <row r="2147" spans="1:2" x14ac:dyDescent="0.25">
      <c r="A2147" s="1">
        <v>41841</v>
      </c>
      <c r="B2147">
        <v>10.9</v>
      </c>
    </row>
    <row r="2148" spans="1:2" x14ac:dyDescent="0.25">
      <c r="A2148" s="1">
        <v>41842</v>
      </c>
      <c r="B2148">
        <v>10.9</v>
      </c>
    </row>
    <row r="2149" spans="1:2" x14ac:dyDescent="0.25">
      <c r="A2149" s="1">
        <v>41843</v>
      </c>
      <c r="B2149">
        <v>10.9</v>
      </c>
    </row>
    <row r="2150" spans="1:2" x14ac:dyDescent="0.25">
      <c r="A2150" s="1">
        <v>41844</v>
      </c>
      <c r="B2150">
        <v>10.9</v>
      </c>
    </row>
    <row r="2151" spans="1:2" x14ac:dyDescent="0.25">
      <c r="A2151" s="1">
        <v>41845</v>
      </c>
      <c r="B2151">
        <v>10.9</v>
      </c>
    </row>
    <row r="2152" spans="1:2" x14ac:dyDescent="0.25">
      <c r="A2152" s="1">
        <v>41848</v>
      </c>
      <c r="B2152">
        <v>10.9</v>
      </c>
    </row>
    <row r="2153" spans="1:2" x14ac:dyDescent="0.25">
      <c r="A2153" s="1">
        <v>41849</v>
      </c>
      <c r="B2153">
        <v>10.9</v>
      </c>
    </row>
    <row r="2154" spans="1:2" x14ac:dyDescent="0.25">
      <c r="A2154" s="1">
        <v>41850</v>
      </c>
      <c r="B2154">
        <v>10.9</v>
      </c>
    </row>
    <row r="2155" spans="1:2" x14ac:dyDescent="0.25">
      <c r="A2155" s="1">
        <v>41851</v>
      </c>
      <c r="B2155">
        <v>10.9</v>
      </c>
    </row>
    <row r="2156" spans="1:2" x14ac:dyDescent="0.25">
      <c r="A2156" s="1">
        <v>41852</v>
      </c>
      <c r="B2156">
        <v>10.9</v>
      </c>
    </row>
    <row r="2157" spans="1:2" x14ac:dyDescent="0.25">
      <c r="A2157" s="1">
        <v>41855</v>
      </c>
      <c r="B2157">
        <v>10.9</v>
      </c>
    </row>
    <row r="2158" spans="1:2" x14ac:dyDescent="0.25">
      <c r="A2158" s="1">
        <v>41856</v>
      </c>
      <c r="B2158">
        <v>10.9</v>
      </c>
    </row>
    <row r="2159" spans="1:2" x14ac:dyDescent="0.25">
      <c r="A2159" s="1">
        <v>41857</v>
      </c>
      <c r="B2159">
        <v>10.9</v>
      </c>
    </row>
    <row r="2160" spans="1:2" x14ac:dyDescent="0.25">
      <c r="A2160" s="1">
        <v>41858</v>
      </c>
      <c r="B2160">
        <v>10.9</v>
      </c>
    </row>
    <row r="2161" spans="1:2" x14ac:dyDescent="0.25">
      <c r="A2161" s="1">
        <v>41859</v>
      </c>
      <c r="B2161">
        <v>10.9</v>
      </c>
    </row>
    <row r="2162" spans="1:2" x14ac:dyDescent="0.25">
      <c r="A2162" s="1">
        <v>41862</v>
      </c>
      <c r="B2162">
        <v>10.9</v>
      </c>
    </row>
    <row r="2163" spans="1:2" x14ac:dyDescent="0.25">
      <c r="A2163" s="1">
        <v>41863</v>
      </c>
      <c r="B2163">
        <v>10.9</v>
      </c>
    </row>
    <row r="2164" spans="1:2" x14ac:dyDescent="0.25">
      <c r="A2164" s="1">
        <v>41864</v>
      </c>
      <c r="B2164">
        <v>10.9</v>
      </c>
    </row>
    <row r="2165" spans="1:2" x14ac:dyDescent="0.25">
      <c r="A2165" s="1">
        <v>41865</v>
      </c>
      <c r="B2165">
        <v>10.9</v>
      </c>
    </row>
    <row r="2166" spans="1:2" x14ac:dyDescent="0.25">
      <c r="A2166" s="1">
        <v>41866</v>
      </c>
      <c r="B2166">
        <v>10.91</v>
      </c>
    </row>
    <row r="2167" spans="1:2" x14ac:dyDescent="0.25">
      <c r="A2167" s="1">
        <v>41869</v>
      </c>
      <c r="B2167">
        <v>10.9</v>
      </c>
    </row>
    <row r="2168" spans="1:2" x14ac:dyDescent="0.25">
      <c r="A2168" s="1">
        <v>41870</v>
      </c>
      <c r="B2168">
        <v>10.9</v>
      </c>
    </row>
    <row r="2169" spans="1:2" x14ac:dyDescent="0.25">
      <c r="A2169" s="1">
        <v>41871</v>
      </c>
      <c r="B2169">
        <v>10.91</v>
      </c>
    </row>
    <row r="2170" spans="1:2" x14ac:dyDescent="0.25">
      <c r="A2170" s="1">
        <v>41872</v>
      </c>
      <c r="B2170">
        <v>10.91</v>
      </c>
    </row>
    <row r="2171" spans="1:2" x14ac:dyDescent="0.25">
      <c r="A2171" s="1">
        <v>41873</v>
      </c>
      <c r="B2171">
        <v>10.9</v>
      </c>
    </row>
    <row r="2172" spans="1:2" x14ac:dyDescent="0.25">
      <c r="A2172" s="1">
        <v>41876</v>
      </c>
      <c r="B2172">
        <v>10.9</v>
      </c>
    </row>
    <row r="2173" spans="1:2" x14ac:dyDescent="0.25">
      <c r="A2173" s="1">
        <v>41877</v>
      </c>
      <c r="B2173">
        <v>10.9</v>
      </c>
    </row>
    <row r="2174" spans="1:2" x14ac:dyDescent="0.25">
      <c r="A2174" s="1">
        <v>41878</v>
      </c>
      <c r="B2174">
        <v>10.9</v>
      </c>
    </row>
    <row r="2175" spans="1:2" x14ac:dyDescent="0.25">
      <c r="A2175" s="1">
        <v>41879</v>
      </c>
      <c r="B2175">
        <v>10.9</v>
      </c>
    </row>
    <row r="2176" spans="1:2" x14ac:dyDescent="0.25">
      <c r="A2176" s="1">
        <v>41880</v>
      </c>
      <c r="B2176">
        <v>10.9</v>
      </c>
    </row>
    <row r="2177" spans="1:2" x14ac:dyDescent="0.25">
      <c r="A2177" s="1">
        <v>41883</v>
      </c>
      <c r="B2177">
        <v>10.9</v>
      </c>
    </row>
    <row r="2178" spans="1:2" x14ac:dyDescent="0.25">
      <c r="A2178" s="1">
        <v>41884</v>
      </c>
      <c r="B2178">
        <v>10.9</v>
      </c>
    </row>
    <row r="2179" spans="1:2" x14ac:dyDescent="0.25">
      <c r="A2179" s="1">
        <v>41885</v>
      </c>
      <c r="B2179">
        <v>10.9</v>
      </c>
    </row>
    <row r="2180" spans="1:2" x14ac:dyDescent="0.25">
      <c r="A2180" s="1">
        <v>41886</v>
      </c>
      <c r="B2180">
        <v>10.9</v>
      </c>
    </row>
    <row r="2181" spans="1:2" x14ac:dyDescent="0.25">
      <c r="A2181" s="1">
        <v>41887</v>
      </c>
      <c r="B2181">
        <v>10.9</v>
      </c>
    </row>
    <row r="2182" spans="1:2" x14ac:dyDescent="0.25">
      <c r="A2182" s="1">
        <v>41890</v>
      </c>
      <c r="B2182">
        <v>10.9</v>
      </c>
    </row>
    <row r="2183" spans="1:2" x14ac:dyDescent="0.25">
      <c r="A2183" s="1">
        <v>41891</v>
      </c>
      <c r="B2183">
        <v>10.9</v>
      </c>
    </row>
    <row r="2184" spans="1:2" x14ac:dyDescent="0.25">
      <c r="A2184" s="1">
        <v>41892</v>
      </c>
      <c r="B2184">
        <v>10.9</v>
      </c>
    </row>
    <row r="2185" spans="1:2" x14ac:dyDescent="0.25">
      <c r="A2185" s="1">
        <v>41893</v>
      </c>
      <c r="B2185">
        <v>10.9</v>
      </c>
    </row>
    <row r="2186" spans="1:2" x14ac:dyDescent="0.25">
      <c r="A2186" s="1">
        <v>41894</v>
      </c>
      <c r="B2186">
        <v>10.9</v>
      </c>
    </row>
    <row r="2187" spans="1:2" x14ac:dyDescent="0.25">
      <c r="A2187" s="1">
        <v>41897</v>
      </c>
      <c r="B2187">
        <v>10.9</v>
      </c>
    </row>
    <row r="2188" spans="1:2" x14ac:dyDescent="0.25">
      <c r="A2188" s="1">
        <v>41898</v>
      </c>
      <c r="B2188">
        <v>10.9</v>
      </c>
    </row>
    <row r="2189" spans="1:2" x14ac:dyDescent="0.25">
      <c r="A2189" s="1">
        <v>41899</v>
      </c>
      <c r="B2189">
        <v>10.9</v>
      </c>
    </row>
    <row r="2190" spans="1:2" x14ac:dyDescent="0.25">
      <c r="A2190" s="1">
        <v>41900</v>
      </c>
      <c r="B2190">
        <v>10.9</v>
      </c>
    </row>
    <row r="2191" spans="1:2" x14ac:dyDescent="0.25">
      <c r="A2191" s="1">
        <v>41901</v>
      </c>
      <c r="B2191">
        <v>10.9</v>
      </c>
    </row>
    <row r="2192" spans="1:2" x14ac:dyDescent="0.25">
      <c r="A2192" s="1">
        <v>41904</v>
      </c>
      <c r="B2192">
        <v>10.9</v>
      </c>
    </row>
    <row r="2193" spans="1:2" x14ac:dyDescent="0.25">
      <c r="A2193" s="1">
        <v>41905</v>
      </c>
      <c r="B2193">
        <v>10.9</v>
      </c>
    </row>
    <row r="2194" spans="1:2" x14ac:dyDescent="0.25">
      <c r="A2194" s="1">
        <v>41906</v>
      </c>
      <c r="B2194">
        <v>10.9</v>
      </c>
    </row>
    <row r="2195" spans="1:2" x14ac:dyDescent="0.25">
      <c r="A2195" s="1">
        <v>41907</v>
      </c>
      <c r="B2195">
        <v>10.9</v>
      </c>
    </row>
    <row r="2196" spans="1:2" x14ac:dyDescent="0.25">
      <c r="A2196" s="1">
        <v>41908</v>
      </c>
      <c r="B2196">
        <v>10.9</v>
      </c>
    </row>
    <row r="2197" spans="1:2" x14ac:dyDescent="0.25">
      <c r="A2197" s="1">
        <v>41911</v>
      </c>
      <c r="B2197">
        <v>10.9</v>
      </c>
    </row>
    <row r="2198" spans="1:2" x14ac:dyDescent="0.25">
      <c r="A2198" s="1">
        <v>41912</v>
      </c>
      <c r="B2198">
        <v>10.9</v>
      </c>
    </row>
    <row r="2199" spans="1:2" x14ac:dyDescent="0.25">
      <c r="A2199" s="1">
        <v>41913</v>
      </c>
      <c r="B2199">
        <v>10.9</v>
      </c>
    </row>
    <row r="2200" spans="1:2" x14ac:dyDescent="0.25">
      <c r="A2200" s="1">
        <v>41914</v>
      </c>
      <c r="B2200">
        <v>10.9</v>
      </c>
    </row>
    <row r="2201" spans="1:2" x14ac:dyDescent="0.25">
      <c r="A2201" s="1">
        <v>41915</v>
      </c>
      <c r="B2201">
        <v>10.9</v>
      </c>
    </row>
    <row r="2202" spans="1:2" x14ac:dyDescent="0.25">
      <c r="A2202" s="1">
        <v>41918</v>
      </c>
      <c r="B2202">
        <v>10.9</v>
      </c>
    </row>
    <row r="2203" spans="1:2" x14ac:dyDescent="0.25">
      <c r="A2203" s="1">
        <v>41919</v>
      </c>
      <c r="B2203">
        <v>10.9</v>
      </c>
    </row>
    <row r="2204" spans="1:2" x14ac:dyDescent="0.25">
      <c r="A2204" s="1">
        <v>41920</v>
      </c>
      <c r="B2204">
        <v>10.9</v>
      </c>
    </row>
    <row r="2205" spans="1:2" x14ac:dyDescent="0.25">
      <c r="A2205" s="1">
        <v>41921</v>
      </c>
      <c r="B2205">
        <v>10.9</v>
      </c>
    </row>
    <row r="2206" spans="1:2" x14ac:dyDescent="0.25">
      <c r="A2206" s="1">
        <v>41922</v>
      </c>
      <c r="B2206">
        <v>10.9</v>
      </c>
    </row>
    <row r="2207" spans="1:2" x14ac:dyDescent="0.25">
      <c r="A2207" s="1">
        <v>41925</v>
      </c>
      <c r="B2207">
        <v>10.9</v>
      </c>
    </row>
    <row r="2208" spans="1:2" x14ac:dyDescent="0.25">
      <c r="A2208" s="1">
        <v>41926</v>
      </c>
      <c r="B2208">
        <v>10.9</v>
      </c>
    </row>
    <row r="2209" spans="1:2" x14ac:dyDescent="0.25">
      <c r="A2209" s="1">
        <v>41927</v>
      </c>
      <c r="B2209">
        <v>10.9</v>
      </c>
    </row>
    <row r="2210" spans="1:2" x14ac:dyDescent="0.25">
      <c r="A2210" s="1">
        <v>41928</v>
      </c>
      <c r="B2210">
        <v>10.9</v>
      </c>
    </row>
    <row r="2211" spans="1:2" x14ac:dyDescent="0.25">
      <c r="A2211" s="1">
        <v>41929</v>
      </c>
      <c r="B2211">
        <v>10.9</v>
      </c>
    </row>
    <row r="2212" spans="1:2" x14ac:dyDescent="0.25">
      <c r="A2212" s="1">
        <v>41932</v>
      </c>
      <c r="B2212">
        <v>10.9</v>
      </c>
    </row>
    <row r="2213" spans="1:2" x14ac:dyDescent="0.25">
      <c r="A2213" s="1">
        <v>41933</v>
      </c>
      <c r="B2213">
        <v>10.9</v>
      </c>
    </row>
    <row r="2214" spans="1:2" x14ac:dyDescent="0.25">
      <c r="A2214" s="1">
        <v>41934</v>
      </c>
      <c r="B2214">
        <v>10.9</v>
      </c>
    </row>
    <row r="2215" spans="1:2" x14ac:dyDescent="0.25">
      <c r="A2215" s="1">
        <v>41935</v>
      </c>
      <c r="B2215">
        <v>10.9</v>
      </c>
    </row>
    <row r="2216" spans="1:2" x14ac:dyDescent="0.25">
      <c r="A2216" s="1">
        <v>41936</v>
      </c>
      <c r="B2216">
        <v>10.9</v>
      </c>
    </row>
    <row r="2217" spans="1:2" x14ac:dyDescent="0.25">
      <c r="A2217" s="1">
        <v>41939</v>
      </c>
      <c r="B2217">
        <v>10.9</v>
      </c>
    </row>
    <row r="2218" spans="1:2" x14ac:dyDescent="0.25">
      <c r="A2218" s="1">
        <v>41940</v>
      </c>
      <c r="B2218">
        <v>10.9</v>
      </c>
    </row>
    <row r="2219" spans="1:2" x14ac:dyDescent="0.25">
      <c r="A2219" s="1">
        <v>41941</v>
      </c>
      <c r="B2219">
        <v>10.9</v>
      </c>
    </row>
    <row r="2220" spans="1:2" x14ac:dyDescent="0.25">
      <c r="A2220" s="1">
        <v>41942</v>
      </c>
      <c r="B2220">
        <v>11.15</v>
      </c>
    </row>
    <row r="2221" spans="1:2" x14ac:dyDescent="0.25">
      <c r="A2221" s="1">
        <v>41943</v>
      </c>
      <c r="B2221">
        <v>11.15</v>
      </c>
    </row>
    <row r="2222" spans="1:2" x14ac:dyDescent="0.25">
      <c r="A2222" s="1">
        <v>41946</v>
      </c>
      <c r="B2222">
        <v>11.15</v>
      </c>
    </row>
    <row r="2223" spans="1:2" x14ac:dyDescent="0.25">
      <c r="A2223" s="1">
        <v>41947</v>
      </c>
      <c r="B2223">
        <v>11.15</v>
      </c>
    </row>
    <row r="2224" spans="1:2" x14ac:dyDescent="0.25">
      <c r="A2224" s="1">
        <v>41948</v>
      </c>
      <c r="B2224">
        <v>11.15</v>
      </c>
    </row>
    <row r="2225" spans="1:2" x14ac:dyDescent="0.25">
      <c r="A2225" s="1">
        <v>41949</v>
      </c>
      <c r="B2225">
        <v>11.15</v>
      </c>
    </row>
    <row r="2226" spans="1:2" x14ac:dyDescent="0.25">
      <c r="A2226" s="1">
        <v>41950</v>
      </c>
      <c r="B2226">
        <v>11.15</v>
      </c>
    </row>
    <row r="2227" spans="1:2" x14ac:dyDescent="0.25">
      <c r="A2227" s="1">
        <v>41953</v>
      </c>
      <c r="B2227">
        <v>11.15</v>
      </c>
    </row>
    <row r="2228" spans="1:2" x14ac:dyDescent="0.25">
      <c r="A2228" s="1">
        <v>41954</v>
      </c>
      <c r="B2228">
        <v>11.15</v>
      </c>
    </row>
    <row r="2229" spans="1:2" x14ac:dyDescent="0.25">
      <c r="A2229" s="1">
        <v>41955</v>
      </c>
      <c r="B2229">
        <v>11.15</v>
      </c>
    </row>
    <row r="2230" spans="1:2" x14ac:dyDescent="0.25">
      <c r="A2230" s="1">
        <v>41956</v>
      </c>
      <c r="B2230">
        <v>11.15</v>
      </c>
    </row>
    <row r="2231" spans="1:2" x14ac:dyDescent="0.25">
      <c r="A2231" s="1">
        <v>41957</v>
      </c>
      <c r="B2231">
        <v>11.15</v>
      </c>
    </row>
    <row r="2232" spans="1:2" x14ac:dyDescent="0.25">
      <c r="A2232" s="1">
        <v>41960</v>
      </c>
      <c r="B2232">
        <v>11.15</v>
      </c>
    </row>
    <row r="2233" spans="1:2" x14ac:dyDescent="0.25">
      <c r="A2233" s="1">
        <v>41961</v>
      </c>
      <c r="B2233">
        <v>11.15</v>
      </c>
    </row>
    <row r="2234" spans="1:2" x14ac:dyDescent="0.25">
      <c r="A2234" s="1">
        <v>41962</v>
      </c>
      <c r="B2234">
        <v>11.15</v>
      </c>
    </row>
    <row r="2235" spans="1:2" x14ac:dyDescent="0.25">
      <c r="A2235" s="1">
        <v>41963</v>
      </c>
      <c r="B2235">
        <v>11.15</v>
      </c>
    </row>
    <row r="2236" spans="1:2" x14ac:dyDescent="0.25">
      <c r="A2236" s="1">
        <v>41964</v>
      </c>
      <c r="B2236">
        <v>11.15</v>
      </c>
    </row>
    <row r="2237" spans="1:2" x14ac:dyDescent="0.25">
      <c r="A2237" s="1">
        <v>41967</v>
      </c>
      <c r="B2237">
        <v>11.15</v>
      </c>
    </row>
    <row r="2238" spans="1:2" x14ac:dyDescent="0.25">
      <c r="A2238" s="1">
        <v>41968</v>
      </c>
      <c r="B2238">
        <v>11.15</v>
      </c>
    </row>
    <row r="2239" spans="1:2" x14ac:dyDescent="0.25">
      <c r="A2239" s="1">
        <v>41969</v>
      </c>
      <c r="B2239">
        <v>11.15</v>
      </c>
    </row>
    <row r="2240" spans="1:2" x14ac:dyDescent="0.25">
      <c r="A2240" s="1">
        <v>41970</v>
      </c>
      <c r="B2240">
        <v>11.15</v>
      </c>
    </row>
    <row r="2241" spans="1:2" x14ac:dyDescent="0.25">
      <c r="A2241" s="1">
        <v>41971</v>
      </c>
      <c r="B2241">
        <v>11.15</v>
      </c>
    </row>
    <row r="2242" spans="1:2" x14ac:dyDescent="0.25">
      <c r="A2242" s="1">
        <v>41974</v>
      </c>
      <c r="B2242">
        <v>11.15</v>
      </c>
    </row>
    <row r="2243" spans="1:2" x14ac:dyDescent="0.25">
      <c r="A2243" s="1">
        <v>41975</v>
      </c>
      <c r="B2243">
        <v>11.15</v>
      </c>
    </row>
    <row r="2244" spans="1:2" x14ac:dyDescent="0.25">
      <c r="A2244" s="1">
        <v>41976</v>
      </c>
      <c r="B2244">
        <v>11.15</v>
      </c>
    </row>
    <row r="2245" spans="1:2" x14ac:dyDescent="0.25">
      <c r="A2245" s="1">
        <v>41977</v>
      </c>
      <c r="B2245">
        <v>11.65</v>
      </c>
    </row>
    <row r="2246" spans="1:2" x14ac:dyDescent="0.25">
      <c r="A2246" s="1">
        <v>41978</v>
      </c>
      <c r="B2246">
        <v>11.65</v>
      </c>
    </row>
    <row r="2247" spans="1:2" x14ac:dyDescent="0.25">
      <c r="A2247" s="1">
        <v>41981</v>
      </c>
      <c r="B2247">
        <v>11.65</v>
      </c>
    </row>
    <row r="2248" spans="1:2" x14ac:dyDescent="0.25">
      <c r="A2248" s="1">
        <v>41982</v>
      </c>
      <c r="B2248">
        <v>11.65</v>
      </c>
    </row>
    <row r="2249" spans="1:2" x14ac:dyDescent="0.25">
      <c r="A2249" s="1">
        <v>41983</v>
      </c>
      <c r="B2249">
        <v>11.65</v>
      </c>
    </row>
    <row r="2250" spans="1:2" x14ac:dyDescent="0.25">
      <c r="A2250" s="1">
        <v>41984</v>
      </c>
      <c r="B2250">
        <v>11.65</v>
      </c>
    </row>
    <row r="2251" spans="1:2" x14ac:dyDescent="0.25">
      <c r="A2251" s="1">
        <v>41985</v>
      </c>
      <c r="B2251">
        <v>11.65</v>
      </c>
    </row>
    <row r="2252" spans="1:2" x14ac:dyDescent="0.25">
      <c r="A2252" s="1">
        <v>41988</v>
      </c>
      <c r="B2252">
        <v>11.65</v>
      </c>
    </row>
    <row r="2253" spans="1:2" x14ac:dyDescent="0.25">
      <c r="A2253" s="1">
        <v>41989</v>
      </c>
      <c r="B2253">
        <v>11.65</v>
      </c>
    </row>
    <row r="2254" spans="1:2" x14ac:dyDescent="0.25">
      <c r="A2254" s="1">
        <v>41990</v>
      </c>
      <c r="B2254">
        <v>11.65</v>
      </c>
    </row>
    <row r="2255" spans="1:2" x14ac:dyDescent="0.25">
      <c r="A2255" s="1">
        <v>41991</v>
      </c>
      <c r="B2255">
        <v>11.65</v>
      </c>
    </row>
    <row r="2256" spans="1:2" x14ac:dyDescent="0.25">
      <c r="A2256" s="1">
        <v>41992</v>
      </c>
      <c r="B2256">
        <v>11.65</v>
      </c>
    </row>
    <row r="2257" spans="1:2" x14ac:dyDescent="0.25">
      <c r="A2257" s="1">
        <v>41995</v>
      </c>
      <c r="B2257">
        <v>11.65</v>
      </c>
    </row>
    <row r="2258" spans="1:2" x14ac:dyDescent="0.25">
      <c r="A2258" s="1">
        <v>41996</v>
      </c>
      <c r="B2258">
        <v>11.65</v>
      </c>
    </row>
    <row r="2259" spans="1:2" x14ac:dyDescent="0.25">
      <c r="A2259" s="1">
        <v>41997</v>
      </c>
      <c r="B2259">
        <v>11.65</v>
      </c>
    </row>
    <row r="2260" spans="1:2" x14ac:dyDescent="0.25">
      <c r="A2260" s="1">
        <v>41999</v>
      </c>
      <c r="B2260">
        <v>11.65</v>
      </c>
    </row>
    <row r="2261" spans="1:2" x14ac:dyDescent="0.25">
      <c r="A2261" s="1">
        <v>42002</v>
      </c>
      <c r="B2261">
        <v>11.65</v>
      </c>
    </row>
    <row r="2262" spans="1:2" x14ac:dyDescent="0.25">
      <c r="A2262" s="1">
        <v>42003</v>
      </c>
      <c r="B2262">
        <v>11.65</v>
      </c>
    </row>
    <row r="2263" spans="1:2" x14ac:dyDescent="0.25">
      <c r="A2263" s="1">
        <v>42004</v>
      </c>
      <c r="B2263">
        <v>11.65</v>
      </c>
    </row>
    <row r="2264" spans="1:2" x14ac:dyDescent="0.25">
      <c r="A2264" s="1">
        <v>42006</v>
      </c>
      <c r="B2264">
        <v>11.65</v>
      </c>
    </row>
    <row r="2265" spans="1:2" x14ac:dyDescent="0.25">
      <c r="A2265" s="1">
        <v>42009</v>
      </c>
      <c r="B2265">
        <v>11.65</v>
      </c>
    </row>
    <row r="2266" spans="1:2" x14ac:dyDescent="0.25">
      <c r="A2266" s="1">
        <v>42010</v>
      </c>
      <c r="B2266">
        <v>11.65</v>
      </c>
    </row>
    <row r="2267" spans="1:2" x14ac:dyDescent="0.25">
      <c r="A2267" s="1">
        <v>42011</v>
      </c>
      <c r="B2267">
        <v>11.65</v>
      </c>
    </row>
    <row r="2268" spans="1:2" x14ac:dyDescent="0.25">
      <c r="A2268" s="1">
        <v>42012</v>
      </c>
      <c r="B2268">
        <v>11.65</v>
      </c>
    </row>
    <row r="2269" spans="1:2" x14ac:dyDescent="0.25">
      <c r="A2269" s="1">
        <v>42013</v>
      </c>
      <c r="B2269">
        <v>11.65</v>
      </c>
    </row>
    <row r="2270" spans="1:2" x14ac:dyDescent="0.25">
      <c r="A2270" s="1">
        <v>42016</v>
      </c>
      <c r="B2270">
        <v>11.65</v>
      </c>
    </row>
    <row r="2271" spans="1:2" x14ac:dyDescent="0.25">
      <c r="A2271" s="1">
        <v>42017</v>
      </c>
      <c r="B2271">
        <v>11.65</v>
      </c>
    </row>
    <row r="2272" spans="1:2" x14ac:dyDescent="0.25">
      <c r="A2272" s="1">
        <v>42018</v>
      </c>
      <c r="B2272">
        <v>11.65</v>
      </c>
    </row>
    <row r="2273" spans="1:2" x14ac:dyDescent="0.25">
      <c r="A2273" s="1">
        <v>42019</v>
      </c>
      <c r="B2273">
        <v>11.65</v>
      </c>
    </row>
    <row r="2274" spans="1:2" x14ac:dyDescent="0.25">
      <c r="A2274" s="1">
        <v>42020</v>
      </c>
      <c r="B2274">
        <v>11.65</v>
      </c>
    </row>
    <row r="2275" spans="1:2" x14ac:dyDescent="0.25">
      <c r="A2275" s="1">
        <v>42023</v>
      </c>
      <c r="B2275">
        <v>11.65</v>
      </c>
    </row>
    <row r="2276" spans="1:2" x14ac:dyDescent="0.25">
      <c r="A2276" s="1">
        <v>42024</v>
      </c>
      <c r="B2276">
        <v>11.65</v>
      </c>
    </row>
    <row r="2277" spans="1:2" x14ac:dyDescent="0.25">
      <c r="A2277" s="1">
        <v>42025</v>
      </c>
      <c r="B2277">
        <v>11.65</v>
      </c>
    </row>
    <row r="2278" spans="1:2" x14ac:dyDescent="0.25">
      <c r="A2278" s="1">
        <v>42026</v>
      </c>
      <c r="B2278">
        <v>12.15</v>
      </c>
    </row>
    <row r="2279" spans="1:2" x14ac:dyDescent="0.25">
      <c r="A2279" s="1">
        <v>42027</v>
      </c>
      <c r="B2279">
        <v>12.15</v>
      </c>
    </row>
    <row r="2280" spans="1:2" x14ac:dyDescent="0.25">
      <c r="A2280" s="1">
        <v>42030</v>
      </c>
      <c r="B2280">
        <v>12.15</v>
      </c>
    </row>
    <row r="2281" spans="1:2" x14ac:dyDescent="0.25">
      <c r="A2281" s="1">
        <v>42031</v>
      </c>
      <c r="B2281">
        <v>12.15</v>
      </c>
    </row>
    <row r="2282" spans="1:2" x14ac:dyDescent="0.25">
      <c r="A2282" s="1">
        <v>42032</v>
      </c>
      <c r="B2282">
        <v>12.15</v>
      </c>
    </row>
    <row r="2283" spans="1:2" x14ac:dyDescent="0.25">
      <c r="A2283" s="1">
        <v>42033</v>
      </c>
      <c r="B2283">
        <v>12.15</v>
      </c>
    </row>
    <row r="2284" spans="1:2" x14ac:dyDescent="0.25">
      <c r="A2284" s="1">
        <v>42034</v>
      </c>
      <c r="B2284">
        <v>12.15</v>
      </c>
    </row>
    <row r="2285" spans="1:2" x14ac:dyDescent="0.25">
      <c r="A2285" s="1">
        <v>42037</v>
      </c>
      <c r="B2285">
        <v>12.15</v>
      </c>
    </row>
    <row r="2286" spans="1:2" x14ac:dyDescent="0.25">
      <c r="A2286" s="1">
        <v>42038</v>
      </c>
      <c r="B2286">
        <v>12.15</v>
      </c>
    </row>
    <row r="2287" spans="1:2" x14ac:dyDescent="0.25">
      <c r="A2287" s="1">
        <v>42039</v>
      </c>
      <c r="B2287">
        <v>12.15</v>
      </c>
    </row>
    <row r="2288" spans="1:2" x14ac:dyDescent="0.25">
      <c r="A2288" s="1">
        <v>42040</v>
      </c>
      <c r="B2288">
        <v>12.15</v>
      </c>
    </row>
    <row r="2289" spans="1:2" x14ac:dyDescent="0.25">
      <c r="A2289" s="1">
        <v>42041</v>
      </c>
      <c r="B2289">
        <v>12.15</v>
      </c>
    </row>
    <row r="2290" spans="1:2" x14ac:dyDescent="0.25">
      <c r="A2290" s="1">
        <v>42044</v>
      </c>
      <c r="B2290">
        <v>12.15</v>
      </c>
    </row>
    <row r="2291" spans="1:2" x14ac:dyDescent="0.25">
      <c r="A2291" s="1">
        <v>42045</v>
      </c>
      <c r="B2291">
        <v>12.15</v>
      </c>
    </row>
    <row r="2292" spans="1:2" x14ac:dyDescent="0.25">
      <c r="A2292" s="1">
        <v>42046</v>
      </c>
      <c r="B2292">
        <v>12.15</v>
      </c>
    </row>
    <row r="2293" spans="1:2" x14ac:dyDescent="0.25">
      <c r="A2293" s="1">
        <v>42047</v>
      </c>
      <c r="B2293">
        <v>12.15</v>
      </c>
    </row>
    <row r="2294" spans="1:2" x14ac:dyDescent="0.25">
      <c r="A2294" s="1">
        <v>42048</v>
      </c>
      <c r="B2294">
        <v>12.15</v>
      </c>
    </row>
    <row r="2295" spans="1:2" x14ac:dyDescent="0.25">
      <c r="A2295" s="1">
        <v>42053</v>
      </c>
      <c r="B2295">
        <v>12.15</v>
      </c>
    </row>
    <row r="2296" spans="1:2" x14ac:dyDescent="0.25">
      <c r="A2296" s="1">
        <v>42054</v>
      </c>
      <c r="B2296">
        <v>12.15</v>
      </c>
    </row>
    <row r="2297" spans="1:2" x14ac:dyDescent="0.25">
      <c r="A2297" s="1">
        <v>42055</v>
      </c>
      <c r="B2297">
        <v>12.15</v>
      </c>
    </row>
    <row r="2298" spans="1:2" x14ac:dyDescent="0.25">
      <c r="A2298" s="1">
        <v>42058</v>
      </c>
      <c r="B2298">
        <v>12.15</v>
      </c>
    </row>
    <row r="2299" spans="1:2" x14ac:dyDescent="0.25">
      <c r="A2299" s="1">
        <v>42059</v>
      </c>
      <c r="B2299">
        <v>12.15</v>
      </c>
    </row>
    <row r="2300" spans="1:2" x14ac:dyDescent="0.25">
      <c r="A2300" s="1">
        <v>42060</v>
      </c>
      <c r="B2300">
        <v>12.15</v>
      </c>
    </row>
    <row r="2301" spans="1:2" x14ac:dyDescent="0.25">
      <c r="A2301" s="1">
        <v>42061</v>
      </c>
      <c r="B2301">
        <v>12.15</v>
      </c>
    </row>
    <row r="2302" spans="1:2" x14ac:dyDescent="0.25">
      <c r="A2302" s="1">
        <v>42062</v>
      </c>
      <c r="B2302">
        <v>12.15</v>
      </c>
    </row>
    <row r="2303" spans="1:2" x14ac:dyDescent="0.25">
      <c r="A2303" s="1">
        <v>42065</v>
      </c>
      <c r="B2303">
        <v>12.15</v>
      </c>
    </row>
    <row r="2304" spans="1:2" x14ac:dyDescent="0.25">
      <c r="A2304" s="1">
        <v>42066</v>
      </c>
      <c r="B2304">
        <v>12.15</v>
      </c>
    </row>
    <row r="2305" spans="1:2" x14ac:dyDescent="0.25">
      <c r="A2305" s="1">
        <v>42067</v>
      </c>
      <c r="B2305">
        <v>12.15</v>
      </c>
    </row>
    <row r="2306" spans="1:2" x14ac:dyDescent="0.25">
      <c r="A2306" s="1">
        <v>42068</v>
      </c>
      <c r="B2306">
        <v>12.65</v>
      </c>
    </row>
    <row r="2307" spans="1:2" x14ac:dyDescent="0.25">
      <c r="A2307" s="1">
        <v>42069</v>
      </c>
      <c r="B2307">
        <v>12.65</v>
      </c>
    </row>
    <row r="2308" spans="1:2" x14ac:dyDescent="0.25">
      <c r="A2308" s="1">
        <v>42072</v>
      </c>
      <c r="B2308">
        <v>12.65</v>
      </c>
    </row>
    <row r="2309" spans="1:2" x14ac:dyDescent="0.25">
      <c r="A2309" s="1">
        <v>42073</v>
      </c>
      <c r="B2309">
        <v>12.65</v>
      </c>
    </row>
    <row r="2310" spans="1:2" x14ac:dyDescent="0.25">
      <c r="A2310" s="1">
        <v>42074</v>
      </c>
      <c r="B2310">
        <v>12.65</v>
      </c>
    </row>
    <row r="2311" spans="1:2" x14ac:dyDescent="0.25">
      <c r="A2311" s="1">
        <v>42075</v>
      </c>
      <c r="B2311">
        <v>12.65</v>
      </c>
    </row>
    <row r="2312" spans="1:2" x14ac:dyDescent="0.25">
      <c r="A2312" s="1">
        <v>42076</v>
      </c>
      <c r="B2312">
        <v>12.65</v>
      </c>
    </row>
    <row r="2313" spans="1:2" x14ac:dyDescent="0.25">
      <c r="A2313" s="1">
        <v>42079</v>
      </c>
      <c r="B2313">
        <v>12.65</v>
      </c>
    </row>
    <row r="2314" spans="1:2" x14ac:dyDescent="0.25">
      <c r="A2314" s="1">
        <v>42080</v>
      </c>
      <c r="B2314">
        <v>12.65</v>
      </c>
    </row>
    <row r="2315" spans="1:2" x14ac:dyDescent="0.25">
      <c r="A2315" s="1">
        <v>42081</v>
      </c>
      <c r="B2315">
        <v>12.65</v>
      </c>
    </row>
    <row r="2316" spans="1:2" x14ac:dyDescent="0.25">
      <c r="A2316" s="1">
        <v>42082</v>
      </c>
      <c r="B2316">
        <v>12.65</v>
      </c>
    </row>
    <row r="2317" spans="1:2" x14ac:dyDescent="0.25">
      <c r="A2317" s="1">
        <v>42083</v>
      </c>
      <c r="B2317">
        <v>12.65</v>
      </c>
    </row>
    <row r="2318" spans="1:2" x14ac:dyDescent="0.25">
      <c r="A2318" s="1">
        <v>42086</v>
      </c>
      <c r="B2318">
        <v>12.65</v>
      </c>
    </row>
    <row r="2319" spans="1:2" x14ac:dyDescent="0.25">
      <c r="A2319" s="1">
        <v>42087</v>
      </c>
      <c r="B2319">
        <v>12.65</v>
      </c>
    </row>
    <row r="2320" spans="1:2" x14ac:dyDescent="0.25">
      <c r="A2320" s="1">
        <v>42088</v>
      </c>
      <c r="B2320">
        <v>12.65</v>
      </c>
    </row>
    <row r="2321" spans="1:2" x14ac:dyDescent="0.25">
      <c r="A2321" s="1">
        <v>42089</v>
      </c>
      <c r="B2321">
        <v>12.65</v>
      </c>
    </row>
    <row r="2322" spans="1:2" x14ac:dyDescent="0.25">
      <c r="A2322" s="1">
        <v>42090</v>
      </c>
      <c r="B2322">
        <v>12.65</v>
      </c>
    </row>
    <row r="2323" spans="1:2" x14ac:dyDescent="0.25">
      <c r="A2323" s="1">
        <v>42093</v>
      </c>
      <c r="B2323">
        <v>12.65</v>
      </c>
    </row>
    <row r="2324" spans="1:2" x14ac:dyDescent="0.25">
      <c r="A2324" s="1">
        <v>42094</v>
      </c>
      <c r="B2324">
        <v>12.65</v>
      </c>
    </row>
    <row r="2325" spans="1:2" x14ac:dyDescent="0.25">
      <c r="A2325" s="1">
        <v>42095</v>
      </c>
      <c r="B2325">
        <v>12.65</v>
      </c>
    </row>
    <row r="2326" spans="1:2" x14ac:dyDescent="0.25">
      <c r="A2326" s="1">
        <v>42096</v>
      </c>
      <c r="B2326">
        <v>12.65</v>
      </c>
    </row>
    <row r="2327" spans="1:2" x14ac:dyDescent="0.25">
      <c r="A2327" s="1">
        <v>42100</v>
      </c>
      <c r="B2327">
        <v>12.65</v>
      </c>
    </row>
    <row r="2328" spans="1:2" x14ac:dyDescent="0.25">
      <c r="A2328" s="1">
        <v>42101</v>
      </c>
      <c r="B2328">
        <v>12.65</v>
      </c>
    </row>
    <row r="2329" spans="1:2" x14ac:dyDescent="0.25">
      <c r="A2329" s="1">
        <v>42102</v>
      </c>
      <c r="B2329">
        <v>12.65</v>
      </c>
    </row>
    <row r="2330" spans="1:2" x14ac:dyDescent="0.25">
      <c r="A2330" s="1">
        <v>42103</v>
      </c>
      <c r="B2330">
        <v>12.65</v>
      </c>
    </row>
    <row r="2331" spans="1:2" x14ac:dyDescent="0.25">
      <c r="A2331" s="1">
        <v>42104</v>
      </c>
      <c r="B2331">
        <v>12.65</v>
      </c>
    </row>
    <row r="2332" spans="1:2" x14ac:dyDescent="0.25">
      <c r="A2332" s="1">
        <v>42107</v>
      </c>
      <c r="B2332">
        <v>12.65</v>
      </c>
    </row>
    <row r="2333" spans="1:2" x14ac:dyDescent="0.25">
      <c r="A2333" s="1">
        <v>42108</v>
      </c>
      <c r="B2333">
        <v>12.65</v>
      </c>
    </row>
    <row r="2334" spans="1:2" x14ac:dyDescent="0.25">
      <c r="A2334" s="1">
        <v>42109</v>
      </c>
      <c r="B2334">
        <v>12.65</v>
      </c>
    </row>
    <row r="2335" spans="1:2" x14ac:dyDescent="0.25">
      <c r="A2335" s="1">
        <v>42110</v>
      </c>
      <c r="B2335">
        <v>12.65</v>
      </c>
    </row>
    <row r="2336" spans="1:2" x14ac:dyDescent="0.25">
      <c r="A2336" s="1">
        <v>42111</v>
      </c>
      <c r="B2336">
        <v>12.65</v>
      </c>
    </row>
    <row r="2337" spans="1:2" x14ac:dyDescent="0.25">
      <c r="A2337" s="1">
        <v>42114</v>
      </c>
      <c r="B2337">
        <v>12.65</v>
      </c>
    </row>
    <row r="2338" spans="1:2" x14ac:dyDescent="0.25">
      <c r="A2338" s="1">
        <v>42116</v>
      </c>
      <c r="B2338">
        <v>12.65</v>
      </c>
    </row>
    <row r="2339" spans="1:2" x14ac:dyDescent="0.25">
      <c r="A2339" s="1">
        <v>42117</v>
      </c>
      <c r="B2339">
        <v>12.65</v>
      </c>
    </row>
    <row r="2340" spans="1:2" x14ac:dyDescent="0.25">
      <c r="A2340" s="1">
        <v>42118</v>
      </c>
      <c r="B2340">
        <v>12.65</v>
      </c>
    </row>
    <row r="2341" spans="1:2" x14ac:dyDescent="0.25">
      <c r="A2341" s="1">
        <v>42121</v>
      </c>
      <c r="B2341">
        <v>12.66</v>
      </c>
    </row>
    <row r="2342" spans="1:2" x14ac:dyDescent="0.25">
      <c r="A2342" s="1">
        <v>42122</v>
      </c>
      <c r="B2342">
        <v>12.67</v>
      </c>
    </row>
    <row r="2343" spans="1:2" x14ac:dyDescent="0.25">
      <c r="A2343" s="1">
        <v>42123</v>
      </c>
      <c r="B2343">
        <v>12.67</v>
      </c>
    </row>
    <row r="2344" spans="1:2" x14ac:dyDescent="0.25">
      <c r="A2344" s="1">
        <v>42124</v>
      </c>
      <c r="B2344">
        <v>13.15</v>
      </c>
    </row>
    <row r="2345" spans="1:2" x14ac:dyDescent="0.25">
      <c r="A2345" s="1">
        <v>42128</v>
      </c>
      <c r="B2345">
        <v>13.15</v>
      </c>
    </row>
    <row r="2346" spans="1:2" x14ac:dyDescent="0.25">
      <c r="A2346" s="1">
        <v>42129</v>
      </c>
      <c r="B2346">
        <v>13.15</v>
      </c>
    </row>
    <row r="2347" spans="1:2" x14ac:dyDescent="0.25">
      <c r="A2347" s="1">
        <v>42130</v>
      </c>
      <c r="B2347">
        <v>13.15</v>
      </c>
    </row>
    <row r="2348" spans="1:2" x14ac:dyDescent="0.25">
      <c r="A2348" s="1">
        <v>42131</v>
      </c>
      <c r="B2348">
        <v>13.15</v>
      </c>
    </row>
    <row r="2349" spans="1:2" x14ac:dyDescent="0.25">
      <c r="A2349" s="1">
        <v>42132</v>
      </c>
      <c r="B2349">
        <v>13.15</v>
      </c>
    </row>
    <row r="2350" spans="1:2" x14ac:dyDescent="0.25">
      <c r="A2350" s="1">
        <v>42135</v>
      </c>
      <c r="B2350">
        <v>13.15</v>
      </c>
    </row>
    <row r="2351" spans="1:2" x14ac:dyDescent="0.25">
      <c r="A2351" s="1">
        <v>42136</v>
      </c>
      <c r="B2351">
        <v>13.15</v>
      </c>
    </row>
    <row r="2352" spans="1:2" x14ac:dyDescent="0.25">
      <c r="A2352" s="1">
        <v>42137</v>
      </c>
      <c r="B2352">
        <v>13.15</v>
      </c>
    </row>
    <row r="2353" spans="1:2" x14ac:dyDescent="0.25">
      <c r="A2353" s="1">
        <v>42138</v>
      </c>
      <c r="B2353">
        <v>13.15</v>
      </c>
    </row>
    <row r="2354" spans="1:2" x14ac:dyDescent="0.25">
      <c r="A2354" s="1">
        <v>42139</v>
      </c>
      <c r="B2354">
        <v>13.15</v>
      </c>
    </row>
    <row r="2355" spans="1:2" x14ac:dyDescent="0.25">
      <c r="A2355" s="1">
        <v>42142</v>
      </c>
      <c r="B2355">
        <v>13.15</v>
      </c>
    </row>
    <row r="2356" spans="1:2" x14ac:dyDescent="0.25">
      <c r="A2356" s="1">
        <v>42143</v>
      </c>
      <c r="B2356">
        <v>13.15</v>
      </c>
    </row>
    <row r="2357" spans="1:2" x14ac:dyDescent="0.25">
      <c r="A2357" s="1">
        <v>42144</v>
      </c>
      <c r="B2357">
        <v>13.15</v>
      </c>
    </row>
    <row r="2358" spans="1:2" x14ac:dyDescent="0.25">
      <c r="A2358" s="1">
        <v>42145</v>
      </c>
      <c r="B2358">
        <v>13.15</v>
      </c>
    </row>
    <row r="2359" spans="1:2" x14ac:dyDescent="0.25">
      <c r="A2359" s="1">
        <v>42146</v>
      </c>
      <c r="B2359">
        <v>13.15</v>
      </c>
    </row>
    <row r="2360" spans="1:2" x14ac:dyDescent="0.25">
      <c r="A2360" s="1">
        <v>42149</v>
      </c>
      <c r="B2360">
        <v>13.15</v>
      </c>
    </row>
    <row r="2361" spans="1:2" x14ac:dyDescent="0.25">
      <c r="A2361" s="1">
        <v>42150</v>
      </c>
      <c r="B2361">
        <v>13.15</v>
      </c>
    </row>
    <row r="2362" spans="1:2" x14ac:dyDescent="0.25">
      <c r="A2362" s="1">
        <v>42151</v>
      </c>
      <c r="B2362">
        <v>13.15</v>
      </c>
    </row>
    <row r="2363" spans="1:2" x14ac:dyDescent="0.25">
      <c r="A2363" s="1">
        <v>42152</v>
      </c>
      <c r="B2363">
        <v>13.15</v>
      </c>
    </row>
    <row r="2364" spans="1:2" x14ac:dyDescent="0.25">
      <c r="A2364" s="1">
        <v>42153</v>
      </c>
      <c r="B2364">
        <v>13.15</v>
      </c>
    </row>
    <row r="2365" spans="1:2" x14ac:dyDescent="0.25">
      <c r="A2365" s="1">
        <v>42156</v>
      </c>
      <c r="B2365">
        <v>13.15</v>
      </c>
    </row>
    <row r="2366" spans="1:2" x14ac:dyDescent="0.25">
      <c r="A2366" s="1">
        <v>42157</v>
      </c>
      <c r="B2366">
        <v>13.15</v>
      </c>
    </row>
    <row r="2367" spans="1:2" x14ac:dyDescent="0.25">
      <c r="A2367" s="1">
        <v>42158</v>
      </c>
      <c r="B2367">
        <v>13.15</v>
      </c>
    </row>
    <row r="2368" spans="1:2" x14ac:dyDescent="0.25">
      <c r="A2368" s="1">
        <v>42160</v>
      </c>
      <c r="B2368">
        <v>13.65</v>
      </c>
    </row>
    <row r="2369" spans="1:2" x14ac:dyDescent="0.25">
      <c r="A2369" s="1">
        <v>42163</v>
      </c>
      <c r="B2369">
        <v>13.65</v>
      </c>
    </row>
    <row r="2370" spans="1:2" x14ac:dyDescent="0.25">
      <c r="A2370" s="1">
        <v>42164</v>
      </c>
      <c r="B2370">
        <v>13.65</v>
      </c>
    </row>
    <row r="2371" spans="1:2" x14ac:dyDescent="0.25">
      <c r="A2371" s="1">
        <v>42165</v>
      </c>
      <c r="B2371">
        <v>13.65</v>
      </c>
    </row>
    <row r="2372" spans="1:2" x14ac:dyDescent="0.25">
      <c r="A2372" s="1">
        <v>42166</v>
      </c>
      <c r="B2372">
        <v>13.65</v>
      </c>
    </row>
    <row r="2373" spans="1:2" x14ac:dyDescent="0.25">
      <c r="A2373" s="1">
        <v>42167</v>
      </c>
      <c r="B2373">
        <v>13.65</v>
      </c>
    </row>
    <row r="2374" spans="1:2" x14ac:dyDescent="0.25">
      <c r="A2374" s="1">
        <v>42170</v>
      </c>
      <c r="B2374">
        <v>13.65</v>
      </c>
    </row>
    <row r="2375" spans="1:2" x14ac:dyDescent="0.25">
      <c r="A2375" s="1">
        <v>42171</v>
      </c>
      <c r="B2375">
        <v>13.65</v>
      </c>
    </row>
    <row r="2376" spans="1:2" x14ac:dyDescent="0.25">
      <c r="A2376" s="1">
        <v>42172</v>
      </c>
      <c r="B2376">
        <v>13.65</v>
      </c>
    </row>
    <row r="2377" spans="1:2" x14ac:dyDescent="0.25">
      <c r="A2377" s="1">
        <v>42173</v>
      </c>
      <c r="B2377">
        <v>13.65</v>
      </c>
    </row>
    <row r="2378" spans="1:2" x14ac:dyDescent="0.25">
      <c r="A2378" s="1">
        <v>42174</v>
      </c>
      <c r="B2378">
        <v>13.65</v>
      </c>
    </row>
    <row r="2379" spans="1:2" x14ac:dyDescent="0.25">
      <c r="A2379" s="1">
        <v>42177</v>
      </c>
      <c r="B2379">
        <v>13.65</v>
      </c>
    </row>
    <row r="2380" spans="1:2" x14ac:dyDescent="0.25">
      <c r="A2380" s="1">
        <v>42178</v>
      </c>
      <c r="B2380">
        <v>13.65</v>
      </c>
    </row>
    <row r="2381" spans="1:2" x14ac:dyDescent="0.25">
      <c r="A2381" s="1">
        <v>42179</v>
      </c>
      <c r="B2381">
        <v>13.65</v>
      </c>
    </row>
    <row r="2382" spans="1:2" x14ac:dyDescent="0.25">
      <c r="A2382" s="1">
        <v>42180</v>
      </c>
      <c r="B2382">
        <v>13.65</v>
      </c>
    </row>
    <row r="2383" spans="1:2" x14ac:dyDescent="0.25">
      <c r="A2383" s="1">
        <v>42181</v>
      </c>
      <c r="B2383">
        <v>13.65</v>
      </c>
    </row>
    <row r="2384" spans="1:2" x14ac:dyDescent="0.25">
      <c r="A2384" s="1">
        <v>42184</v>
      </c>
      <c r="B2384">
        <v>13.65</v>
      </c>
    </row>
    <row r="2385" spans="1:2" x14ac:dyDescent="0.25">
      <c r="A2385" s="1">
        <v>42185</v>
      </c>
      <c r="B2385">
        <v>13.65</v>
      </c>
    </row>
    <row r="2386" spans="1:2" x14ac:dyDescent="0.25">
      <c r="A2386" s="1">
        <v>42186</v>
      </c>
      <c r="B2386">
        <v>13.65</v>
      </c>
    </row>
    <row r="2387" spans="1:2" x14ac:dyDescent="0.25">
      <c r="A2387" s="1">
        <v>42187</v>
      </c>
      <c r="B2387">
        <v>13.65</v>
      </c>
    </row>
    <row r="2388" spans="1:2" x14ac:dyDescent="0.25">
      <c r="A2388" s="1">
        <v>42188</v>
      </c>
      <c r="B2388">
        <v>13.65</v>
      </c>
    </row>
    <row r="2389" spans="1:2" x14ac:dyDescent="0.25">
      <c r="A2389" s="1">
        <v>42191</v>
      </c>
      <c r="B2389">
        <v>13.65</v>
      </c>
    </row>
    <row r="2390" spans="1:2" x14ac:dyDescent="0.25">
      <c r="A2390" s="1">
        <v>42192</v>
      </c>
      <c r="B2390">
        <v>13.65</v>
      </c>
    </row>
    <row r="2391" spans="1:2" x14ac:dyDescent="0.25">
      <c r="A2391" s="1">
        <v>42193</v>
      </c>
      <c r="B2391">
        <v>13.65</v>
      </c>
    </row>
    <row r="2392" spans="1:2" x14ac:dyDescent="0.25">
      <c r="A2392" s="1">
        <v>42194</v>
      </c>
      <c r="B2392">
        <v>13.65</v>
      </c>
    </row>
    <row r="2393" spans="1:2" x14ac:dyDescent="0.25">
      <c r="A2393" s="1">
        <v>42195</v>
      </c>
      <c r="B2393">
        <v>13.65</v>
      </c>
    </row>
    <row r="2394" spans="1:2" x14ac:dyDescent="0.25">
      <c r="A2394" s="1">
        <v>42198</v>
      </c>
      <c r="B2394">
        <v>13.65</v>
      </c>
    </row>
    <row r="2395" spans="1:2" x14ac:dyDescent="0.25">
      <c r="A2395" s="1">
        <v>42199</v>
      </c>
      <c r="B2395">
        <v>13.65</v>
      </c>
    </row>
    <row r="2396" spans="1:2" x14ac:dyDescent="0.25">
      <c r="A2396" s="1">
        <v>42200</v>
      </c>
      <c r="B2396">
        <v>13.65</v>
      </c>
    </row>
    <row r="2397" spans="1:2" x14ac:dyDescent="0.25">
      <c r="A2397" s="1">
        <v>42201</v>
      </c>
      <c r="B2397">
        <v>13.65</v>
      </c>
    </row>
    <row r="2398" spans="1:2" x14ac:dyDescent="0.25">
      <c r="A2398" s="1">
        <v>42202</v>
      </c>
      <c r="B2398">
        <v>13.65</v>
      </c>
    </row>
    <row r="2399" spans="1:2" x14ac:dyDescent="0.25">
      <c r="A2399" s="1">
        <v>42205</v>
      </c>
      <c r="B2399">
        <v>13.65</v>
      </c>
    </row>
    <row r="2400" spans="1:2" x14ac:dyDescent="0.25">
      <c r="A2400" s="1">
        <v>42206</v>
      </c>
      <c r="B2400">
        <v>13.65</v>
      </c>
    </row>
    <row r="2401" spans="1:2" x14ac:dyDescent="0.25">
      <c r="A2401" s="1">
        <v>42207</v>
      </c>
      <c r="B2401">
        <v>13.65</v>
      </c>
    </row>
    <row r="2402" spans="1:2" x14ac:dyDescent="0.25">
      <c r="A2402" s="1">
        <v>42208</v>
      </c>
      <c r="B2402">
        <v>13.65</v>
      </c>
    </row>
    <row r="2403" spans="1:2" x14ac:dyDescent="0.25">
      <c r="A2403" s="1">
        <v>42209</v>
      </c>
      <c r="B2403">
        <v>13.65</v>
      </c>
    </row>
    <row r="2404" spans="1:2" x14ac:dyDescent="0.25">
      <c r="A2404" s="1">
        <v>42212</v>
      </c>
      <c r="B2404">
        <v>13.65</v>
      </c>
    </row>
    <row r="2405" spans="1:2" x14ac:dyDescent="0.25">
      <c r="A2405" s="1">
        <v>42213</v>
      </c>
      <c r="B2405">
        <v>13.65</v>
      </c>
    </row>
    <row r="2406" spans="1:2" x14ac:dyDescent="0.25">
      <c r="A2406" s="1">
        <v>42214</v>
      </c>
      <c r="B2406">
        <v>13.65</v>
      </c>
    </row>
    <row r="2407" spans="1:2" x14ac:dyDescent="0.25">
      <c r="A2407" s="1">
        <v>42215</v>
      </c>
      <c r="B2407">
        <v>14.15</v>
      </c>
    </row>
    <row r="2408" spans="1:2" x14ac:dyDescent="0.25">
      <c r="A2408" s="1">
        <v>42216</v>
      </c>
      <c r="B2408">
        <v>14.15</v>
      </c>
    </row>
    <row r="2409" spans="1:2" x14ac:dyDescent="0.25">
      <c r="A2409" s="1">
        <v>42219</v>
      </c>
      <c r="B2409">
        <v>14.15</v>
      </c>
    </row>
    <row r="2410" spans="1:2" x14ac:dyDescent="0.25">
      <c r="A2410" s="1">
        <v>42220</v>
      </c>
      <c r="B2410">
        <v>14.15</v>
      </c>
    </row>
    <row r="2411" spans="1:2" x14ac:dyDescent="0.25">
      <c r="A2411" s="1">
        <v>42221</v>
      </c>
      <c r="B2411">
        <v>14.15</v>
      </c>
    </row>
    <row r="2412" spans="1:2" x14ac:dyDescent="0.25">
      <c r="A2412" s="1">
        <v>42222</v>
      </c>
      <c r="B2412">
        <v>14.15</v>
      </c>
    </row>
    <row r="2413" spans="1:2" x14ac:dyDescent="0.25">
      <c r="A2413" s="1">
        <v>42223</v>
      </c>
      <c r="B2413">
        <v>14.15</v>
      </c>
    </row>
    <row r="2414" spans="1:2" x14ac:dyDescent="0.25">
      <c r="A2414" s="1">
        <v>42226</v>
      </c>
      <c r="B2414">
        <v>14.15</v>
      </c>
    </row>
    <row r="2415" spans="1:2" x14ac:dyDescent="0.25">
      <c r="A2415" s="1">
        <v>42227</v>
      </c>
      <c r="B2415">
        <v>14.15</v>
      </c>
    </row>
    <row r="2416" spans="1:2" x14ac:dyDescent="0.25">
      <c r="A2416" s="1">
        <v>42228</v>
      </c>
      <c r="B2416">
        <v>14.15</v>
      </c>
    </row>
    <row r="2417" spans="1:2" x14ac:dyDescent="0.25">
      <c r="A2417" s="1">
        <v>42229</v>
      </c>
      <c r="B2417">
        <v>14.15</v>
      </c>
    </row>
    <row r="2418" spans="1:2" x14ac:dyDescent="0.25">
      <c r="A2418" s="1">
        <v>42230</v>
      </c>
      <c r="B2418">
        <v>14.15</v>
      </c>
    </row>
    <row r="2419" spans="1:2" x14ac:dyDescent="0.25">
      <c r="A2419" s="1">
        <v>42233</v>
      </c>
      <c r="B2419">
        <v>14.15</v>
      </c>
    </row>
    <row r="2420" spans="1:2" x14ac:dyDescent="0.25">
      <c r="A2420" s="1">
        <v>42234</v>
      </c>
      <c r="B2420">
        <v>14.15</v>
      </c>
    </row>
    <row r="2421" spans="1:2" x14ac:dyDescent="0.25">
      <c r="A2421" s="1">
        <v>42235</v>
      </c>
      <c r="B2421">
        <v>14.15</v>
      </c>
    </row>
    <row r="2422" spans="1:2" x14ac:dyDescent="0.25">
      <c r="A2422" s="1">
        <v>42236</v>
      </c>
      <c r="B2422">
        <v>14.15</v>
      </c>
    </row>
    <row r="2423" spans="1:2" x14ac:dyDescent="0.25">
      <c r="A2423" s="1">
        <v>42237</v>
      </c>
      <c r="B2423">
        <v>14.15</v>
      </c>
    </row>
    <row r="2424" spans="1:2" x14ac:dyDescent="0.25">
      <c r="A2424" s="1">
        <v>42240</v>
      </c>
      <c r="B2424">
        <v>14.15</v>
      </c>
    </row>
    <row r="2425" spans="1:2" x14ac:dyDescent="0.25">
      <c r="A2425" s="1">
        <v>42241</v>
      </c>
      <c r="B2425">
        <v>14.15</v>
      </c>
    </row>
    <row r="2426" spans="1:2" x14ac:dyDescent="0.25">
      <c r="A2426" s="1">
        <v>42242</v>
      </c>
      <c r="B2426">
        <v>14.15</v>
      </c>
    </row>
    <row r="2427" spans="1:2" x14ac:dyDescent="0.25">
      <c r="A2427" s="1">
        <v>42243</v>
      </c>
      <c r="B2427">
        <v>14.15</v>
      </c>
    </row>
    <row r="2428" spans="1:2" x14ac:dyDescent="0.25">
      <c r="A2428" s="1">
        <v>42244</v>
      </c>
      <c r="B2428">
        <v>14.15</v>
      </c>
    </row>
    <row r="2429" spans="1:2" x14ac:dyDescent="0.25">
      <c r="A2429" s="1">
        <v>42247</v>
      </c>
      <c r="B2429">
        <v>14.15</v>
      </c>
    </row>
    <row r="2430" spans="1:2" x14ac:dyDescent="0.25">
      <c r="A2430" s="1">
        <v>42248</v>
      </c>
      <c r="B2430">
        <v>14.15</v>
      </c>
    </row>
    <row r="2431" spans="1:2" x14ac:dyDescent="0.25">
      <c r="A2431" s="1">
        <v>42249</v>
      </c>
      <c r="B2431">
        <v>14.15</v>
      </c>
    </row>
    <row r="2432" spans="1:2" x14ac:dyDescent="0.25">
      <c r="A2432" s="1">
        <v>42250</v>
      </c>
      <c r="B2432">
        <v>14.15</v>
      </c>
    </row>
    <row r="2433" spans="1:2" x14ac:dyDescent="0.25">
      <c r="A2433" s="1">
        <v>42251</v>
      </c>
      <c r="B2433">
        <v>14.15</v>
      </c>
    </row>
    <row r="2434" spans="1:2" x14ac:dyDescent="0.25">
      <c r="A2434" s="1">
        <v>42255</v>
      </c>
      <c r="B2434">
        <v>14.15</v>
      </c>
    </row>
    <row r="2435" spans="1:2" x14ac:dyDescent="0.25">
      <c r="A2435" s="1">
        <v>42256</v>
      </c>
      <c r="B2435">
        <v>14.15</v>
      </c>
    </row>
    <row r="2436" spans="1:2" x14ac:dyDescent="0.25">
      <c r="A2436" s="1">
        <v>42257</v>
      </c>
      <c r="B2436">
        <v>14.15</v>
      </c>
    </row>
    <row r="2437" spans="1:2" x14ac:dyDescent="0.25">
      <c r="A2437" s="1">
        <v>42258</v>
      </c>
      <c r="B2437">
        <v>14.15</v>
      </c>
    </row>
    <row r="2438" spans="1:2" x14ac:dyDescent="0.25">
      <c r="A2438" s="1">
        <v>42261</v>
      </c>
      <c r="B2438">
        <v>14.15</v>
      </c>
    </row>
    <row r="2439" spans="1:2" x14ac:dyDescent="0.25">
      <c r="A2439" s="1">
        <v>42262</v>
      </c>
      <c r="B2439">
        <v>14.15</v>
      </c>
    </row>
    <row r="2440" spans="1:2" x14ac:dyDescent="0.25">
      <c r="A2440" s="1">
        <v>42263</v>
      </c>
      <c r="B2440">
        <v>14.15</v>
      </c>
    </row>
    <row r="2441" spans="1:2" x14ac:dyDescent="0.25">
      <c r="A2441" s="1">
        <v>42264</v>
      </c>
      <c r="B2441">
        <v>14.15</v>
      </c>
    </row>
    <row r="2442" spans="1:2" x14ac:dyDescent="0.25">
      <c r="A2442" s="1">
        <v>42265</v>
      </c>
      <c r="B2442">
        <v>14.15</v>
      </c>
    </row>
    <row r="2443" spans="1:2" x14ac:dyDescent="0.25">
      <c r="A2443" s="1">
        <v>42268</v>
      </c>
      <c r="B2443">
        <v>14.15</v>
      </c>
    </row>
    <row r="2444" spans="1:2" x14ac:dyDescent="0.25">
      <c r="A2444" s="1">
        <v>42269</v>
      </c>
      <c r="B2444">
        <v>14.15</v>
      </c>
    </row>
    <row r="2445" spans="1:2" x14ac:dyDescent="0.25">
      <c r="A2445" s="1">
        <v>42270</v>
      </c>
      <c r="B2445">
        <v>14.15</v>
      </c>
    </row>
    <row r="2446" spans="1:2" x14ac:dyDescent="0.25">
      <c r="A2446" s="1">
        <v>42271</v>
      </c>
      <c r="B2446">
        <v>14.15</v>
      </c>
    </row>
    <row r="2447" spans="1:2" x14ac:dyDescent="0.25">
      <c r="A2447" s="1">
        <v>42272</v>
      </c>
      <c r="B2447">
        <v>14.15</v>
      </c>
    </row>
    <row r="2448" spans="1:2" x14ac:dyDescent="0.25">
      <c r="A2448" s="1">
        <v>42275</v>
      </c>
      <c r="B2448">
        <v>14.15</v>
      </c>
    </row>
    <row r="2449" spans="1:2" x14ac:dyDescent="0.25">
      <c r="A2449" s="1">
        <v>42276</v>
      </c>
      <c r="B2449">
        <v>14.15</v>
      </c>
    </row>
    <row r="2450" spans="1:2" x14ac:dyDescent="0.25">
      <c r="A2450" s="1">
        <v>42277</v>
      </c>
      <c r="B2450">
        <v>14.15</v>
      </c>
    </row>
    <row r="2451" spans="1:2" x14ac:dyDescent="0.25">
      <c r="A2451" s="1">
        <v>42278</v>
      </c>
      <c r="B2451">
        <v>14.15</v>
      </c>
    </row>
    <row r="2452" spans="1:2" x14ac:dyDescent="0.25">
      <c r="A2452" s="1">
        <v>42279</v>
      </c>
      <c r="B2452">
        <v>14.15</v>
      </c>
    </row>
    <row r="2453" spans="1:2" x14ac:dyDescent="0.25">
      <c r="A2453" s="1">
        <v>42282</v>
      </c>
      <c r="B2453">
        <v>14.15</v>
      </c>
    </row>
    <row r="2454" spans="1:2" x14ac:dyDescent="0.25">
      <c r="A2454" s="1">
        <v>42283</v>
      </c>
      <c r="B2454">
        <v>14.15</v>
      </c>
    </row>
    <row r="2455" spans="1:2" x14ac:dyDescent="0.25">
      <c r="A2455" s="1">
        <v>42284</v>
      </c>
      <c r="B2455">
        <v>14.15</v>
      </c>
    </row>
    <row r="2456" spans="1:2" x14ac:dyDescent="0.25">
      <c r="A2456" s="1">
        <v>42285</v>
      </c>
      <c r="B2456">
        <v>14.15</v>
      </c>
    </row>
    <row r="2457" spans="1:2" x14ac:dyDescent="0.25">
      <c r="A2457" s="1">
        <v>42286</v>
      </c>
      <c r="B2457">
        <v>14.15</v>
      </c>
    </row>
    <row r="2458" spans="1:2" x14ac:dyDescent="0.25">
      <c r="A2458" s="1">
        <v>42290</v>
      </c>
      <c r="B2458">
        <v>14.15</v>
      </c>
    </row>
    <row r="2459" spans="1:2" x14ac:dyDescent="0.25">
      <c r="A2459" s="1">
        <v>42291</v>
      </c>
      <c r="B2459">
        <v>14.15</v>
      </c>
    </row>
    <row r="2460" spans="1:2" x14ac:dyDescent="0.25">
      <c r="A2460" s="1">
        <v>42292</v>
      </c>
      <c r="B2460">
        <v>14.15</v>
      </c>
    </row>
    <row r="2461" spans="1:2" x14ac:dyDescent="0.25">
      <c r="A2461" s="1">
        <v>42293</v>
      </c>
      <c r="B2461">
        <v>14.15</v>
      </c>
    </row>
    <row r="2462" spans="1:2" x14ac:dyDescent="0.25">
      <c r="A2462" s="1">
        <v>42296</v>
      </c>
      <c r="B2462">
        <v>14.15</v>
      </c>
    </row>
    <row r="2463" spans="1:2" x14ac:dyDescent="0.25">
      <c r="A2463" s="1">
        <v>42297</v>
      </c>
      <c r="B2463">
        <v>14.15</v>
      </c>
    </row>
    <row r="2464" spans="1:2" x14ac:dyDescent="0.25">
      <c r="A2464" s="1">
        <v>42298</v>
      </c>
      <c r="B2464">
        <v>14.15</v>
      </c>
    </row>
    <row r="2465" spans="1:2" x14ac:dyDescent="0.25">
      <c r="A2465" s="1">
        <v>42299</v>
      </c>
      <c r="B2465">
        <v>14.15</v>
      </c>
    </row>
    <row r="2466" spans="1:2" x14ac:dyDescent="0.25">
      <c r="A2466" s="1">
        <v>42300</v>
      </c>
      <c r="B2466">
        <v>14.15</v>
      </c>
    </row>
    <row r="2467" spans="1:2" x14ac:dyDescent="0.25">
      <c r="A2467" s="1">
        <v>42303</v>
      </c>
      <c r="B2467">
        <v>14.15</v>
      </c>
    </row>
    <row r="2468" spans="1:2" x14ac:dyDescent="0.25">
      <c r="A2468" s="1">
        <v>42304</v>
      </c>
      <c r="B2468">
        <v>14.15</v>
      </c>
    </row>
    <row r="2469" spans="1:2" x14ac:dyDescent="0.25">
      <c r="A2469" s="1">
        <v>42305</v>
      </c>
      <c r="B2469">
        <v>14.15</v>
      </c>
    </row>
    <row r="2470" spans="1:2" x14ac:dyDescent="0.25">
      <c r="A2470" s="1">
        <v>42306</v>
      </c>
      <c r="B2470">
        <v>14.15</v>
      </c>
    </row>
    <row r="2471" spans="1:2" x14ac:dyDescent="0.25">
      <c r="A2471" s="1">
        <v>42307</v>
      </c>
      <c r="B2471">
        <v>14.15</v>
      </c>
    </row>
    <row r="2472" spans="1:2" x14ac:dyDescent="0.25">
      <c r="A2472" s="1">
        <v>42311</v>
      </c>
      <c r="B2472">
        <v>14.15</v>
      </c>
    </row>
    <row r="2473" spans="1:2" x14ac:dyDescent="0.25">
      <c r="A2473" s="1">
        <v>42312</v>
      </c>
      <c r="B2473">
        <v>14.15</v>
      </c>
    </row>
    <row r="2474" spans="1:2" x14ac:dyDescent="0.25">
      <c r="A2474" s="1">
        <v>42313</v>
      </c>
      <c r="B2474">
        <v>14.15</v>
      </c>
    </row>
    <row r="2475" spans="1:2" x14ac:dyDescent="0.25">
      <c r="A2475" s="1">
        <v>42314</v>
      </c>
      <c r="B2475">
        <v>14.15</v>
      </c>
    </row>
    <row r="2476" spans="1:2" x14ac:dyDescent="0.25">
      <c r="A2476" s="1">
        <v>42317</v>
      </c>
      <c r="B2476">
        <v>14.15</v>
      </c>
    </row>
    <row r="2477" spans="1:2" x14ac:dyDescent="0.25">
      <c r="A2477" s="1">
        <v>42318</v>
      </c>
      <c r="B2477">
        <v>14.15</v>
      </c>
    </row>
    <row r="2478" spans="1:2" x14ac:dyDescent="0.25">
      <c r="A2478" s="1">
        <v>42319</v>
      </c>
      <c r="B2478">
        <v>14.15</v>
      </c>
    </row>
    <row r="2479" spans="1:2" x14ac:dyDescent="0.25">
      <c r="A2479" s="1">
        <v>42320</v>
      </c>
      <c r="B2479">
        <v>14.15</v>
      </c>
    </row>
    <row r="2480" spans="1:2" x14ac:dyDescent="0.25">
      <c r="A2480" s="1">
        <v>42321</v>
      </c>
      <c r="B2480">
        <v>14.15</v>
      </c>
    </row>
    <row r="2481" spans="1:2" x14ac:dyDescent="0.25">
      <c r="A2481" s="1">
        <v>42324</v>
      </c>
      <c r="B2481">
        <v>14.15</v>
      </c>
    </row>
    <row r="2482" spans="1:2" x14ac:dyDescent="0.25">
      <c r="A2482" s="1">
        <v>42325</v>
      </c>
      <c r="B2482">
        <v>14.15</v>
      </c>
    </row>
    <row r="2483" spans="1:2" x14ac:dyDescent="0.25">
      <c r="A2483" s="1">
        <v>42326</v>
      </c>
      <c r="B2483">
        <v>14.15</v>
      </c>
    </row>
    <row r="2484" spans="1:2" x14ac:dyDescent="0.25">
      <c r="A2484" s="1">
        <v>42327</v>
      </c>
      <c r="B2484">
        <v>14.15</v>
      </c>
    </row>
    <row r="2485" spans="1:2" x14ac:dyDescent="0.25">
      <c r="A2485" s="1">
        <v>42328</v>
      </c>
      <c r="B2485">
        <v>14.15</v>
      </c>
    </row>
    <row r="2486" spans="1:2" x14ac:dyDescent="0.25">
      <c r="A2486" s="1">
        <v>42331</v>
      </c>
      <c r="B2486">
        <v>14.15</v>
      </c>
    </row>
    <row r="2487" spans="1:2" x14ac:dyDescent="0.25">
      <c r="A2487" s="1">
        <v>42332</v>
      </c>
      <c r="B2487">
        <v>14.15</v>
      </c>
    </row>
    <row r="2488" spans="1:2" x14ac:dyDescent="0.25">
      <c r="A2488" s="1">
        <v>42333</v>
      </c>
      <c r="B2488">
        <v>14.15</v>
      </c>
    </row>
    <row r="2489" spans="1:2" x14ac:dyDescent="0.25">
      <c r="A2489" s="1">
        <v>42334</v>
      </c>
      <c r="B2489">
        <v>14.15</v>
      </c>
    </row>
    <row r="2490" spans="1:2" x14ac:dyDescent="0.25">
      <c r="A2490" s="1">
        <v>42335</v>
      </c>
      <c r="B2490">
        <v>14.15</v>
      </c>
    </row>
    <row r="2491" spans="1:2" x14ac:dyDescent="0.25">
      <c r="A2491" s="1">
        <v>42338</v>
      </c>
      <c r="B2491">
        <v>14.15</v>
      </c>
    </row>
    <row r="2492" spans="1:2" x14ac:dyDescent="0.25">
      <c r="A2492" s="1">
        <v>42339</v>
      </c>
      <c r="B2492">
        <v>14.15</v>
      </c>
    </row>
    <row r="2493" spans="1:2" x14ac:dyDescent="0.25">
      <c r="A2493" s="1">
        <v>42340</v>
      </c>
      <c r="B2493">
        <v>14.15</v>
      </c>
    </row>
    <row r="2494" spans="1:2" x14ac:dyDescent="0.25">
      <c r="A2494" s="1">
        <v>42341</v>
      </c>
      <c r="B2494">
        <v>14.15</v>
      </c>
    </row>
    <row r="2495" spans="1:2" x14ac:dyDescent="0.25">
      <c r="A2495" s="1">
        <v>42342</v>
      </c>
      <c r="B2495">
        <v>14.15</v>
      </c>
    </row>
    <row r="2496" spans="1:2" x14ac:dyDescent="0.25">
      <c r="A2496" s="1">
        <v>42345</v>
      </c>
      <c r="B2496">
        <v>14.15</v>
      </c>
    </row>
    <row r="2497" spans="1:2" x14ac:dyDescent="0.25">
      <c r="A2497" s="1">
        <v>42346</v>
      </c>
      <c r="B2497">
        <v>14.15</v>
      </c>
    </row>
    <row r="2498" spans="1:2" x14ac:dyDescent="0.25">
      <c r="A2498" s="1">
        <v>42347</v>
      </c>
      <c r="B2498">
        <v>14.15</v>
      </c>
    </row>
    <row r="2499" spans="1:2" x14ac:dyDescent="0.25">
      <c r="A2499" s="1">
        <v>42348</v>
      </c>
      <c r="B2499">
        <v>14.15</v>
      </c>
    </row>
    <row r="2500" spans="1:2" x14ac:dyDescent="0.25">
      <c r="A2500" s="1">
        <v>42349</v>
      </c>
      <c r="B2500">
        <v>14.15</v>
      </c>
    </row>
    <row r="2501" spans="1:2" x14ac:dyDescent="0.25">
      <c r="A2501" s="1">
        <v>42352</v>
      </c>
      <c r="B2501">
        <v>14.15</v>
      </c>
    </row>
    <row r="2502" spans="1:2" x14ac:dyDescent="0.25">
      <c r="A2502" s="1">
        <v>42353</v>
      </c>
      <c r="B2502">
        <v>14.15</v>
      </c>
    </row>
    <row r="2503" spans="1:2" x14ac:dyDescent="0.25">
      <c r="A2503" s="1">
        <v>42354</v>
      </c>
      <c r="B2503">
        <v>14.15</v>
      </c>
    </row>
    <row r="2504" spans="1:2" x14ac:dyDescent="0.25">
      <c r="A2504" s="1">
        <v>42355</v>
      </c>
      <c r="B2504">
        <v>14.15</v>
      </c>
    </row>
    <row r="2505" spans="1:2" x14ac:dyDescent="0.25">
      <c r="A2505" s="1">
        <v>42356</v>
      </c>
      <c r="B2505">
        <v>14.15</v>
      </c>
    </row>
    <row r="2506" spans="1:2" x14ac:dyDescent="0.25">
      <c r="A2506" s="1">
        <v>42359</v>
      </c>
      <c r="B2506">
        <v>14.15</v>
      </c>
    </row>
    <row r="2507" spans="1:2" x14ac:dyDescent="0.25">
      <c r="A2507" s="1">
        <v>42360</v>
      </c>
      <c r="B2507">
        <v>14.15</v>
      </c>
    </row>
    <row r="2508" spans="1:2" x14ac:dyDescent="0.25">
      <c r="A2508" s="1">
        <v>42361</v>
      </c>
      <c r="B2508">
        <v>14.15</v>
      </c>
    </row>
    <row r="2509" spans="1:2" x14ac:dyDescent="0.25">
      <c r="A2509" s="1">
        <v>42362</v>
      </c>
      <c r="B2509">
        <v>14.15</v>
      </c>
    </row>
    <row r="2510" spans="1:2" x14ac:dyDescent="0.25">
      <c r="A2510" s="1">
        <v>42366</v>
      </c>
      <c r="B2510">
        <v>14.15</v>
      </c>
    </row>
    <row r="2511" spans="1:2" x14ac:dyDescent="0.25">
      <c r="A2511" s="1">
        <v>42367</v>
      </c>
      <c r="B2511">
        <v>14.15</v>
      </c>
    </row>
    <row r="2512" spans="1:2" x14ac:dyDescent="0.25">
      <c r="A2512" s="1">
        <v>42368</v>
      </c>
      <c r="B2512">
        <v>14.15</v>
      </c>
    </row>
    <row r="2513" spans="1:2" x14ac:dyDescent="0.25">
      <c r="A2513" s="1">
        <v>42369</v>
      </c>
      <c r="B2513">
        <v>14.15</v>
      </c>
    </row>
    <row r="2514" spans="1:2" x14ac:dyDescent="0.25">
      <c r="A2514" s="1">
        <v>42373</v>
      </c>
      <c r="B2514">
        <v>14.15</v>
      </c>
    </row>
    <row r="2515" spans="1:2" x14ac:dyDescent="0.25">
      <c r="A2515" s="1">
        <v>42374</v>
      </c>
      <c r="B2515">
        <v>14.15</v>
      </c>
    </row>
    <row r="2516" spans="1:2" x14ac:dyDescent="0.25">
      <c r="A2516" s="1">
        <v>42375</v>
      </c>
      <c r="B2516">
        <v>14.15</v>
      </c>
    </row>
    <row r="2517" spans="1:2" x14ac:dyDescent="0.25">
      <c r="A2517" s="1">
        <v>42376</v>
      </c>
      <c r="B2517">
        <v>14.15</v>
      </c>
    </row>
    <row r="2518" spans="1:2" x14ac:dyDescent="0.25">
      <c r="A2518" s="1">
        <v>42377</v>
      </c>
      <c r="B2518">
        <v>14.15</v>
      </c>
    </row>
    <row r="2519" spans="1:2" x14ac:dyDescent="0.25">
      <c r="A2519" s="1">
        <v>42380</v>
      </c>
      <c r="B2519">
        <v>14.15</v>
      </c>
    </row>
    <row r="2520" spans="1:2" x14ac:dyDescent="0.25">
      <c r="A2520" s="1">
        <v>42381</v>
      </c>
      <c r="B2520">
        <v>14.15</v>
      </c>
    </row>
    <row r="2521" spans="1:2" x14ac:dyDescent="0.25">
      <c r="A2521" s="1">
        <v>42382</v>
      </c>
      <c r="B2521">
        <v>14.15</v>
      </c>
    </row>
    <row r="2522" spans="1:2" x14ac:dyDescent="0.25">
      <c r="A2522" s="1">
        <v>42383</v>
      </c>
      <c r="B2522">
        <v>14.15</v>
      </c>
    </row>
    <row r="2523" spans="1:2" x14ac:dyDescent="0.25">
      <c r="A2523" s="1">
        <v>42384</v>
      </c>
      <c r="B2523">
        <v>14.15</v>
      </c>
    </row>
    <row r="2524" spans="1:2" x14ac:dyDescent="0.25">
      <c r="A2524" s="1">
        <v>42387</v>
      </c>
      <c r="B2524">
        <v>14.15</v>
      </c>
    </row>
    <row r="2525" spans="1:2" x14ac:dyDescent="0.25">
      <c r="A2525" s="1">
        <v>42388</v>
      </c>
      <c r="B2525">
        <v>14.15</v>
      </c>
    </row>
    <row r="2526" spans="1:2" x14ac:dyDescent="0.25">
      <c r="A2526" s="1">
        <v>42389</v>
      </c>
      <c r="B2526">
        <v>14.15</v>
      </c>
    </row>
    <row r="2527" spans="1:2" x14ac:dyDescent="0.25">
      <c r="A2527" s="1">
        <v>42390</v>
      </c>
      <c r="B2527">
        <v>14.15</v>
      </c>
    </row>
    <row r="2528" spans="1:2" x14ac:dyDescent="0.25">
      <c r="A2528" s="1">
        <v>42391</v>
      </c>
      <c r="B2528">
        <v>14.15</v>
      </c>
    </row>
    <row r="2529" spans="1:2" x14ac:dyDescent="0.25">
      <c r="A2529" s="1">
        <v>42394</v>
      </c>
      <c r="B2529">
        <v>14.15</v>
      </c>
    </row>
    <row r="2530" spans="1:2" x14ac:dyDescent="0.25">
      <c r="A2530" s="1">
        <v>42395</v>
      </c>
      <c r="B2530">
        <v>14.15</v>
      </c>
    </row>
    <row r="2531" spans="1:2" x14ac:dyDescent="0.25">
      <c r="A2531" s="1">
        <v>42396</v>
      </c>
      <c r="B2531">
        <v>14.15</v>
      </c>
    </row>
    <row r="2532" spans="1:2" x14ac:dyDescent="0.25">
      <c r="A2532" s="1">
        <v>42397</v>
      </c>
      <c r="B2532">
        <v>14.15</v>
      </c>
    </row>
    <row r="2533" spans="1:2" x14ac:dyDescent="0.25">
      <c r="A2533" s="1">
        <v>42398</v>
      </c>
      <c r="B2533">
        <v>14.15</v>
      </c>
    </row>
    <row r="2534" spans="1:2" x14ac:dyDescent="0.25">
      <c r="A2534" s="1">
        <v>42401</v>
      </c>
      <c r="B2534">
        <v>14.15</v>
      </c>
    </row>
    <row r="2535" spans="1:2" x14ac:dyDescent="0.25">
      <c r="A2535" s="1">
        <v>42402</v>
      </c>
      <c r="B2535">
        <v>14.15</v>
      </c>
    </row>
    <row r="2536" spans="1:2" x14ac:dyDescent="0.25">
      <c r="A2536" s="1">
        <v>42403</v>
      </c>
      <c r="B2536">
        <v>14.15</v>
      </c>
    </row>
    <row r="2537" spans="1:2" x14ac:dyDescent="0.25">
      <c r="A2537" s="1">
        <v>42404</v>
      </c>
      <c r="B2537">
        <v>14.15</v>
      </c>
    </row>
    <row r="2538" spans="1:2" x14ac:dyDescent="0.25">
      <c r="A2538" s="1">
        <v>42405</v>
      </c>
      <c r="B2538">
        <v>14.15</v>
      </c>
    </row>
    <row r="2539" spans="1:2" x14ac:dyDescent="0.25">
      <c r="A2539" s="1">
        <v>42410</v>
      </c>
      <c r="B2539">
        <v>14.15</v>
      </c>
    </row>
    <row r="2540" spans="1:2" x14ac:dyDescent="0.25">
      <c r="A2540" s="1">
        <v>42411</v>
      </c>
      <c r="B2540">
        <v>14.15</v>
      </c>
    </row>
    <row r="2541" spans="1:2" x14ac:dyDescent="0.25">
      <c r="A2541" s="1">
        <v>42412</v>
      </c>
      <c r="B2541">
        <v>14.15</v>
      </c>
    </row>
    <row r="2542" spans="1:2" x14ac:dyDescent="0.25">
      <c r="A2542" s="1">
        <v>42415</v>
      </c>
      <c r="B2542">
        <v>14.15</v>
      </c>
    </row>
    <row r="2543" spans="1:2" x14ac:dyDescent="0.25">
      <c r="A2543" s="1">
        <v>42416</v>
      </c>
      <c r="B2543">
        <v>14.15</v>
      </c>
    </row>
    <row r="2544" spans="1:2" x14ac:dyDescent="0.25">
      <c r="A2544" s="1">
        <v>42417</v>
      </c>
      <c r="B2544">
        <v>14.15</v>
      </c>
    </row>
    <row r="2545" spans="1:2" x14ac:dyDescent="0.25">
      <c r="A2545" s="1">
        <v>42418</v>
      </c>
      <c r="B2545">
        <v>14.15</v>
      </c>
    </row>
    <row r="2546" spans="1:2" x14ac:dyDescent="0.25">
      <c r="A2546" s="1">
        <v>42419</v>
      </c>
      <c r="B2546">
        <v>14.15</v>
      </c>
    </row>
    <row r="2547" spans="1:2" x14ac:dyDescent="0.25">
      <c r="A2547" s="1">
        <v>42422</v>
      </c>
      <c r="B2547">
        <v>14.15</v>
      </c>
    </row>
    <row r="2548" spans="1:2" x14ac:dyDescent="0.25">
      <c r="A2548" s="1">
        <v>42423</v>
      </c>
      <c r="B2548">
        <v>14.15</v>
      </c>
    </row>
    <row r="2549" spans="1:2" x14ac:dyDescent="0.25">
      <c r="A2549" s="1">
        <v>42424</v>
      </c>
      <c r="B2549">
        <v>14.15</v>
      </c>
    </row>
    <row r="2550" spans="1:2" x14ac:dyDescent="0.25">
      <c r="A2550" s="1">
        <v>42425</v>
      </c>
      <c r="B2550">
        <v>14.15</v>
      </c>
    </row>
    <row r="2551" spans="1:2" x14ac:dyDescent="0.25">
      <c r="A2551" s="1">
        <v>42426</v>
      </c>
      <c r="B2551">
        <v>14.15</v>
      </c>
    </row>
    <row r="2552" spans="1:2" x14ac:dyDescent="0.25">
      <c r="A2552" s="1">
        <v>42429</v>
      </c>
      <c r="B2552">
        <v>14.15</v>
      </c>
    </row>
    <row r="2553" spans="1:2" x14ac:dyDescent="0.25">
      <c r="A2553" s="1">
        <v>42430</v>
      </c>
      <c r="B2553">
        <v>14.15</v>
      </c>
    </row>
    <row r="2554" spans="1:2" x14ac:dyDescent="0.25">
      <c r="A2554" s="1">
        <v>42431</v>
      </c>
      <c r="B2554">
        <v>14.15</v>
      </c>
    </row>
    <row r="2555" spans="1:2" x14ac:dyDescent="0.25">
      <c r="A2555" s="1">
        <v>42432</v>
      </c>
      <c r="B2555">
        <v>14.15</v>
      </c>
    </row>
    <row r="2556" spans="1:2" x14ac:dyDescent="0.25">
      <c r="A2556" s="1">
        <v>42433</v>
      </c>
      <c r="B2556">
        <v>14.15</v>
      </c>
    </row>
    <row r="2557" spans="1:2" x14ac:dyDescent="0.25">
      <c r="A2557" s="1">
        <v>42436</v>
      </c>
      <c r="B2557">
        <v>14.15</v>
      </c>
    </row>
    <row r="2558" spans="1:2" x14ac:dyDescent="0.25">
      <c r="A2558" s="1">
        <v>42437</v>
      </c>
      <c r="B2558">
        <v>14.15</v>
      </c>
    </row>
    <row r="2559" spans="1:2" x14ac:dyDescent="0.25">
      <c r="A2559" s="1">
        <v>42438</v>
      </c>
      <c r="B2559">
        <v>14.15</v>
      </c>
    </row>
    <row r="2560" spans="1:2" x14ac:dyDescent="0.25">
      <c r="A2560" s="1">
        <v>42439</v>
      </c>
      <c r="B2560">
        <v>14.15</v>
      </c>
    </row>
    <row r="2561" spans="1:2" x14ac:dyDescent="0.25">
      <c r="A2561" s="1">
        <v>42440</v>
      </c>
      <c r="B2561">
        <v>14.15</v>
      </c>
    </row>
    <row r="2562" spans="1:2" x14ac:dyDescent="0.25">
      <c r="A2562" s="1">
        <v>42443</v>
      </c>
      <c r="B2562">
        <v>14.15</v>
      </c>
    </row>
    <row r="2563" spans="1:2" x14ac:dyDescent="0.25">
      <c r="A2563" s="1">
        <v>42444</v>
      </c>
      <c r="B2563">
        <v>14.15</v>
      </c>
    </row>
    <row r="2564" spans="1:2" x14ac:dyDescent="0.25">
      <c r="A2564" s="1">
        <v>42445</v>
      </c>
      <c r="B2564">
        <v>14.15</v>
      </c>
    </row>
    <row r="2565" spans="1:2" x14ac:dyDescent="0.25">
      <c r="A2565" s="1">
        <v>42446</v>
      </c>
      <c r="B2565">
        <v>14.15</v>
      </c>
    </row>
    <row r="2566" spans="1:2" x14ac:dyDescent="0.25">
      <c r="A2566" s="1">
        <v>42447</v>
      </c>
      <c r="B2566">
        <v>14.15</v>
      </c>
    </row>
    <row r="2567" spans="1:2" x14ac:dyDescent="0.25">
      <c r="A2567" s="1">
        <v>42450</v>
      </c>
      <c r="B2567">
        <v>14.15</v>
      </c>
    </row>
    <row r="2568" spans="1:2" x14ac:dyDescent="0.25">
      <c r="A2568" s="1">
        <v>42451</v>
      </c>
      <c r="B2568">
        <v>14.15</v>
      </c>
    </row>
    <row r="2569" spans="1:2" x14ac:dyDescent="0.25">
      <c r="A2569" s="1">
        <v>42452</v>
      </c>
      <c r="B2569">
        <v>14.15</v>
      </c>
    </row>
    <row r="2570" spans="1:2" x14ac:dyDescent="0.25">
      <c r="A2570" s="1">
        <v>42453</v>
      </c>
      <c r="B2570">
        <v>14.15</v>
      </c>
    </row>
    <row r="2571" spans="1:2" x14ac:dyDescent="0.25">
      <c r="A2571" s="1">
        <v>42457</v>
      </c>
      <c r="B2571">
        <v>14.15</v>
      </c>
    </row>
    <row r="2572" spans="1:2" x14ac:dyDescent="0.25">
      <c r="A2572" s="1">
        <v>42458</v>
      </c>
      <c r="B2572">
        <v>14.15</v>
      </c>
    </row>
    <row r="2573" spans="1:2" x14ac:dyDescent="0.25">
      <c r="A2573" s="1">
        <v>42459</v>
      </c>
      <c r="B2573">
        <v>14.15</v>
      </c>
    </row>
    <row r="2574" spans="1:2" x14ac:dyDescent="0.25">
      <c r="A2574" s="1">
        <v>42460</v>
      </c>
      <c r="B2574">
        <v>14.15</v>
      </c>
    </row>
    <row r="2575" spans="1:2" x14ac:dyDescent="0.25">
      <c r="A2575" s="1">
        <v>42461</v>
      </c>
      <c r="B2575">
        <v>14.15</v>
      </c>
    </row>
    <row r="2576" spans="1:2" x14ac:dyDescent="0.25">
      <c r="A2576" s="1">
        <v>42464</v>
      </c>
      <c r="B2576">
        <v>14.15</v>
      </c>
    </row>
    <row r="2577" spans="1:2" x14ac:dyDescent="0.25">
      <c r="A2577" s="1">
        <v>42465</v>
      </c>
      <c r="B2577">
        <v>14.15</v>
      </c>
    </row>
    <row r="2578" spans="1:2" x14ac:dyDescent="0.25">
      <c r="A2578" s="1">
        <v>42466</v>
      </c>
      <c r="B2578">
        <v>14.15</v>
      </c>
    </row>
    <row r="2579" spans="1:2" x14ac:dyDescent="0.25">
      <c r="A2579" s="1">
        <v>42467</v>
      </c>
      <c r="B2579">
        <v>14.15</v>
      </c>
    </row>
    <row r="2580" spans="1:2" x14ac:dyDescent="0.25">
      <c r="A2580" s="1">
        <v>42468</v>
      </c>
      <c r="B2580">
        <v>14.15</v>
      </c>
    </row>
    <row r="2581" spans="1:2" x14ac:dyDescent="0.25">
      <c r="A2581" s="1">
        <v>42471</v>
      </c>
      <c r="B2581">
        <v>14.15</v>
      </c>
    </row>
    <row r="2582" spans="1:2" x14ac:dyDescent="0.25">
      <c r="A2582" s="1">
        <v>42472</v>
      </c>
      <c r="B2582">
        <v>14.15</v>
      </c>
    </row>
    <row r="2583" spans="1:2" x14ac:dyDescent="0.25">
      <c r="A2583" s="1">
        <v>42473</v>
      </c>
      <c r="B2583">
        <v>14.15</v>
      </c>
    </row>
    <row r="2584" spans="1:2" x14ac:dyDescent="0.25">
      <c r="A2584" s="1">
        <v>42474</v>
      </c>
      <c r="B2584">
        <v>14.15</v>
      </c>
    </row>
    <row r="2585" spans="1:2" x14ac:dyDescent="0.25">
      <c r="A2585" s="1">
        <v>42475</v>
      </c>
      <c r="B2585">
        <v>14.15</v>
      </c>
    </row>
    <row r="2586" spans="1:2" x14ac:dyDescent="0.25">
      <c r="A2586" s="1">
        <v>42478</v>
      </c>
      <c r="B2586">
        <v>14.15</v>
      </c>
    </row>
    <row r="2587" spans="1:2" x14ac:dyDescent="0.25">
      <c r="A2587" s="1">
        <v>42479</v>
      </c>
      <c r="B2587">
        <v>14.15</v>
      </c>
    </row>
    <row r="2588" spans="1:2" x14ac:dyDescent="0.25">
      <c r="A2588" s="1">
        <v>42480</v>
      </c>
      <c r="B2588">
        <v>14.15</v>
      </c>
    </row>
    <row r="2589" spans="1:2" x14ac:dyDescent="0.25">
      <c r="A2589" s="1">
        <v>42482</v>
      </c>
      <c r="B2589">
        <v>14.15</v>
      </c>
    </row>
    <row r="2590" spans="1:2" x14ac:dyDescent="0.25">
      <c r="A2590" s="1">
        <v>42485</v>
      </c>
      <c r="B2590">
        <v>14.15</v>
      </c>
    </row>
    <row r="2591" spans="1:2" x14ac:dyDescent="0.25">
      <c r="A2591" s="1">
        <v>42486</v>
      </c>
      <c r="B2591">
        <v>14.15</v>
      </c>
    </row>
    <row r="2592" spans="1:2" x14ac:dyDescent="0.25">
      <c r="A2592" s="1">
        <v>42487</v>
      </c>
      <c r="B2592">
        <v>14.15</v>
      </c>
    </row>
    <row r="2593" spans="1:2" x14ac:dyDescent="0.25">
      <c r="A2593" s="1">
        <v>42488</v>
      </c>
      <c r="B2593">
        <v>14.15</v>
      </c>
    </row>
    <row r="2594" spans="1:2" x14ac:dyDescent="0.25">
      <c r="A2594" s="1">
        <v>42489</v>
      </c>
      <c r="B2594">
        <v>14.15</v>
      </c>
    </row>
    <row r="2595" spans="1:2" x14ac:dyDescent="0.25">
      <c r="A2595" s="1">
        <v>42492</v>
      </c>
      <c r="B2595">
        <v>14.15</v>
      </c>
    </row>
    <row r="2596" spans="1:2" x14ac:dyDescent="0.25">
      <c r="A2596" s="1">
        <v>42493</v>
      </c>
      <c r="B2596">
        <v>14.15</v>
      </c>
    </row>
    <row r="2597" spans="1:2" x14ac:dyDescent="0.25">
      <c r="A2597" s="1">
        <v>42494</v>
      </c>
      <c r="B2597">
        <v>14.15</v>
      </c>
    </row>
    <row r="2598" spans="1:2" x14ac:dyDescent="0.25">
      <c r="A2598" s="1">
        <v>42495</v>
      </c>
      <c r="B2598">
        <v>14.15</v>
      </c>
    </row>
    <row r="2599" spans="1:2" x14ac:dyDescent="0.25">
      <c r="A2599" s="1">
        <v>42496</v>
      </c>
      <c r="B2599">
        <v>14.15</v>
      </c>
    </row>
    <row r="2600" spans="1:2" x14ac:dyDescent="0.25">
      <c r="A2600" s="1">
        <v>42499</v>
      </c>
      <c r="B2600">
        <v>14.15</v>
      </c>
    </row>
    <row r="2601" spans="1:2" x14ac:dyDescent="0.25">
      <c r="A2601" s="1">
        <v>42500</v>
      </c>
      <c r="B2601">
        <v>14.15</v>
      </c>
    </row>
    <row r="2602" spans="1:2" x14ac:dyDescent="0.25">
      <c r="A2602" s="1">
        <v>42501</v>
      </c>
      <c r="B2602">
        <v>14.15</v>
      </c>
    </row>
    <row r="2603" spans="1:2" x14ac:dyDescent="0.25">
      <c r="A2603" s="1">
        <v>42502</v>
      </c>
      <c r="B2603">
        <v>14.15</v>
      </c>
    </row>
    <row r="2604" spans="1:2" x14ac:dyDescent="0.25">
      <c r="A2604" s="1">
        <v>42503</v>
      </c>
      <c r="B2604">
        <v>14.15</v>
      </c>
    </row>
    <row r="2605" spans="1:2" x14ac:dyDescent="0.25">
      <c r="A2605" s="1">
        <v>42506</v>
      </c>
      <c r="B2605">
        <v>14.15</v>
      </c>
    </row>
    <row r="2606" spans="1:2" x14ac:dyDescent="0.25">
      <c r="A2606" s="1">
        <v>42507</v>
      </c>
      <c r="B2606">
        <v>14.15</v>
      </c>
    </row>
    <row r="2607" spans="1:2" x14ac:dyDescent="0.25">
      <c r="A2607" s="1">
        <v>42508</v>
      </c>
      <c r="B2607">
        <v>14.15</v>
      </c>
    </row>
    <row r="2608" spans="1:2" x14ac:dyDescent="0.25">
      <c r="A2608" s="1">
        <v>42509</v>
      </c>
      <c r="B2608">
        <v>14.15</v>
      </c>
    </row>
    <row r="2609" spans="1:2" x14ac:dyDescent="0.25">
      <c r="A2609" s="1">
        <v>42510</v>
      </c>
      <c r="B2609">
        <v>14.15</v>
      </c>
    </row>
    <row r="2610" spans="1:2" x14ac:dyDescent="0.25">
      <c r="A2610" s="1">
        <v>42513</v>
      </c>
      <c r="B2610">
        <v>14.15</v>
      </c>
    </row>
    <row r="2611" spans="1:2" x14ac:dyDescent="0.25">
      <c r="A2611" s="1">
        <v>42514</v>
      </c>
      <c r="B2611">
        <v>14.15</v>
      </c>
    </row>
    <row r="2612" spans="1:2" x14ac:dyDescent="0.25">
      <c r="A2612" s="1">
        <v>42515</v>
      </c>
      <c r="B2612">
        <v>14.15</v>
      </c>
    </row>
    <row r="2613" spans="1:2" x14ac:dyDescent="0.25">
      <c r="A2613" s="1">
        <v>42517</v>
      </c>
      <c r="B2613">
        <v>14.15</v>
      </c>
    </row>
    <row r="2614" spans="1:2" x14ac:dyDescent="0.25">
      <c r="A2614" s="1">
        <v>42520</v>
      </c>
      <c r="B2614">
        <v>14.15</v>
      </c>
    </row>
    <row r="2615" spans="1:2" x14ac:dyDescent="0.25">
      <c r="A2615" s="1">
        <v>42521</v>
      </c>
      <c r="B2615">
        <v>14.15</v>
      </c>
    </row>
    <row r="2616" spans="1:2" x14ac:dyDescent="0.25">
      <c r="A2616" s="1">
        <v>42522</v>
      </c>
      <c r="B2616">
        <v>14.15</v>
      </c>
    </row>
    <row r="2617" spans="1:2" x14ac:dyDescent="0.25">
      <c r="A2617" s="1">
        <v>42523</v>
      </c>
      <c r="B2617">
        <v>14.15</v>
      </c>
    </row>
    <row r="2618" spans="1:2" x14ac:dyDescent="0.25">
      <c r="A2618" s="1">
        <v>42524</v>
      </c>
      <c r="B2618">
        <v>14.15</v>
      </c>
    </row>
    <row r="2619" spans="1:2" x14ac:dyDescent="0.25">
      <c r="A2619" s="1">
        <v>42527</v>
      </c>
      <c r="B2619">
        <v>14.15</v>
      </c>
    </row>
    <row r="2620" spans="1:2" x14ac:dyDescent="0.25">
      <c r="A2620" s="1">
        <v>42528</v>
      </c>
      <c r="B2620">
        <v>14.15</v>
      </c>
    </row>
    <row r="2621" spans="1:2" x14ac:dyDescent="0.25">
      <c r="A2621" s="1">
        <v>42529</v>
      </c>
      <c r="B2621">
        <v>14.15</v>
      </c>
    </row>
    <row r="2622" spans="1:2" x14ac:dyDescent="0.25">
      <c r="A2622" s="1">
        <v>42530</v>
      </c>
      <c r="B2622">
        <v>14.15</v>
      </c>
    </row>
    <row r="2623" spans="1:2" x14ac:dyDescent="0.25">
      <c r="A2623" s="1">
        <v>42531</v>
      </c>
      <c r="B2623">
        <v>14.15</v>
      </c>
    </row>
    <row r="2624" spans="1:2" x14ac:dyDescent="0.25">
      <c r="A2624" s="1">
        <v>42534</v>
      </c>
      <c r="B2624">
        <v>14.15</v>
      </c>
    </row>
    <row r="2625" spans="1:2" x14ac:dyDescent="0.25">
      <c r="A2625" s="1">
        <v>42535</v>
      </c>
      <c r="B2625">
        <v>14.15</v>
      </c>
    </row>
    <row r="2626" spans="1:2" x14ac:dyDescent="0.25">
      <c r="A2626" s="1">
        <v>42536</v>
      </c>
      <c r="B2626">
        <v>14.15</v>
      </c>
    </row>
    <row r="2627" spans="1:2" x14ac:dyDescent="0.25">
      <c r="A2627" s="1">
        <v>42537</v>
      </c>
      <c r="B2627">
        <v>14.15</v>
      </c>
    </row>
    <row r="2628" spans="1:2" x14ac:dyDescent="0.25">
      <c r="A2628" s="1">
        <v>42538</v>
      </c>
      <c r="B2628">
        <v>14.15</v>
      </c>
    </row>
    <row r="2629" spans="1:2" x14ac:dyDescent="0.25">
      <c r="A2629" s="1">
        <v>42541</v>
      </c>
      <c r="B2629">
        <v>14.15</v>
      </c>
    </row>
    <row r="2630" spans="1:2" x14ac:dyDescent="0.25">
      <c r="A2630" s="1">
        <v>42542</v>
      </c>
      <c r="B2630">
        <v>14.15</v>
      </c>
    </row>
    <row r="2631" spans="1:2" x14ac:dyDescent="0.25">
      <c r="A2631" s="1">
        <v>42543</v>
      </c>
      <c r="B2631">
        <v>14.15</v>
      </c>
    </row>
    <row r="2632" spans="1:2" x14ac:dyDescent="0.25">
      <c r="A2632" s="1">
        <v>42544</v>
      </c>
      <c r="B2632">
        <v>14.15</v>
      </c>
    </row>
    <row r="2633" spans="1:2" x14ac:dyDescent="0.25">
      <c r="A2633" s="1">
        <v>42545</v>
      </c>
      <c r="B2633">
        <v>14.15</v>
      </c>
    </row>
    <row r="2634" spans="1:2" x14ac:dyDescent="0.25">
      <c r="A2634" s="1">
        <v>42548</v>
      </c>
      <c r="B2634">
        <v>14.15</v>
      </c>
    </row>
    <row r="2635" spans="1:2" x14ac:dyDescent="0.25">
      <c r="A2635" s="1">
        <v>42549</v>
      </c>
      <c r="B2635">
        <v>14.15</v>
      </c>
    </row>
    <row r="2636" spans="1:2" x14ac:dyDescent="0.25">
      <c r="A2636" s="1">
        <v>42550</v>
      </c>
      <c r="B2636">
        <v>14.15</v>
      </c>
    </row>
    <row r="2637" spans="1:2" x14ac:dyDescent="0.25">
      <c r="A2637" s="1">
        <v>42551</v>
      </c>
      <c r="B2637">
        <v>14.15</v>
      </c>
    </row>
    <row r="2638" spans="1:2" x14ac:dyDescent="0.25">
      <c r="A2638" s="1">
        <v>42552</v>
      </c>
      <c r="B2638">
        <v>14.15</v>
      </c>
    </row>
    <row r="2639" spans="1:2" x14ac:dyDescent="0.25">
      <c r="A2639" s="1">
        <v>42555</v>
      </c>
      <c r="B2639">
        <v>14.15</v>
      </c>
    </row>
    <row r="2640" spans="1:2" x14ac:dyDescent="0.25">
      <c r="A2640" s="1">
        <v>42556</v>
      </c>
      <c r="B2640">
        <v>14.15</v>
      </c>
    </row>
    <row r="2641" spans="1:2" x14ac:dyDescent="0.25">
      <c r="A2641" s="1">
        <v>42557</v>
      </c>
      <c r="B2641">
        <v>14.15</v>
      </c>
    </row>
    <row r="2642" spans="1:2" x14ac:dyDescent="0.25">
      <c r="A2642" s="1">
        <v>42558</v>
      </c>
      <c r="B2642">
        <v>14.15</v>
      </c>
    </row>
    <row r="2643" spans="1:2" x14ac:dyDescent="0.25">
      <c r="A2643" s="1">
        <v>42559</v>
      </c>
      <c r="B2643">
        <v>14.15</v>
      </c>
    </row>
    <row r="2644" spans="1:2" x14ac:dyDescent="0.25">
      <c r="A2644" s="1">
        <v>42562</v>
      </c>
      <c r="B2644">
        <v>14.15</v>
      </c>
    </row>
    <row r="2645" spans="1:2" x14ac:dyDescent="0.25">
      <c r="A2645" s="1">
        <v>42563</v>
      </c>
      <c r="B2645">
        <v>14.15</v>
      </c>
    </row>
    <row r="2646" spans="1:2" x14ac:dyDescent="0.25">
      <c r="A2646" s="1">
        <v>42564</v>
      </c>
      <c r="B2646">
        <v>14.15</v>
      </c>
    </row>
    <row r="2647" spans="1:2" x14ac:dyDescent="0.25">
      <c r="A2647" s="1">
        <v>42565</v>
      </c>
      <c r="B2647">
        <v>14.15</v>
      </c>
    </row>
    <row r="2648" spans="1:2" x14ac:dyDescent="0.25">
      <c r="A2648" s="1">
        <v>42566</v>
      </c>
      <c r="B2648">
        <v>14.15</v>
      </c>
    </row>
    <row r="2649" spans="1:2" x14ac:dyDescent="0.25">
      <c r="A2649" s="1">
        <v>42569</v>
      </c>
      <c r="B2649">
        <v>14.15</v>
      </c>
    </row>
    <row r="2650" spans="1:2" x14ac:dyDescent="0.25">
      <c r="A2650" s="1">
        <v>42570</v>
      </c>
      <c r="B2650">
        <v>14.15</v>
      </c>
    </row>
    <row r="2651" spans="1:2" x14ac:dyDescent="0.25">
      <c r="A2651" s="1">
        <v>42571</v>
      </c>
      <c r="B2651">
        <v>14.15</v>
      </c>
    </row>
    <row r="2652" spans="1:2" x14ac:dyDescent="0.25">
      <c r="A2652" s="1">
        <v>42572</v>
      </c>
      <c r="B2652">
        <v>14.15</v>
      </c>
    </row>
    <row r="2653" spans="1:2" x14ac:dyDescent="0.25">
      <c r="A2653" s="1">
        <v>42573</v>
      </c>
      <c r="B2653">
        <v>14.15</v>
      </c>
    </row>
    <row r="2654" spans="1:2" x14ac:dyDescent="0.25">
      <c r="A2654" s="1">
        <v>42576</v>
      </c>
      <c r="B2654">
        <v>14.15</v>
      </c>
    </row>
    <row r="2655" spans="1:2" x14ac:dyDescent="0.25">
      <c r="A2655" s="1">
        <v>42577</v>
      </c>
      <c r="B2655">
        <v>14.15</v>
      </c>
    </row>
    <row r="2656" spans="1:2" x14ac:dyDescent="0.25">
      <c r="A2656" s="1">
        <v>42578</v>
      </c>
      <c r="B2656">
        <v>14.15</v>
      </c>
    </row>
    <row r="2657" spans="1:2" x14ac:dyDescent="0.25">
      <c r="A2657" s="1">
        <v>42579</v>
      </c>
      <c r="B2657">
        <v>14.15</v>
      </c>
    </row>
    <row r="2658" spans="1:2" x14ac:dyDescent="0.25">
      <c r="A2658" s="1">
        <v>42580</v>
      </c>
      <c r="B2658">
        <v>14.15</v>
      </c>
    </row>
    <row r="2659" spans="1:2" x14ac:dyDescent="0.25">
      <c r="A2659" s="1">
        <v>42583</v>
      </c>
      <c r="B2659">
        <v>14.15</v>
      </c>
    </row>
    <row r="2660" spans="1:2" x14ac:dyDescent="0.25">
      <c r="A2660" s="1">
        <v>42584</v>
      </c>
      <c r="B2660">
        <v>14.15</v>
      </c>
    </row>
    <row r="2661" spans="1:2" x14ac:dyDescent="0.25">
      <c r="A2661" s="1">
        <v>42585</v>
      </c>
      <c r="B2661">
        <v>14.15</v>
      </c>
    </row>
    <row r="2662" spans="1:2" x14ac:dyDescent="0.25">
      <c r="A2662" s="1">
        <v>42586</v>
      </c>
      <c r="B2662">
        <v>14.15</v>
      </c>
    </row>
    <row r="2663" spans="1:2" x14ac:dyDescent="0.25">
      <c r="A2663" s="1">
        <v>42587</v>
      </c>
      <c r="B2663">
        <v>14.15</v>
      </c>
    </row>
    <row r="2664" spans="1:2" x14ac:dyDescent="0.25">
      <c r="A2664" s="1">
        <v>42590</v>
      </c>
      <c r="B2664">
        <v>14.15</v>
      </c>
    </row>
    <row r="2665" spans="1:2" x14ac:dyDescent="0.25">
      <c r="A2665" s="1">
        <v>42591</v>
      </c>
      <c r="B2665">
        <v>14.15</v>
      </c>
    </row>
    <row r="2666" spans="1:2" x14ac:dyDescent="0.25">
      <c r="A2666" s="1">
        <v>42592</v>
      </c>
      <c r="B2666">
        <v>14.15</v>
      </c>
    </row>
    <row r="2667" spans="1:2" x14ac:dyDescent="0.25">
      <c r="A2667" s="1">
        <v>42593</v>
      </c>
      <c r="B2667">
        <v>14.15</v>
      </c>
    </row>
    <row r="2668" spans="1:2" x14ac:dyDescent="0.25">
      <c r="A2668" s="1">
        <v>42594</v>
      </c>
      <c r="B2668">
        <v>14.15</v>
      </c>
    </row>
    <row r="2669" spans="1:2" x14ac:dyDescent="0.25">
      <c r="A2669" s="1">
        <v>42597</v>
      </c>
      <c r="B2669">
        <v>14.15</v>
      </c>
    </row>
    <row r="2670" spans="1:2" x14ac:dyDescent="0.25">
      <c r="A2670" s="1">
        <v>42598</v>
      </c>
      <c r="B2670">
        <v>14.15</v>
      </c>
    </row>
    <row r="2671" spans="1:2" x14ac:dyDescent="0.25">
      <c r="A2671" s="1">
        <v>42599</v>
      </c>
      <c r="B2671">
        <v>14.15</v>
      </c>
    </row>
    <row r="2672" spans="1:2" x14ac:dyDescent="0.25">
      <c r="A2672" s="1">
        <v>42600</v>
      </c>
      <c r="B2672">
        <v>14.15</v>
      </c>
    </row>
    <row r="2673" spans="1:2" x14ac:dyDescent="0.25">
      <c r="A2673" s="1">
        <v>42601</v>
      </c>
      <c r="B2673">
        <v>14.15</v>
      </c>
    </row>
    <row r="2674" spans="1:2" x14ac:dyDescent="0.25">
      <c r="A2674" s="1">
        <v>42604</v>
      </c>
      <c r="B2674">
        <v>14.15</v>
      </c>
    </row>
    <row r="2675" spans="1:2" x14ac:dyDescent="0.25">
      <c r="A2675" s="1">
        <v>42605</v>
      </c>
      <c r="B2675">
        <v>14.15</v>
      </c>
    </row>
    <row r="2676" spans="1:2" x14ac:dyDescent="0.25">
      <c r="A2676" s="1">
        <v>42606</v>
      </c>
      <c r="B2676">
        <v>14.15</v>
      </c>
    </row>
    <row r="2677" spans="1:2" x14ac:dyDescent="0.25">
      <c r="A2677" s="1">
        <v>42607</v>
      </c>
      <c r="B2677">
        <v>14.15</v>
      </c>
    </row>
    <row r="2678" spans="1:2" x14ac:dyDescent="0.25">
      <c r="A2678" s="1">
        <v>42608</v>
      </c>
      <c r="B2678">
        <v>14.15</v>
      </c>
    </row>
    <row r="2679" spans="1:2" x14ac:dyDescent="0.25">
      <c r="A2679" s="1">
        <v>42611</v>
      </c>
      <c r="B2679">
        <v>14.15</v>
      </c>
    </row>
    <row r="2680" spans="1:2" x14ac:dyDescent="0.25">
      <c r="A2680" s="1">
        <v>42612</v>
      </c>
      <c r="B2680">
        <v>14.15</v>
      </c>
    </row>
    <row r="2681" spans="1:2" x14ac:dyDescent="0.25">
      <c r="A2681" s="1">
        <v>42613</v>
      </c>
      <c r="B2681">
        <v>14.15</v>
      </c>
    </row>
    <row r="2682" spans="1:2" x14ac:dyDescent="0.25">
      <c r="A2682" s="1">
        <v>42614</v>
      </c>
      <c r="B2682">
        <v>14.15</v>
      </c>
    </row>
    <row r="2683" spans="1:2" x14ac:dyDescent="0.25">
      <c r="A2683" s="1">
        <v>42615</v>
      </c>
      <c r="B2683">
        <v>14.15</v>
      </c>
    </row>
    <row r="2684" spans="1:2" x14ac:dyDescent="0.25">
      <c r="A2684" s="1">
        <v>42618</v>
      </c>
      <c r="B2684">
        <v>14.15</v>
      </c>
    </row>
    <row r="2685" spans="1:2" x14ac:dyDescent="0.25">
      <c r="A2685" s="1">
        <v>42619</v>
      </c>
      <c r="B2685">
        <v>14.15</v>
      </c>
    </row>
    <row r="2686" spans="1:2" x14ac:dyDescent="0.25">
      <c r="A2686" s="1">
        <v>42621</v>
      </c>
      <c r="B2686">
        <v>14.15</v>
      </c>
    </row>
    <row r="2687" spans="1:2" x14ac:dyDescent="0.25">
      <c r="A2687" s="1">
        <v>42622</v>
      </c>
      <c r="B2687">
        <v>14.15</v>
      </c>
    </row>
    <row r="2688" spans="1:2" x14ac:dyDescent="0.25">
      <c r="A2688" s="1">
        <v>42625</v>
      </c>
      <c r="B2688">
        <v>14.15</v>
      </c>
    </row>
    <row r="2689" spans="1:2" x14ac:dyDescent="0.25">
      <c r="A2689" s="1">
        <v>42626</v>
      </c>
      <c r="B2689">
        <v>14.15</v>
      </c>
    </row>
    <row r="2690" spans="1:2" x14ac:dyDescent="0.25">
      <c r="A2690" s="1">
        <v>42627</v>
      </c>
      <c r="B2690">
        <v>14.15</v>
      </c>
    </row>
    <row r="2691" spans="1:2" x14ac:dyDescent="0.25">
      <c r="A2691" s="1">
        <v>42628</v>
      </c>
      <c r="B2691">
        <v>14.15</v>
      </c>
    </row>
    <row r="2692" spans="1:2" x14ac:dyDescent="0.25">
      <c r="A2692" s="1">
        <v>42629</v>
      </c>
      <c r="B2692">
        <v>14.15</v>
      </c>
    </row>
    <row r="2693" spans="1:2" x14ac:dyDescent="0.25">
      <c r="A2693" s="1">
        <v>42632</v>
      </c>
      <c r="B2693">
        <v>14.15</v>
      </c>
    </row>
    <row r="2694" spans="1:2" x14ac:dyDescent="0.25">
      <c r="A2694" s="1">
        <v>42633</v>
      </c>
      <c r="B2694">
        <v>14.15</v>
      </c>
    </row>
    <row r="2695" spans="1:2" x14ac:dyDescent="0.25">
      <c r="A2695" s="1">
        <v>42634</v>
      </c>
      <c r="B2695">
        <v>14.15</v>
      </c>
    </row>
    <row r="2696" spans="1:2" x14ac:dyDescent="0.25">
      <c r="A2696" s="1">
        <v>42635</v>
      </c>
      <c r="B2696">
        <v>14.15</v>
      </c>
    </row>
    <row r="2697" spans="1:2" x14ac:dyDescent="0.25">
      <c r="A2697" s="1">
        <v>42636</v>
      </c>
      <c r="B2697">
        <v>14.15</v>
      </c>
    </row>
    <row r="2698" spans="1:2" x14ac:dyDescent="0.25">
      <c r="A2698" s="1">
        <v>42639</v>
      </c>
      <c r="B2698">
        <v>14.15</v>
      </c>
    </row>
    <row r="2699" spans="1:2" x14ac:dyDescent="0.25">
      <c r="A2699" s="1">
        <v>42640</v>
      </c>
      <c r="B2699">
        <v>14.15</v>
      </c>
    </row>
    <row r="2700" spans="1:2" x14ac:dyDescent="0.25">
      <c r="A2700" s="1">
        <v>42641</v>
      </c>
      <c r="B2700">
        <v>14.15</v>
      </c>
    </row>
    <row r="2701" spans="1:2" x14ac:dyDescent="0.25">
      <c r="A2701" s="1">
        <v>42642</v>
      </c>
      <c r="B2701">
        <v>14.15</v>
      </c>
    </row>
    <row r="2702" spans="1:2" x14ac:dyDescent="0.25">
      <c r="A2702" s="1">
        <v>42643</v>
      </c>
      <c r="B2702">
        <v>14.15</v>
      </c>
    </row>
    <row r="2703" spans="1:2" x14ac:dyDescent="0.25">
      <c r="A2703" s="1">
        <v>42646</v>
      </c>
      <c r="B2703">
        <v>14.15</v>
      </c>
    </row>
    <row r="2704" spans="1:2" x14ac:dyDescent="0.25">
      <c r="A2704" s="1">
        <v>42647</v>
      </c>
      <c r="B2704">
        <v>14.15</v>
      </c>
    </row>
    <row r="2705" spans="1:2" x14ac:dyDescent="0.25">
      <c r="A2705" s="1">
        <v>42648</v>
      </c>
      <c r="B2705">
        <v>14.15</v>
      </c>
    </row>
    <row r="2706" spans="1:2" x14ac:dyDescent="0.25">
      <c r="A2706" s="1">
        <v>42649</v>
      </c>
      <c r="B2706">
        <v>14.15</v>
      </c>
    </row>
    <row r="2707" spans="1:2" x14ac:dyDescent="0.25">
      <c r="A2707" s="1">
        <v>42650</v>
      </c>
      <c r="B2707">
        <v>14.15</v>
      </c>
    </row>
    <row r="2708" spans="1:2" x14ac:dyDescent="0.25">
      <c r="A2708" s="1">
        <v>42653</v>
      </c>
      <c r="B2708">
        <v>14.15</v>
      </c>
    </row>
    <row r="2709" spans="1:2" x14ac:dyDescent="0.25">
      <c r="A2709" s="1">
        <v>42654</v>
      </c>
      <c r="B2709">
        <v>14.15</v>
      </c>
    </row>
    <row r="2710" spans="1:2" x14ac:dyDescent="0.25">
      <c r="A2710" s="1">
        <v>42656</v>
      </c>
      <c r="B2710">
        <v>14.15</v>
      </c>
    </row>
    <row r="2711" spans="1:2" x14ac:dyDescent="0.25">
      <c r="A2711" s="1">
        <v>42657</v>
      </c>
      <c r="B2711">
        <v>14.15</v>
      </c>
    </row>
    <row r="2712" spans="1:2" x14ac:dyDescent="0.25">
      <c r="A2712" s="1">
        <v>42660</v>
      </c>
      <c r="B2712">
        <v>14.15</v>
      </c>
    </row>
    <row r="2713" spans="1:2" x14ac:dyDescent="0.25">
      <c r="A2713" s="1">
        <v>42661</v>
      </c>
      <c r="B2713">
        <v>14.15</v>
      </c>
    </row>
    <row r="2714" spans="1:2" x14ac:dyDescent="0.25">
      <c r="A2714" s="1">
        <v>42662</v>
      </c>
      <c r="B2714">
        <v>14.15</v>
      </c>
    </row>
    <row r="2715" spans="1:2" x14ac:dyDescent="0.25">
      <c r="A2715" s="1">
        <v>42663</v>
      </c>
      <c r="B2715">
        <v>13.9</v>
      </c>
    </row>
    <row r="2716" spans="1:2" x14ac:dyDescent="0.25">
      <c r="A2716" s="1">
        <v>42664</v>
      </c>
      <c r="B2716">
        <v>13.9</v>
      </c>
    </row>
    <row r="2717" spans="1:2" x14ac:dyDescent="0.25">
      <c r="A2717" s="1">
        <v>42667</v>
      </c>
      <c r="B2717">
        <v>13.9</v>
      </c>
    </row>
    <row r="2718" spans="1:2" x14ac:dyDescent="0.25">
      <c r="A2718" s="1">
        <v>42668</v>
      </c>
      <c r="B2718">
        <v>13.9</v>
      </c>
    </row>
    <row r="2719" spans="1:2" x14ac:dyDescent="0.25">
      <c r="A2719" s="1">
        <v>42669</v>
      </c>
      <c r="B2719">
        <v>13.9</v>
      </c>
    </row>
    <row r="2720" spans="1:2" x14ac:dyDescent="0.25">
      <c r="A2720" s="1">
        <v>42670</v>
      </c>
      <c r="B2720">
        <v>13.9</v>
      </c>
    </row>
    <row r="2721" spans="1:2" x14ac:dyDescent="0.25">
      <c r="A2721" s="1">
        <v>42671</v>
      </c>
      <c r="B2721">
        <v>13.9</v>
      </c>
    </row>
    <row r="2722" spans="1:2" x14ac:dyDescent="0.25">
      <c r="A2722" s="1">
        <v>42674</v>
      </c>
      <c r="B2722">
        <v>13.9</v>
      </c>
    </row>
    <row r="2723" spans="1:2" x14ac:dyDescent="0.25">
      <c r="A2723" s="1">
        <v>42675</v>
      </c>
      <c r="B2723">
        <v>13.9</v>
      </c>
    </row>
    <row r="2724" spans="1:2" x14ac:dyDescent="0.25">
      <c r="A2724" s="1">
        <v>42677</v>
      </c>
      <c r="B2724">
        <v>13.9</v>
      </c>
    </row>
    <row r="2725" spans="1:2" x14ac:dyDescent="0.25">
      <c r="A2725" s="1">
        <v>42678</v>
      </c>
      <c r="B2725">
        <v>13.9</v>
      </c>
    </row>
    <row r="2726" spans="1:2" x14ac:dyDescent="0.25">
      <c r="A2726" s="1">
        <v>42681</v>
      </c>
      <c r="B2726">
        <v>13.9</v>
      </c>
    </row>
    <row r="2727" spans="1:2" x14ac:dyDescent="0.25">
      <c r="A2727" s="1">
        <v>42682</v>
      </c>
      <c r="B2727">
        <v>13.9</v>
      </c>
    </row>
    <row r="2728" spans="1:2" x14ac:dyDescent="0.25">
      <c r="A2728" s="1">
        <v>42683</v>
      </c>
      <c r="B2728">
        <v>13.9</v>
      </c>
    </row>
    <row r="2729" spans="1:2" x14ac:dyDescent="0.25">
      <c r="A2729" s="1">
        <v>42684</v>
      </c>
      <c r="B2729">
        <v>13.9</v>
      </c>
    </row>
    <row r="2730" spans="1:2" x14ac:dyDescent="0.25">
      <c r="A2730" s="1">
        <v>42685</v>
      </c>
      <c r="B2730">
        <v>13.9</v>
      </c>
    </row>
    <row r="2731" spans="1:2" x14ac:dyDescent="0.25">
      <c r="A2731" s="1">
        <v>42688</v>
      </c>
      <c r="B2731">
        <v>13.9</v>
      </c>
    </row>
    <row r="2732" spans="1:2" x14ac:dyDescent="0.25">
      <c r="A2732" s="1">
        <v>42690</v>
      </c>
      <c r="B2732">
        <v>13.9</v>
      </c>
    </row>
    <row r="2733" spans="1:2" x14ac:dyDescent="0.25">
      <c r="A2733" s="1">
        <v>42691</v>
      </c>
      <c r="B2733">
        <v>13.9</v>
      </c>
    </row>
    <row r="2734" spans="1:2" x14ac:dyDescent="0.25">
      <c r="A2734" s="1">
        <v>42692</v>
      </c>
      <c r="B2734">
        <v>13.9</v>
      </c>
    </row>
    <row r="2735" spans="1:2" x14ac:dyDescent="0.25">
      <c r="A2735" s="1">
        <v>42695</v>
      </c>
      <c r="B2735">
        <v>13.9</v>
      </c>
    </row>
    <row r="2736" spans="1:2" x14ac:dyDescent="0.25">
      <c r="A2736" s="1">
        <v>42696</v>
      </c>
      <c r="B2736">
        <v>13.9</v>
      </c>
    </row>
    <row r="2737" spans="1:2" x14ac:dyDescent="0.25">
      <c r="A2737" s="1">
        <v>42697</v>
      </c>
      <c r="B2737">
        <v>13.9</v>
      </c>
    </row>
    <row r="2738" spans="1:2" x14ac:dyDescent="0.25">
      <c r="A2738" s="1">
        <v>42698</v>
      </c>
      <c r="B2738">
        <v>13.9</v>
      </c>
    </row>
    <row r="2739" spans="1:2" x14ac:dyDescent="0.25">
      <c r="A2739" s="1">
        <v>42699</v>
      </c>
      <c r="B2739">
        <v>13.9</v>
      </c>
    </row>
    <row r="2740" spans="1:2" x14ac:dyDescent="0.25">
      <c r="A2740" s="1">
        <v>42702</v>
      </c>
      <c r="B2740">
        <v>13.9</v>
      </c>
    </row>
    <row r="2741" spans="1:2" x14ac:dyDescent="0.25">
      <c r="A2741" s="1">
        <v>42703</v>
      </c>
      <c r="B2741">
        <v>13.9</v>
      </c>
    </row>
    <row r="2742" spans="1:2" x14ac:dyDescent="0.25">
      <c r="A2742" s="1">
        <v>42704</v>
      </c>
      <c r="B2742">
        <v>13.9</v>
      </c>
    </row>
    <row r="2743" spans="1:2" x14ac:dyDescent="0.25">
      <c r="A2743" s="1">
        <v>42705</v>
      </c>
      <c r="B2743">
        <v>13.65</v>
      </c>
    </row>
    <row r="2744" spans="1:2" x14ac:dyDescent="0.25">
      <c r="A2744" s="1">
        <v>42706</v>
      </c>
      <c r="B2744">
        <v>13.65</v>
      </c>
    </row>
    <row r="2745" spans="1:2" x14ac:dyDescent="0.25">
      <c r="A2745" s="1">
        <v>42709</v>
      </c>
      <c r="B2745">
        <v>13.65</v>
      </c>
    </row>
    <row r="2746" spans="1:2" x14ac:dyDescent="0.25">
      <c r="A2746" s="1">
        <v>42710</v>
      </c>
      <c r="B2746">
        <v>13.65</v>
      </c>
    </row>
    <row r="2747" spans="1:2" x14ac:dyDescent="0.25">
      <c r="A2747" s="1">
        <v>42711</v>
      </c>
      <c r="B2747">
        <v>13.65</v>
      </c>
    </row>
    <row r="2748" spans="1:2" x14ac:dyDescent="0.25">
      <c r="A2748" s="1">
        <v>42712</v>
      </c>
      <c r="B2748">
        <v>13.65</v>
      </c>
    </row>
    <row r="2749" spans="1:2" x14ac:dyDescent="0.25">
      <c r="A2749" s="1">
        <v>42713</v>
      </c>
      <c r="B2749">
        <v>13.65</v>
      </c>
    </row>
    <row r="2750" spans="1:2" x14ac:dyDescent="0.25">
      <c r="A2750" s="1">
        <v>42716</v>
      </c>
      <c r="B2750">
        <v>13.65</v>
      </c>
    </row>
    <row r="2751" spans="1:2" x14ac:dyDescent="0.25">
      <c r="A2751" s="1">
        <v>42717</v>
      </c>
      <c r="B2751">
        <v>13.65</v>
      </c>
    </row>
    <row r="2752" spans="1:2" x14ac:dyDescent="0.25">
      <c r="A2752" s="1">
        <v>42718</v>
      </c>
      <c r="B2752">
        <v>13.65</v>
      </c>
    </row>
    <row r="2753" spans="1:2" x14ac:dyDescent="0.25">
      <c r="A2753" s="1">
        <v>42719</v>
      </c>
      <c r="B2753">
        <v>13.65</v>
      </c>
    </row>
    <row r="2754" spans="1:2" x14ac:dyDescent="0.25">
      <c r="A2754" s="1">
        <v>42720</v>
      </c>
      <c r="B2754">
        <v>13.65</v>
      </c>
    </row>
    <row r="2755" spans="1:2" x14ac:dyDescent="0.25">
      <c r="A2755" s="1">
        <v>42723</v>
      </c>
      <c r="B2755">
        <v>13.65</v>
      </c>
    </row>
    <row r="2756" spans="1:2" x14ac:dyDescent="0.25">
      <c r="A2756" s="1">
        <v>42724</v>
      </c>
      <c r="B2756">
        <v>13.65</v>
      </c>
    </row>
    <row r="2757" spans="1:2" x14ac:dyDescent="0.25">
      <c r="A2757" s="1">
        <v>42725</v>
      </c>
      <c r="B2757">
        <v>13.65</v>
      </c>
    </row>
    <row r="2758" spans="1:2" x14ac:dyDescent="0.25">
      <c r="A2758" s="1">
        <v>42726</v>
      </c>
      <c r="B2758">
        <v>13.65</v>
      </c>
    </row>
    <row r="2759" spans="1:2" x14ac:dyDescent="0.25">
      <c r="A2759" s="1">
        <v>42727</v>
      </c>
      <c r="B2759">
        <v>13.65</v>
      </c>
    </row>
    <row r="2760" spans="1:2" x14ac:dyDescent="0.25">
      <c r="A2760" s="1">
        <v>42730</v>
      </c>
      <c r="B2760">
        <v>13.65</v>
      </c>
    </row>
    <row r="2761" spans="1:2" x14ac:dyDescent="0.25">
      <c r="A2761" s="1">
        <v>42731</v>
      </c>
      <c r="B2761">
        <v>13.65</v>
      </c>
    </row>
    <row r="2762" spans="1:2" x14ac:dyDescent="0.25">
      <c r="A2762" s="1">
        <v>42732</v>
      </c>
      <c r="B2762">
        <v>13.65</v>
      </c>
    </row>
    <row r="2763" spans="1:2" x14ac:dyDescent="0.25">
      <c r="A2763" s="1">
        <v>42733</v>
      </c>
      <c r="B2763">
        <v>13.65</v>
      </c>
    </row>
    <row r="2764" spans="1:2" x14ac:dyDescent="0.25">
      <c r="A2764" s="1">
        <v>42734</v>
      </c>
      <c r="B2764">
        <v>13.65</v>
      </c>
    </row>
    <row r="2765" spans="1:2" x14ac:dyDescent="0.25">
      <c r="A2765" s="1">
        <v>42737</v>
      </c>
      <c r="B2765">
        <v>13.65</v>
      </c>
    </row>
    <row r="2766" spans="1:2" x14ac:dyDescent="0.25">
      <c r="A2766" s="1">
        <v>42738</v>
      </c>
      <c r="B2766">
        <v>13.65</v>
      </c>
    </row>
    <row r="2767" spans="1:2" x14ac:dyDescent="0.25">
      <c r="A2767" s="1">
        <v>42739</v>
      </c>
      <c r="B2767">
        <v>13.65</v>
      </c>
    </row>
    <row r="2768" spans="1:2" x14ac:dyDescent="0.25">
      <c r="A2768" s="1">
        <v>42740</v>
      </c>
      <c r="B2768">
        <v>13.65</v>
      </c>
    </row>
    <row r="2769" spans="1:2" x14ac:dyDescent="0.25">
      <c r="A2769" s="1">
        <v>42741</v>
      </c>
      <c r="B2769">
        <v>13.65</v>
      </c>
    </row>
    <row r="2770" spans="1:2" x14ac:dyDescent="0.25">
      <c r="A2770" s="1">
        <v>42744</v>
      </c>
      <c r="B2770">
        <v>13.65</v>
      </c>
    </row>
    <row r="2771" spans="1:2" x14ac:dyDescent="0.25">
      <c r="A2771" s="1">
        <v>42745</v>
      </c>
      <c r="B2771">
        <v>13.65</v>
      </c>
    </row>
    <row r="2772" spans="1:2" x14ac:dyDescent="0.25">
      <c r="A2772" s="1">
        <v>42746</v>
      </c>
      <c r="B2772">
        <v>13.65</v>
      </c>
    </row>
    <row r="2773" spans="1:2" x14ac:dyDescent="0.25">
      <c r="A2773" s="1">
        <v>42747</v>
      </c>
      <c r="B2773">
        <v>12.9</v>
      </c>
    </row>
    <row r="2774" spans="1:2" x14ac:dyDescent="0.25">
      <c r="A2774" s="1">
        <v>42748</v>
      </c>
      <c r="B2774">
        <v>12.9</v>
      </c>
    </row>
    <row r="2775" spans="1:2" x14ac:dyDescent="0.25">
      <c r="A2775" s="1">
        <v>42751</v>
      </c>
      <c r="B2775">
        <v>12.9</v>
      </c>
    </row>
    <row r="2776" spans="1:2" x14ac:dyDescent="0.25">
      <c r="A2776" s="1">
        <v>42752</v>
      </c>
      <c r="B2776">
        <v>12.9</v>
      </c>
    </row>
    <row r="2777" spans="1:2" x14ac:dyDescent="0.25">
      <c r="A2777" s="1">
        <v>42753</v>
      </c>
      <c r="B2777">
        <v>12.9</v>
      </c>
    </row>
    <row r="2778" spans="1:2" x14ac:dyDescent="0.25">
      <c r="A2778" s="1">
        <v>42754</v>
      </c>
      <c r="B2778">
        <v>12.9</v>
      </c>
    </row>
    <row r="2779" spans="1:2" x14ac:dyDescent="0.25">
      <c r="A2779" s="1">
        <v>42755</v>
      </c>
      <c r="B2779">
        <v>12.9</v>
      </c>
    </row>
    <row r="2780" spans="1:2" x14ac:dyDescent="0.25">
      <c r="A2780" s="1">
        <v>42758</v>
      </c>
      <c r="B2780">
        <v>12.9</v>
      </c>
    </row>
    <row r="2781" spans="1:2" x14ac:dyDescent="0.25">
      <c r="A2781" s="1">
        <v>42759</v>
      </c>
      <c r="B2781">
        <v>12.9</v>
      </c>
    </row>
    <row r="2782" spans="1:2" x14ac:dyDescent="0.25">
      <c r="A2782" s="1">
        <v>42760</v>
      </c>
      <c r="B2782">
        <v>12.9</v>
      </c>
    </row>
    <row r="2783" spans="1:2" x14ac:dyDescent="0.25">
      <c r="A2783" s="1">
        <v>42761</v>
      </c>
      <c r="B2783">
        <v>12.9</v>
      </c>
    </row>
    <row r="2784" spans="1:2" x14ac:dyDescent="0.25">
      <c r="A2784" s="1">
        <v>42762</v>
      </c>
      <c r="B2784">
        <v>12.9</v>
      </c>
    </row>
    <row r="2785" spans="1:2" x14ac:dyDescent="0.25">
      <c r="A2785" s="1">
        <v>42765</v>
      </c>
      <c r="B2785">
        <v>12.9</v>
      </c>
    </row>
    <row r="2786" spans="1:2" x14ac:dyDescent="0.25">
      <c r="A2786" s="1">
        <v>42766</v>
      </c>
      <c r="B2786">
        <v>12.9</v>
      </c>
    </row>
    <row r="2787" spans="1:2" x14ac:dyDescent="0.25">
      <c r="A2787" s="1">
        <v>42767</v>
      </c>
      <c r="B2787">
        <v>12.9</v>
      </c>
    </row>
    <row r="2788" spans="1:2" x14ac:dyDescent="0.25">
      <c r="A2788" s="1">
        <v>42768</v>
      </c>
      <c r="B2788">
        <v>12.9</v>
      </c>
    </row>
    <row r="2789" spans="1:2" x14ac:dyDescent="0.25">
      <c r="A2789" s="1">
        <v>42769</v>
      </c>
      <c r="B2789">
        <v>12.9</v>
      </c>
    </row>
    <row r="2790" spans="1:2" x14ac:dyDescent="0.25">
      <c r="A2790" s="1">
        <v>42772</v>
      </c>
      <c r="B2790">
        <v>12.9</v>
      </c>
    </row>
    <row r="2791" spans="1:2" x14ac:dyDescent="0.25">
      <c r="A2791" s="1">
        <v>42773</v>
      </c>
      <c r="B2791">
        <v>12.9</v>
      </c>
    </row>
    <row r="2792" spans="1:2" x14ac:dyDescent="0.25">
      <c r="A2792" s="1">
        <v>42774</v>
      </c>
      <c r="B2792">
        <v>12.9</v>
      </c>
    </row>
    <row r="2793" spans="1:2" x14ac:dyDescent="0.25">
      <c r="A2793" s="1">
        <v>42775</v>
      </c>
      <c r="B2793">
        <v>12.9</v>
      </c>
    </row>
    <row r="2794" spans="1:2" x14ac:dyDescent="0.25">
      <c r="A2794" s="1">
        <v>42776</v>
      </c>
      <c r="B2794">
        <v>12.9</v>
      </c>
    </row>
    <row r="2795" spans="1:2" x14ac:dyDescent="0.25">
      <c r="A2795" s="1">
        <v>42779</v>
      </c>
      <c r="B2795">
        <v>12.9</v>
      </c>
    </row>
    <row r="2796" spans="1:2" x14ac:dyDescent="0.25">
      <c r="A2796" s="1">
        <v>42780</v>
      </c>
      <c r="B2796">
        <v>12.9</v>
      </c>
    </row>
    <row r="2797" spans="1:2" x14ac:dyDescent="0.25">
      <c r="A2797" s="1">
        <v>42781</v>
      </c>
      <c r="B2797">
        <v>12.9</v>
      </c>
    </row>
    <row r="2798" spans="1:2" x14ac:dyDescent="0.25">
      <c r="A2798" s="1">
        <v>42782</v>
      </c>
      <c r="B2798">
        <v>12.9</v>
      </c>
    </row>
    <row r="2799" spans="1:2" x14ac:dyDescent="0.25">
      <c r="A2799" s="1">
        <v>42783</v>
      </c>
      <c r="B2799">
        <v>12.9</v>
      </c>
    </row>
    <row r="2800" spans="1:2" x14ac:dyDescent="0.25">
      <c r="A2800" s="1">
        <v>42786</v>
      </c>
      <c r="B2800">
        <v>12.9</v>
      </c>
    </row>
    <row r="2801" spans="1:2" x14ac:dyDescent="0.25">
      <c r="A2801" s="1">
        <v>42787</v>
      </c>
      <c r="B2801">
        <v>12.9</v>
      </c>
    </row>
    <row r="2802" spans="1:2" x14ac:dyDescent="0.25">
      <c r="A2802" s="1">
        <v>42788</v>
      </c>
      <c r="B2802">
        <v>12.9</v>
      </c>
    </row>
    <row r="2803" spans="1:2" x14ac:dyDescent="0.25">
      <c r="A2803" s="1">
        <v>42789</v>
      </c>
      <c r="B2803">
        <v>12.15</v>
      </c>
    </row>
    <row r="2804" spans="1:2" x14ac:dyDescent="0.25">
      <c r="A2804" s="1">
        <v>42790</v>
      </c>
      <c r="B2804">
        <v>12.15</v>
      </c>
    </row>
    <row r="2805" spans="1:2" x14ac:dyDescent="0.25">
      <c r="A2805" s="1">
        <v>42795</v>
      </c>
      <c r="B2805">
        <v>12.15</v>
      </c>
    </row>
    <row r="2806" spans="1:2" x14ac:dyDescent="0.25">
      <c r="A2806" s="1">
        <v>42796</v>
      </c>
      <c r="B2806">
        <v>12.15</v>
      </c>
    </row>
    <row r="2807" spans="1:2" x14ac:dyDescent="0.25">
      <c r="A2807" s="1">
        <v>42797</v>
      </c>
      <c r="B2807">
        <v>12.15</v>
      </c>
    </row>
    <row r="2808" spans="1:2" x14ac:dyDescent="0.25">
      <c r="A2808" s="1">
        <v>42800</v>
      </c>
      <c r="B2808">
        <v>12.15</v>
      </c>
    </row>
    <row r="2809" spans="1:2" x14ac:dyDescent="0.25">
      <c r="A2809" s="1">
        <v>42801</v>
      </c>
      <c r="B2809">
        <v>12.15</v>
      </c>
    </row>
    <row r="2810" spans="1:2" x14ac:dyDescent="0.25">
      <c r="A2810" s="1">
        <v>42802</v>
      </c>
      <c r="B2810">
        <v>12.15</v>
      </c>
    </row>
    <row r="2811" spans="1:2" x14ac:dyDescent="0.25">
      <c r="A2811" s="1">
        <v>42803</v>
      </c>
      <c r="B2811">
        <v>12.15</v>
      </c>
    </row>
    <row r="2812" spans="1:2" x14ac:dyDescent="0.25">
      <c r="A2812" s="1">
        <v>42804</v>
      </c>
      <c r="B2812">
        <v>12.15</v>
      </c>
    </row>
    <row r="2813" spans="1:2" x14ac:dyDescent="0.25">
      <c r="A2813" s="1">
        <v>42807</v>
      </c>
      <c r="B2813">
        <v>12.15</v>
      </c>
    </row>
    <row r="2814" spans="1:2" x14ac:dyDescent="0.25">
      <c r="A2814" s="1">
        <v>42808</v>
      </c>
      <c r="B2814">
        <v>12.15</v>
      </c>
    </row>
    <row r="2815" spans="1:2" x14ac:dyDescent="0.25">
      <c r="A2815" s="1">
        <v>42809</v>
      </c>
      <c r="B2815">
        <v>12.15</v>
      </c>
    </row>
    <row r="2816" spans="1:2" x14ac:dyDescent="0.25">
      <c r="A2816" s="1">
        <v>42810</v>
      </c>
      <c r="B2816">
        <v>12.15</v>
      </c>
    </row>
    <row r="2817" spans="1:2" x14ac:dyDescent="0.25">
      <c r="A2817" s="1">
        <v>42811</v>
      </c>
      <c r="B2817">
        <v>12.15</v>
      </c>
    </row>
    <row r="2818" spans="1:2" x14ac:dyDescent="0.25">
      <c r="A2818" s="1">
        <v>42814</v>
      </c>
      <c r="B2818">
        <v>12.15</v>
      </c>
    </row>
    <row r="2819" spans="1:2" x14ac:dyDescent="0.25">
      <c r="A2819" s="1">
        <v>42815</v>
      </c>
      <c r="B2819">
        <v>12.15</v>
      </c>
    </row>
    <row r="2820" spans="1:2" x14ac:dyDescent="0.25">
      <c r="A2820" s="1">
        <v>42816</v>
      </c>
      <c r="B2820">
        <v>12.15</v>
      </c>
    </row>
    <row r="2821" spans="1:2" x14ac:dyDescent="0.25">
      <c r="A2821" s="1">
        <v>42817</v>
      </c>
      <c r="B2821">
        <v>12.15</v>
      </c>
    </row>
    <row r="2822" spans="1:2" x14ac:dyDescent="0.25">
      <c r="A2822" s="1">
        <v>42818</v>
      </c>
      <c r="B2822">
        <v>12.15</v>
      </c>
    </row>
    <row r="2823" spans="1:2" x14ac:dyDescent="0.25">
      <c r="A2823" s="1">
        <v>42821</v>
      </c>
      <c r="B2823">
        <v>12.15</v>
      </c>
    </row>
    <row r="2824" spans="1:2" x14ac:dyDescent="0.25">
      <c r="A2824" s="1">
        <v>42822</v>
      </c>
      <c r="B2824">
        <v>12.15</v>
      </c>
    </row>
    <row r="2825" spans="1:2" x14ac:dyDescent="0.25">
      <c r="A2825" s="1">
        <v>42823</v>
      </c>
      <c r="B2825">
        <v>12.15</v>
      </c>
    </row>
    <row r="2826" spans="1:2" x14ac:dyDescent="0.25">
      <c r="A2826" s="1">
        <v>42824</v>
      </c>
      <c r="B2826">
        <v>12.15</v>
      </c>
    </row>
    <row r="2827" spans="1:2" x14ac:dyDescent="0.25">
      <c r="A2827" s="1">
        <v>42825</v>
      </c>
      <c r="B2827">
        <v>12.15</v>
      </c>
    </row>
    <row r="2828" spans="1:2" x14ac:dyDescent="0.25">
      <c r="A2828" s="1">
        <v>42828</v>
      </c>
      <c r="B2828">
        <v>12.15</v>
      </c>
    </row>
    <row r="2829" spans="1:2" x14ac:dyDescent="0.25">
      <c r="A2829" s="1">
        <v>42829</v>
      </c>
      <c r="B2829">
        <v>12.15</v>
      </c>
    </row>
    <row r="2830" spans="1:2" x14ac:dyDescent="0.25">
      <c r="A2830" s="1">
        <v>42830</v>
      </c>
      <c r="B2830">
        <v>12.15</v>
      </c>
    </row>
    <row r="2831" spans="1:2" x14ac:dyDescent="0.25">
      <c r="A2831" s="1">
        <v>42831</v>
      </c>
      <c r="B2831">
        <v>12.15</v>
      </c>
    </row>
    <row r="2832" spans="1:2" x14ac:dyDescent="0.25">
      <c r="A2832" s="1">
        <v>42832</v>
      </c>
      <c r="B2832">
        <v>12.15</v>
      </c>
    </row>
    <row r="2833" spans="1:2" x14ac:dyDescent="0.25">
      <c r="A2833" s="1">
        <v>42835</v>
      </c>
      <c r="B2833">
        <v>12.15</v>
      </c>
    </row>
    <row r="2834" spans="1:2" x14ac:dyDescent="0.25">
      <c r="A2834" s="1">
        <v>42836</v>
      </c>
      <c r="B2834">
        <v>12.15</v>
      </c>
    </row>
    <row r="2835" spans="1:2" x14ac:dyDescent="0.25">
      <c r="A2835" s="1">
        <v>42837</v>
      </c>
      <c r="B2835">
        <v>12.15</v>
      </c>
    </row>
    <row r="2836" spans="1:2" x14ac:dyDescent="0.25">
      <c r="A2836" s="1">
        <v>42838</v>
      </c>
      <c r="B2836">
        <v>11.15</v>
      </c>
    </row>
    <row r="2837" spans="1:2" x14ac:dyDescent="0.25">
      <c r="A2837" s="1">
        <v>42842</v>
      </c>
      <c r="B2837">
        <v>11.15</v>
      </c>
    </row>
    <row r="2838" spans="1:2" x14ac:dyDescent="0.25">
      <c r="A2838" s="1">
        <v>42843</v>
      </c>
      <c r="B2838">
        <v>11.15</v>
      </c>
    </row>
    <row r="2839" spans="1:2" x14ac:dyDescent="0.25">
      <c r="A2839" s="1">
        <v>42844</v>
      </c>
      <c r="B2839">
        <v>11.15</v>
      </c>
    </row>
    <row r="2840" spans="1:2" x14ac:dyDescent="0.25">
      <c r="A2840" s="1">
        <v>42845</v>
      </c>
      <c r="B2840">
        <v>11.15</v>
      </c>
    </row>
    <row r="2841" spans="1:2" x14ac:dyDescent="0.25">
      <c r="A2841" s="1">
        <v>42849</v>
      </c>
      <c r="B2841">
        <v>11.15</v>
      </c>
    </row>
    <row r="2842" spans="1:2" x14ac:dyDescent="0.25">
      <c r="A2842" s="1">
        <v>42850</v>
      </c>
      <c r="B2842">
        <v>11.15</v>
      </c>
    </row>
    <row r="2843" spans="1:2" x14ac:dyDescent="0.25">
      <c r="A2843" s="1">
        <v>42851</v>
      </c>
      <c r="B2843">
        <v>11.15</v>
      </c>
    </row>
    <row r="2844" spans="1:2" x14ac:dyDescent="0.25">
      <c r="A2844" s="1">
        <v>42852</v>
      </c>
      <c r="B2844">
        <v>11.15</v>
      </c>
    </row>
    <row r="2845" spans="1:2" x14ac:dyDescent="0.25">
      <c r="A2845" s="1">
        <v>42853</v>
      </c>
      <c r="B2845">
        <v>11.15</v>
      </c>
    </row>
    <row r="2846" spans="1:2" x14ac:dyDescent="0.25">
      <c r="A2846" s="1">
        <v>42857</v>
      </c>
      <c r="B2846">
        <v>11.15</v>
      </c>
    </row>
    <row r="2847" spans="1:2" x14ac:dyDescent="0.25">
      <c r="A2847" s="1">
        <v>42858</v>
      </c>
      <c r="B2847">
        <v>11.15</v>
      </c>
    </row>
    <row r="2848" spans="1:2" x14ac:dyDescent="0.25">
      <c r="A2848" s="1">
        <v>42859</v>
      </c>
      <c r="B2848">
        <v>11.15</v>
      </c>
    </row>
    <row r="2849" spans="1:2" x14ac:dyDescent="0.25">
      <c r="A2849" s="1">
        <v>42860</v>
      </c>
      <c r="B2849">
        <v>11.15</v>
      </c>
    </row>
    <row r="2850" spans="1:2" x14ac:dyDescent="0.25">
      <c r="A2850" s="1">
        <v>42863</v>
      </c>
      <c r="B2850">
        <v>11.15</v>
      </c>
    </row>
    <row r="2851" spans="1:2" x14ac:dyDescent="0.25">
      <c r="A2851" s="1">
        <v>42864</v>
      </c>
      <c r="B2851">
        <v>11.15</v>
      </c>
    </row>
    <row r="2852" spans="1:2" x14ac:dyDescent="0.25">
      <c r="A2852" s="1">
        <v>42865</v>
      </c>
      <c r="B2852">
        <v>11.15</v>
      </c>
    </row>
    <row r="2853" spans="1:2" x14ac:dyDescent="0.25">
      <c r="A2853" s="1">
        <v>42866</v>
      </c>
      <c r="B2853">
        <v>11.15</v>
      </c>
    </row>
    <row r="2854" spans="1:2" x14ac:dyDescent="0.25">
      <c r="A2854" s="1">
        <v>42867</v>
      </c>
      <c r="B2854">
        <v>11.15</v>
      </c>
    </row>
    <row r="2855" spans="1:2" x14ac:dyDescent="0.25">
      <c r="A2855" s="1">
        <v>42870</v>
      </c>
      <c r="B2855">
        <v>11.15</v>
      </c>
    </row>
    <row r="2856" spans="1:2" x14ac:dyDescent="0.25">
      <c r="A2856" s="1">
        <v>42871</v>
      </c>
      <c r="B2856">
        <v>11.15</v>
      </c>
    </row>
    <row r="2857" spans="1:2" x14ac:dyDescent="0.25">
      <c r="A2857" s="1">
        <v>42872</v>
      </c>
      <c r="B2857">
        <v>11.15</v>
      </c>
    </row>
    <row r="2858" spans="1:2" x14ac:dyDescent="0.25">
      <c r="A2858" s="1">
        <v>42873</v>
      </c>
      <c r="B2858">
        <v>11.15</v>
      </c>
    </row>
    <row r="2859" spans="1:2" x14ac:dyDescent="0.25">
      <c r="A2859" s="1">
        <v>42874</v>
      </c>
      <c r="B2859">
        <v>11.15</v>
      </c>
    </row>
    <row r="2860" spans="1:2" x14ac:dyDescent="0.25">
      <c r="A2860" s="1">
        <v>42877</v>
      </c>
      <c r="B2860">
        <v>11.15</v>
      </c>
    </row>
    <row r="2861" spans="1:2" x14ac:dyDescent="0.25">
      <c r="A2861" s="1">
        <v>42878</v>
      </c>
      <c r="B2861">
        <v>11.15</v>
      </c>
    </row>
    <row r="2862" spans="1:2" x14ac:dyDescent="0.25">
      <c r="A2862" s="1">
        <v>42879</v>
      </c>
      <c r="B2862">
        <v>11.15</v>
      </c>
    </row>
    <row r="2863" spans="1:2" x14ac:dyDescent="0.25">
      <c r="A2863" s="1">
        <v>42880</v>
      </c>
      <c r="B2863">
        <v>11.15</v>
      </c>
    </row>
    <row r="2864" spans="1:2" x14ac:dyDescent="0.25">
      <c r="A2864" s="1">
        <v>42881</v>
      </c>
      <c r="B2864">
        <v>11.15</v>
      </c>
    </row>
    <row r="2865" spans="1:2" x14ac:dyDescent="0.25">
      <c r="A2865" s="1">
        <v>42884</v>
      </c>
      <c r="B2865">
        <v>11.15</v>
      </c>
    </row>
    <row r="2866" spans="1:2" x14ac:dyDescent="0.25">
      <c r="A2866" s="1">
        <v>42885</v>
      </c>
      <c r="B2866">
        <v>11.15</v>
      </c>
    </row>
    <row r="2867" spans="1:2" x14ac:dyDescent="0.25">
      <c r="A2867" s="1">
        <v>42886</v>
      </c>
      <c r="B2867">
        <v>11.15</v>
      </c>
    </row>
    <row r="2868" spans="1:2" x14ac:dyDescent="0.25">
      <c r="A2868" s="1">
        <v>42887</v>
      </c>
      <c r="B2868">
        <v>10.15</v>
      </c>
    </row>
    <row r="2869" spans="1:2" x14ac:dyDescent="0.25">
      <c r="A2869" s="1">
        <v>42888</v>
      </c>
      <c r="B2869">
        <v>10.15</v>
      </c>
    </row>
    <row r="2870" spans="1:2" x14ac:dyDescent="0.25">
      <c r="A2870" s="1">
        <v>42891</v>
      </c>
      <c r="B2870">
        <v>10.15</v>
      </c>
    </row>
    <row r="2871" spans="1:2" x14ac:dyDescent="0.25">
      <c r="A2871" s="1">
        <v>42892</v>
      </c>
      <c r="B2871">
        <v>10.15</v>
      </c>
    </row>
    <row r="2872" spans="1:2" x14ac:dyDescent="0.25">
      <c r="A2872" s="1">
        <v>42893</v>
      </c>
      <c r="B2872">
        <v>10.15</v>
      </c>
    </row>
    <row r="2873" spans="1:2" x14ac:dyDescent="0.25">
      <c r="A2873" s="1">
        <v>42894</v>
      </c>
      <c r="B2873">
        <v>10.15</v>
      </c>
    </row>
    <row r="2874" spans="1:2" x14ac:dyDescent="0.25">
      <c r="A2874" s="1">
        <v>42895</v>
      </c>
      <c r="B2874">
        <v>10.15</v>
      </c>
    </row>
    <row r="2875" spans="1:2" x14ac:dyDescent="0.25">
      <c r="A2875" s="1">
        <v>42898</v>
      </c>
      <c r="B2875">
        <v>10.15</v>
      </c>
    </row>
    <row r="2876" spans="1:2" x14ac:dyDescent="0.25">
      <c r="A2876" s="1">
        <v>42899</v>
      </c>
      <c r="B2876">
        <v>10.15</v>
      </c>
    </row>
    <row r="2877" spans="1:2" x14ac:dyDescent="0.25">
      <c r="A2877" s="1">
        <v>42900</v>
      </c>
      <c r="B2877">
        <v>10.15</v>
      </c>
    </row>
    <row r="2878" spans="1:2" x14ac:dyDescent="0.25">
      <c r="A2878" s="1">
        <v>42902</v>
      </c>
      <c r="B2878">
        <v>10.15</v>
      </c>
    </row>
    <row r="2879" spans="1:2" x14ac:dyDescent="0.25">
      <c r="A2879" s="1">
        <v>42905</v>
      </c>
      <c r="B2879">
        <v>10.15</v>
      </c>
    </row>
    <row r="2880" spans="1:2" x14ac:dyDescent="0.25">
      <c r="A2880" s="1">
        <v>42906</v>
      </c>
      <c r="B2880">
        <v>10.15</v>
      </c>
    </row>
    <row r="2881" spans="1:2" x14ac:dyDescent="0.25">
      <c r="A2881" s="1">
        <v>42907</v>
      </c>
      <c r="B2881">
        <v>10.15</v>
      </c>
    </row>
    <row r="2882" spans="1:2" x14ac:dyDescent="0.25">
      <c r="A2882" s="1">
        <v>42908</v>
      </c>
      <c r="B2882">
        <v>10.15</v>
      </c>
    </row>
    <row r="2883" spans="1:2" x14ac:dyDescent="0.25">
      <c r="A2883" s="1">
        <v>42909</v>
      </c>
      <c r="B2883">
        <v>10.15</v>
      </c>
    </row>
    <row r="2884" spans="1:2" x14ac:dyDescent="0.25">
      <c r="A2884" s="1">
        <v>42912</v>
      </c>
      <c r="B2884">
        <v>10.15</v>
      </c>
    </row>
    <row r="2885" spans="1:2" x14ac:dyDescent="0.25">
      <c r="A2885" s="1">
        <v>42913</v>
      </c>
      <c r="B2885">
        <v>10.15</v>
      </c>
    </row>
    <row r="2886" spans="1:2" x14ac:dyDescent="0.25">
      <c r="A2886" s="1">
        <v>42914</v>
      </c>
      <c r="B2886">
        <v>10.15</v>
      </c>
    </row>
    <row r="2887" spans="1:2" x14ac:dyDescent="0.25">
      <c r="A2887" s="1">
        <v>42915</v>
      </c>
      <c r="B2887">
        <v>10.15</v>
      </c>
    </row>
    <row r="2888" spans="1:2" x14ac:dyDescent="0.25">
      <c r="A2888" s="1">
        <v>42916</v>
      </c>
      <c r="B2888">
        <v>10.15</v>
      </c>
    </row>
    <row r="2889" spans="1:2" x14ac:dyDescent="0.25">
      <c r="A2889" s="1">
        <v>42919</v>
      </c>
      <c r="B2889">
        <v>10.15</v>
      </c>
    </row>
    <row r="2890" spans="1:2" x14ac:dyDescent="0.25">
      <c r="A2890" s="1">
        <v>42920</v>
      </c>
      <c r="B2890">
        <v>10.15</v>
      </c>
    </row>
    <row r="2891" spans="1:2" x14ac:dyDescent="0.25">
      <c r="A2891" s="1">
        <v>42921</v>
      </c>
      <c r="B2891">
        <v>10.15</v>
      </c>
    </row>
    <row r="2892" spans="1:2" x14ac:dyDescent="0.25">
      <c r="A2892" s="1">
        <v>42922</v>
      </c>
      <c r="B2892">
        <v>10.15</v>
      </c>
    </row>
    <row r="2893" spans="1:2" x14ac:dyDescent="0.25">
      <c r="A2893" s="1">
        <v>42923</v>
      </c>
      <c r="B2893">
        <v>10.15</v>
      </c>
    </row>
    <row r="2894" spans="1:2" x14ac:dyDescent="0.25">
      <c r="A2894" s="1">
        <v>42926</v>
      </c>
      <c r="B2894">
        <v>10.15</v>
      </c>
    </row>
    <row r="2895" spans="1:2" x14ac:dyDescent="0.25">
      <c r="A2895" s="1">
        <v>42927</v>
      </c>
      <c r="B2895">
        <v>10.15</v>
      </c>
    </row>
    <row r="2896" spans="1:2" x14ac:dyDescent="0.25">
      <c r="A2896" s="1">
        <v>42928</v>
      </c>
      <c r="B2896">
        <v>10.15</v>
      </c>
    </row>
    <row r="2897" spans="1:2" x14ac:dyDescent="0.25">
      <c r="A2897" s="1">
        <v>42929</v>
      </c>
      <c r="B2897">
        <v>10.15</v>
      </c>
    </row>
    <row r="2898" spans="1:2" x14ac:dyDescent="0.25">
      <c r="A2898" s="1">
        <v>42930</v>
      </c>
      <c r="B2898">
        <v>10.15</v>
      </c>
    </row>
    <row r="2899" spans="1:2" x14ac:dyDescent="0.25">
      <c r="A2899" s="1">
        <v>42933</v>
      </c>
      <c r="B2899">
        <v>10.15</v>
      </c>
    </row>
    <row r="2900" spans="1:2" x14ac:dyDescent="0.25">
      <c r="A2900" s="1">
        <v>42934</v>
      </c>
      <c r="B2900">
        <v>10.15</v>
      </c>
    </row>
    <row r="2901" spans="1:2" x14ac:dyDescent="0.25">
      <c r="A2901" s="1">
        <v>42935</v>
      </c>
      <c r="B2901">
        <v>10.15</v>
      </c>
    </row>
    <row r="2902" spans="1:2" x14ac:dyDescent="0.25">
      <c r="A2902" s="1">
        <v>42936</v>
      </c>
      <c r="B2902">
        <v>10.15</v>
      </c>
    </row>
    <row r="2903" spans="1:2" x14ac:dyDescent="0.25">
      <c r="A2903" s="1">
        <v>42937</v>
      </c>
      <c r="B2903">
        <v>10.15</v>
      </c>
    </row>
    <row r="2904" spans="1:2" x14ac:dyDescent="0.25">
      <c r="A2904" s="1">
        <v>42940</v>
      </c>
      <c r="B2904">
        <v>10.15</v>
      </c>
    </row>
    <row r="2905" spans="1:2" x14ac:dyDescent="0.25">
      <c r="A2905" s="1">
        <v>42941</v>
      </c>
      <c r="B2905">
        <v>10.15</v>
      </c>
    </row>
    <row r="2906" spans="1:2" x14ac:dyDescent="0.25">
      <c r="A2906" s="1">
        <v>42942</v>
      </c>
      <c r="B2906">
        <v>10.15</v>
      </c>
    </row>
    <row r="2907" spans="1:2" x14ac:dyDescent="0.25">
      <c r="A2907" s="1">
        <v>42943</v>
      </c>
      <c r="B2907">
        <v>9.15</v>
      </c>
    </row>
    <row r="2908" spans="1:2" x14ac:dyDescent="0.25">
      <c r="A2908" s="1">
        <v>42944</v>
      </c>
      <c r="B2908">
        <v>9.15</v>
      </c>
    </row>
    <row r="2909" spans="1:2" x14ac:dyDescent="0.25">
      <c r="A2909" s="1">
        <v>42947</v>
      </c>
      <c r="B2909">
        <v>9.15</v>
      </c>
    </row>
    <row r="2910" spans="1:2" x14ac:dyDescent="0.25">
      <c r="A2910" s="1">
        <v>42948</v>
      </c>
      <c r="B2910">
        <v>9.15</v>
      </c>
    </row>
    <row r="2911" spans="1:2" x14ac:dyDescent="0.25">
      <c r="A2911" s="1">
        <v>42949</v>
      </c>
      <c r="B2911">
        <v>9.15</v>
      </c>
    </row>
    <row r="2912" spans="1:2" x14ac:dyDescent="0.25">
      <c r="A2912" s="1">
        <v>42950</v>
      </c>
      <c r="B2912">
        <v>9.15</v>
      </c>
    </row>
    <row r="2913" spans="1:2" x14ac:dyDescent="0.25">
      <c r="A2913" s="1">
        <v>42951</v>
      </c>
      <c r="B2913">
        <v>9.15</v>
      </c>
    </row>
    <row r="2914" spans="1:2" x14ac:dyDescent="0.25">
      <c r="A2914" s="1">
        <v>42954</v>
      </c>
      <c r="B2914">
        <v>9.15</v>
      </c>
    </row>
    <row r="2915" spans="1:2" x14ac:dyDescent="0.25">
      <c r="A2915" s="1">
        <v>42955</v>
      </c>
      <c r="B2915">
        <v>9.15</v>
      </c>
    </row>
    <row r="2916" spans="1:2" x14ac:dyDescent="0.25">
      <c r="A2916" s="1">
        <v>42956</v>
      </c>
      <c r="B2916">
        <v>9.15</v>
      </c>
    </row>
    <row r="2917" spans="1:2" x14ac:dyDescent="0.25">
      <c r="A2917" s="1">
        <v>42957</v>
      </c>
      <c r="B2917">
        <v>9.15</v>
      </c>
    </row>
    <row r="2918" spans="1:2" x14ac:dyDescent="0.25">
      <c r="A2918" s="1">
        <v>42958</v>
      </c>
      <c r="B2918">
        <v>9.15</v>
      </c>
    </row>
    <row r="2919" spans="1:2" x14ac:dyDescent="0.25">
      <c r="A2919" s="1">
        <v>42961</v>
      </c>
      <c r="B2919">
        <v>9.15</v>
      </c>
    </row>
    <row r="2920" spans="1:2" x14ac:dyDescent="0.25">
      <c r="A2920" s="1">
        <v>42962</v>
      </c>
      <c r="B2920">
        <v>9.15</v>
      </c>
    </row>
    <row r="2921" spans="1:2" x14ac:dyDescent="0.25">
      <c r="A2921" s="1">
        <v>42963</v>
      </c>
      <c r="B2921">
        <v>9.15</v>
      </c>
    </row>
    <row r="2922" spans="1:2" x14ac:dyDescent="0.25">
      <c r="A2922" s="1">
        <v>42964</v>
      </c>
      <c r="B2922">
        <v>9.15</v>
      </c>
    </row>
    <row r="2923" spans="1:2" x14ac:dyDescent="0.25">
      <c r="A2923" s="1">
        <v>42965</v>
      </c>
      <c r="B2923">
        <v>9.15</v>
      </c>
    </row>
    <row r="2924" spans="1:2" x14ac:dyDescent="0.25">
      <c r="A2924" s="1">
        <v>42968</v>
      </c>
      <c r="B2924">
        <v>9.15</v>
      </c>
    </row>
    <row r="2925" spans="1:2" x14ac:dyDescent="0.25">
      <c r="A2925" s="1">
        <v>42969</v>
      </c>
      <c r="B2925">
        <v>9.15</v>
      </c>
    </row>
    <row r="2926" spans="1:2" x14ac:dyDescent="0.25">
      <c r="A2926" s="1">
        <v>42970</v>
      </c>
      <c r="B2926">
        <v>9.15</v>
      </c>
    </row>
    <row r="2927" spans="1:2" x14ac:dyDescent="0.25">
      <c r="A2927" s="1">
        <v>42971</v>
      </c>
      <c r="B2927">
        <v>9.15</v>
      </c>
    </row>
    <row r="2928" spans="1:2" x14ac:dyDescent="0.25">
      <c r="A2928" s="1">
        <v>42972</v>
      </c>
      <c r="B2928">
        <v>9.15</v>
      </c>
    </row>
    <row r="2929" spans="1:2" x14ac:dyDescent="0.25">
      <c r="A2929" s="1">
        <v>42975</v>
      </c>
      <c r="B2929">
        <v>9.15</v>
      </c>
    </row>
    <row r="2930" spans="1:2" x14ac:dyDescent="0.25">
      <c r="A2930" s="1">
        <v>42976</v>
      </c>
      <c r="B2930">
        <v>9.15</v>
      </c>
    </row>
    <row r="2931" spans="1:2" x14ac:dyDescent="0.25">
      <c r="A2931" s="1">
        <v>42977</v>
      </c>
      <c r="B2931">
        <v>9.15</v>
      </c>
    </row>
    <row r="2932" spans="1:2" x14ac:dyDescent="0.25">
      <c r="A2932" s="1">
        <v>42978</v>
      </c>
      <c r="B2932">
        <v>9.15</v>
      </c>
    </row>
    <row r="2933" spans="1:2" x14ac:dyDescent="0.25">
      <c r="A2933" s="1">
        <v>42979</v>
      </c>
      <c r="B2933">
        <v>9.15</v>
      </c>
    </row>
    <row r="2934" spans="1:2" x14ac:dyDescent="0.25">
      <c r="A2934" s="1">
        <v>42982</v>
      </c>
      <c r="B2934">
        <v>9.15</v>
      </c>
    </row>
    <row r="2935" spans="1:2" x14ac:dyDescent="0.25">
      <c r="A2935" s="1">
        <v>42983</v>
      </c>
      <c r="B2935">
        <v>9.15</v>
      </c>
    </row>
    <row r="2936" spans="1:2" x14ac:dyDescent="0.25">
      <c r="A2936" s="1">
        <v>42984</v>
      </c>
      <c r="B2936">
        <v>9.15</v>
      </c>
    </row>
    <row r="2937" spans="1:2" x14ac:dyDescent="0.25">
      <c r="A2937" s="1">
        <v>42986</v>
      </c>
      <c r="B2937">
        <v>8.15</v>
      </c>
    </row>
    <row r="2938" spans="1:2" x14ac:dyDescent="0.25">
      <c r="A2938" s="1">
        <v>42989</v>
      </c>
      <c r="B2938">
        <v>8.15</v>
      </c>
    </row>
    <row r="2939" spans="1:2" x14ac:dyDescent="0.25">
      <c r="A2939" s="1">
        <v>42990</v>
      </c>
      <c r="B2939">
        <v>8.15</v>
      </c>
    </row>
    <row r="2940" spans="1:2" x14ac:dyDescent="0.25">
      <c r="A2940" s="1">
        <v>42991</v>
      </c>
      <c r="B2940">
        <v>8.15</v>
      </c>
    </row>
    <row r="2941" spans="1:2" x14ac:dyDescent="0.25">
      <c r="A2941" s="1">
        <v>42992</v>
      </c>
      <c r="B2941">
        <v>8.15</v>
      </c>
    </row>
    <row r="2942" spans="1:2" x14ac:dyDescent="0.25">
      <c r="A2942" s="1">
        <v>42993</v>
      </c>
      <c r="B2942">
        <v>8.15</v>
      </c>
    </row>
    <row r="2943" spans="1:2" x14ac:dyDescent="0.25">
      <c r="A2943" s="1">
        <v>42996</v>
      </c>
      <c r="B2943">
        <v>8.15</v>
      </c>
    </row>
    <row r="2944" spans="1:2" x14ac:dyDescent="0.25">
      <c r="A2944" s="1">
        <v>42997</v>
      </c>
      <c r="B2944">
        <v>8.15</v>
      </c>
    </row>
    <row r="2945" spans="1:2" x14ac:dyDescent="0.25">
      <c r="A2945" s="1">
        <v>42998</v>
      </c>
      <c r="B2945">
        <v>8.15</v>
      </c>
    </row>
    <row r="2946" spans="1:2" x14ac:dyDescent="0.25">
      <c r="A2946" s="1">
        <v>42999</v>
      </c>
      <c r="B2946">
        <v>8.15</v>
      </c>
    </row>
    <row r="2947" spans="1:2" x14ac:dyDescent="0.25">
      <c r="A2947" s="1">
        <v>43000</v>
      </c>
      <c r="B2947">
        <v>8.15</v>
      </c>
    </row>
    <row r="2948" spans="1:2" x14ac:dyDescent="0.25">
      <c r="A2948" s="1">
        <v>43003</v>
      </c>
      <c r="B2948">
        <v>8.15</v>
      </c>
    </row>
    <row r="2949" spans="1:2" x14ac:dyDescent="0.25">
      <c r="A2949" s="1">
        <v>43004</v>
      </c>
      <c r="B2949">
        <v>8.15</v>
      </c>
    </row>
    <row r="2950" spans="1:2" x14ac:dyDescent="0.25">
      <c r="A2950" s="1">
        <v>43005</v>
      </c>
      <c r="B2950">
        <v>8.15</v>
      </c>
    </row>
    <row r="2951" spans="1:2" x14ac:dyDescent="0.25">
      <c r="A2951" s="1">
        <v>43006</v>
      </c>
      <c r="B2951">
        <v>8.15</v>
      </c>
    </row>
    <row r="2952" spans="1:2" x14ac:dyDescent="0.25">
      <c r="A2952" s="1">
        <v>43007</v>
      </c>
      <c r="B2952">
        <v>8.15</v>
      </c>
    </row>
    <row r="2953" spans="1:2" x14ac:dyDescent="0.25">
      <c r="A2953" s="1">
        <v>43010</v>
      </c>
      <c r="B2953">
        <v>8.15</v>
      </c>
    </row>
    <row r="2954" spans="1:2" x14ac:dyDescent="0.25">
      <c r="A2954" s="1">
        <v>43011</v>
      </c>
      <c r="B2954">
        <v>8.15</v>
      </c>
    </row>
    <row r="2955" spans="1:2" x14ac:dyDescent="0.25">
      <c r="A2955" s="1">
        <v>43012</v>
      </c>
      <c r="B2955">
        <v>8.15</v>
      </c>
    </row>
    <row r="2956" spans="1:2" x14ac:dyDescent="0.25">
      <c r="A2956" s="1">
        <v>43013</v>
      </c>
      <c r="B2956">
        <v>8.15</v>
      </c>
    </row>
    <row r="2957" spans="1:2" x14ac:dyDescent="0.25">
      <c r="A2957" s="1">
        <v>43014</v>
      </c>
      <c r="B2957">
        <v>8.15</v>
      </c>
    </row>
    <row r="2958" spans="1:2" x14ac:dyDescent="0.25">
      <c r="A2958" s="1">
        <v>43017</v>
      </c>
      <c r="B2958">
        <v>8.15</v>
      </c>
    </row>
    <row r="2959" spans="1:2" x14ac:dyDescent="0.25">
      <c r="A2959" s="1">
        <v>43018</v>
      </c>
      <c r="B2959">
        <v>8.15</v>
      </c>
    </row>
    <row r="2960" spans="1:2" x14ac:dyDescent="0.25">
      <c r="A2960" s="1">
        <v>43019</v>
      </c>
      <c r="B2960">
        <v>8.15</v>
      </c>
    </row>
    <row r="2961" spans="1:2" x14ac:dyDescent="0.25">
      <c r="A2961" s="1">
        <v>43021</v>
      </c>
      <c r="B2961">
        <v>8.15</v>
      </c>
    </row>
    <row r="2962" spans="1:2" x14ac:dyDescent="0.25">
      <c r="A2962" s="1">
        <v>43024</v>
      </c>
      <c r="B2962">
        <v>8.15</v>
      </c>
    </row>
    <row r="2963" spans="1:2" x14ac:dyDescent="0.25">
      <c r="A2963" s="1">
        <v>43025</v>
      </c>
      <c r="B2963">
        <v>8.15</v>
      </c>
    </row>
    <row r="2964" spans="1:2" x14ac:dyDescent="0.25">
      <c r="A2964" s="1">
        <v>43026</v>
      </c>
      <c r="B2964">
        <v>8.15</v>
      </c>
    </row>
    <row r="2965" spans="1:2" x14ac:dyDescent="0.25">
      <c r="A2965" s="1">
        <v>43027</v>
      </c>
      <c r="B2965">
        <v>8.15</v>
      </c>
    </row>
    <row r="2966" spans="1:2" x14ac:dyDescent="0.25">
      <c r="A2966" s="1">
        <v>43028</v>
      </c>
      <c r="B2966">
        <v>8.15</v>
      </c>
    </row>
    <row r="2967" spans="1:2" x14ac:dyDescent="0.25">
      <c r="A2967" s="1">
        <v>43031</v>
      </c>
      <c r="B2967">
        <v>8.15</v>
      </c>
    </row>
    <row r="2968" spans="1:2" x14ac:dyDescent="0.25">
      <c r="A2968" s="1">
        <v>43032</v>
      </c>
      <c r="B2968">
        <v>8.15</v>
      </c>
    </row>
    <row r="2969" spans="1:2" x14ac:dyDescent="0.25">
      <c r="A2969" s="1">
        <v>43033</v>
      </c>
      <c r="B2969">
        <v>8.15</v>
      </c>
    </row>
    <row r="2970" spans="1:2" x14ac:dyDescent="0.25">
      <c r="A2970" s="1">
        <v>43034</v>
      </c>
      <c r="B2970">
        <v>7.4</v>
      </c>
    </row>
    <row r="2971" spans="1:2" x14ac:dyDescent="0.25">
      <c r="A2971" s="1">
        <v>43035</v>
      </c>
      <c r="B2971">
        <v>7.4</v>
      </c>
    </row>
    <row r="2972" spans="1:2" x14ac:dyDescent="0.25">
      <c r="A2972" s="1">
        <v>43038</v>
      </c>
      <c r="B2972">
        <v>7.4</v>
      </c>
    </row>
    <row r="2973" spans="1:2" x14ac:dyDescent="0.25">
      <c r="A2973" s="1">
        <v>43039</v>
      </c>
      <c r="B2973">
        <v>7.4</v>
      </c>
    </row>
    <row r="2974" spans="1:2" x14ac:dyDescent="0.25">
      <c r="A2974" s="1">
        <v>43040</v>
      </c>
      <c r="B2974">
        <v>7.4</v>
      </c>
    </row>
    <row r="2975" spans="1:2" x14ac:dyDescent="0.25">
      <c r="A2975" s="1">
        <v>43042</v>
      </c>
      <c r="B2975">
        <v>7.4</v>
      </c>
    </row>
    <row r="2976" spans="1:2" x14ac:dyDescent="0.25">
      <c r="A2976" s="1">
        <v>43045</v>
      </c>
      <c r="B2976">
        <v>7.4</v>
      </c>
    </row>
    <row r="2977" spans="1:2" x14ac:dyDescent="0.25">
      <c r="A2977" s="1">
        <v>43046</v>
      </c>
      <c r="B2977">
        <v>7.4</v>
      </c>
    </row>
    <row r="2978" spans="1:2" x14ac:dyDescent="0.25">
      <c r="A2978" s="1">
        <v>43047</v>
      </c>
      <c r="B2978">
        <v>7.4</v>
      </c>
    </row>
    <row r="2979" spans="1:2" x14ac:dyDescent="0.25">
      <c r="A2979" s="1">
        <v>43048</v>
      </c>
      <c r="B2979">
        <v>7.4</v>
      </c>
    </row>
    <row r="2980" spans="1:2" x14ac:dyDescent="0.25">
      <c r="A2980" s="1">
        <v>43049</v>
      </c>
      <c r="B2980">
        <v>7.4</v>
      </c>
    </row>
    <row r="2981" spans="1:2" x14ac:dyDescent="0.25">
      <c r="A2981" s="1">
        <v>43052</v>
      </c>
      <c r="B2981">
        <v>7.4</v>
      </c>
    </row>
    <row r="2982" spans="1:2" x14ac:dyDescent="0.25">
      <c r="A2982" s="1">
        <v>43053</v>
      </c>
      <c r="B2982">
        <v>7.4</v>
      </c>
    </row>
    <row r="2983" spans="1:2" x14ac:dyDescent="0.25">
      <c r="A2983" s="1">
        <v>43055</v>
      </c>
      <c r="B2983">
        <v>7.4</v>
      </c>
    </row>
    <row r="2984" spans="1:2" x14ac:dyDescent="0.25">
      <c r="A2984" s="1">
        <v>43056</v>
      </c>
      <c r="B2984">
        <v>7.4</v>
      </c>
    </row>
    <row r="2985" spans="1:2" x14ac:dyDescent="0.25">
      <c r="A2985" s="1">
        <v>43059</v>
      </c>
      <c r="B2985">
        <v>7.4</v>
      </c>
    </row>
    <row r="2986" spans="1:2" x14ac:dyDescent="0.25">
      <c r="A2986" s="1">
        <v>43060</v>
      </c>
      <c r="B2986">
        <v>7.4</v>
      </c>
    </row>
    <row r="2987" spans="1:2" x14ac:dyDescent="0.25">
      <c r="A2987" s="1">
        <v>43061</v>
      </c>
      <c r="B2987">
        <v>7.4</v>
      </c>
    </row>
    <row r="2988" spans="1:2" x14ac:dyDescent="0.25">
      <c r="A2988" s="1">
        <v>43062</v>
      </c>
      <c r="B2988">
        <v>7.4</v>
      </c>
    </row>
    <row r="2989" spans="1:2" x14ac:dyDescent="0.25">
      <c r="A2989" s="1">
        <v>43063</v>
      </c>
      <c r="B2989">
        <v>7.4</v>
      </c>
    </row>
    <row r="2990" spans="1:2" x14ac:dyDescent="0.25">
      <c r="A2990" s="1">
        <v>43066</v>
      </c>
      <c r="B2990">
        <v>7.4</v>
      </c>
    </row>
    <row r="2991" spans="1:2" x14ac:dyDescent="0.25">
      <c r="A2991" s="1">
        <v>43067</v>
      </c>
      <c r="B2991">
        <v>7.4</v>
      </c>
    </row>
    <row r="2992" spans="1:2" x14ac:dyDescent="0.25">
      <c r="A2992" s="1">
        <v>43068</v>
      </c>
      <c r="B2992">
        <v>7.4</v>
      </c>
    </row>
    <row r="2993" spans="1:2" x14ac:dyDescent="0.25">
      <c r="A2993" s="1">
        <v>43069</v>
      </c>
      <c r="B2993">
        <v>7.4</v>
      </c>
    </row>
    <row r="2994" spans="1:2" x14ac:dyDescent="0.25">
      <c r="A2994" s="1">
        <v>43070</v>
      </c>
      <c r="B2994">
        <v>7.4</v>
      </c>
    </row>
    <row r="2995" spans="1:2" x14ac:dyDescent="0.25">
      <c r="A2995" s="1">
        <v>43073</v>
      </c>
      <c r="B2995">
        <v>7.4</v>
      </c>
    </row>
    <row r="2996" spans="1:2" x14ac:dyDescent="0.25">
      <c r="A2996" s="1">
        <v>43074</v>
      </c>
      <c r="B2996">
        <v>7.4</v>
      </c>
    </row>
    <row r="2997" spans="1:2" x14ac:dyDescent="0.25">
      <c r="A2997" s="1">
        <v>43075</v>
      </c>
      <c r="B2997">
        <v>7.4</v>
      </c>
    </row>
    <row r="2998" spans="1:2" x14ac:dyDescent="0.25">
      <c r="A2998" s="1">
        <v>43076</v>
      </c>
      <c r="B2998">
        <v>6.9</v>
      </c>
    </row>
    <row r="2999" spans="1:2" x14ac:dyDescent="0.25">
      <c r="A2999" s="1">
        <v>43077</v>
      </c>
      <c r="B2999">
        <v>6.9</v>
      </c>
    </row>
    <row r="3000" spans="1:2" x14ac:dyDescent="0.25">
      <c r="A3000" s="1">
        <v>43080</v>
      </c>
      <c r="B3000">
        <v>6.9</v>
      </c>
    </row>
    <row r="3001" spans="1:2" x14ac:dyDescent="0.25">
      <c r="A3001" s="1">
        <v>43081</v>
      </c>
      <c r="B3001">
        <v>6.9</v>
      </c>
    </row>
    <row r="3002" spans="1:2" x14ac:dyDescent="0.25">
      <c r="A3002" s="1">
        <v>43082</v>
      </c>
      <c r="B3002">
        <v>6.9</v>
      </c>
    </row>
    <row r="3003" spans="1:2" x14ac:dyDescent="0.25">
      <c r="A3003" s="1">
        <v>43083</v>
      </c>
      <c r="B3003">
        <v>6.9</v>
      </c>
    </row>
    <row r="3004" spans="1:2" x14ac:dyDescent="0.25">
      <c r="A3004" s="1">
        <v>43084</v>
      </c>
      <c r="B3004">
        <v>6.9</v>
      </c>
    </row>
    <row r="3005" spans="1:2" x14ac:dyDescent="0.25">
      <c r="A3005" s="1">
        <v>43087</v>
      </c>
      <c r="B3005">
        <v>6.9</v>
      </c>
    </row>
    <row r="3006" spans="1:2" x14ac:dyDescent="0.25">
      <c r="A3006" s="1">
        <v>43088</v>
      </c>
      <c r="B3006">
        <v>6.9</v>
      </c>
    </row>
    <row r="3007" spans="1:2" x14ac:dyDescent="0.25">
      <c r="A3007" s="1">
        <v>43089</v>
      </c>
      <c r="B3007">
        <v>6.9</v>
      </c>
    </row>
    <row r="3008" spans="1:2" x14ac:dyDescent="0.25">
      <c r="A3008" s="1">
        <v>43090</v>
      </c>
      <c r="B3008">
        <v>6.9</v>
      </c>
    </row>
    <row r="3009" spans="1:2" x14ac:dyDescent="0.25">
      <c r="A3009" s="1">
        <v>43091</v>
      </c>
      <c r="B3009">
        <v>6.9</v>
      </c>
    </row>
    <row r="3010" spans="1:2" x14ac:dyDescent="0.25">
      <c r="A3010" s="1">
        <v>43095</v>
      </c>
      <c r="B3010">
        <v>6.9</v>
      </c>
    </row>
    <row r="3011" spans="1:2" x14ac:dyDescent="0.25">
      <c r="A3011" s="1">
        <v>43096</v>
      </c>
      <c r="B3011">
        <v>6.9</v>
      </c>
    </row>
    <row r="3012" spans="1:2" x14ac:dyDescent="0.25">
      <c r="A3012" s="1">
        <v>43097</v>
      </c>
      <c r="B3012">
        <v>6.9</v>
      </c>
    </row>
    <row r="3013" spans="1:2" x14ac:dyDescent="0.25">
      <c r="A3013" s="1">
        <v>43098</v>
      </c>
      <c r="B3013">
        <v>6.9</v>
      </c>
    </row>
    <row r="3014" spans="1:2" x14ac:dyDescent="0.25">
      <c r="A3014" s="1">
        <v>43102</v>
      </c>
      <c r="B3014">
        <v>6.9</v>
      </c>
    </row>
    <row r="3015" spans="1:2" x14ac:dyDescent="0.25">
      <c r="A3015" s="1">
        <v>43103</v>
      </c>
      <c r="B3015">
        <v>6.9</v>
      </c>
    </row>
    <row r="3016" spans="1:2" x14ac:dyDescent="0.25">
      <c r="A3016" s="1">
        <v>43104</v>
      </c>
      <c r="B3016">
        <v>6.9</v>
      </c>
    </row>
    <row r="3017" spans="1:2" x14ac:dyDescent="0.25">
      <c r="A3017" s="1">
        <v>43105</v>
      </c>
      <c r="B3017">
        <v>6.9</v>
      </c>
    </row>
    <row r="3018" spans="1:2" x14ac:dyDescent="0.25">
      <c r="A3018" s="1">
        <v>43108</v>
      </c>
      <c r="B3018">
        <v>6.9</v>
      </c>
    </row>
    <row r="3019" spans="1:2" x14ac:dyDescent="0.25">
      <c r="A3019" s="1">
        <v>43109</v>
      </c>
      <c r="B3019">
        <v>6.9</v>
      </c>
    </row>
    <row r="3020" spans="1:2" x14ac:dyDescent="0.25">
      <c r="A3020" s="1">
        <v>43110</v>
      </c>
      <c r="B3020">
        <v>6.9</v>
      </c>
    </row>
    <row r="3021" spans="1:2" x14ac:dyDescent="0.25">
      <c r="A3021" s="1">
        <v>43111</v>
      </c>
      <c r="B3021">
        <v>6.9</v>
      </c>
    </row>
    <row r="3022" spans="1:2" x14ac:dyDescent="0.25">
      <c r="A3022" s="1">
        <v>43112</v>
      </c>
      <c r="B3022">
        <v>6.9</v>
      </c>
    </row>
    <row r="3023" spans="1:2" x14ac:dyDescent="0.25">
      <c r="A3023" s="1">
        <v>43115</v>
      </c>
      <c r="B3023">
        <v>6.9</v>
      </c>
    </row>
    <row r="3024" spans="1:2" x14ac:dyDescent="0.25">
      <c r="A3024" s="1">
        <v>43116</v>
      </c>
      <c r="B3024">
        <v>6.9</v>
      </c>
    </row>
    <row r="3025" spans="1:2" x14ac:dyDescent="0.25">
      <c r="A3025" s="1">
        <v>43117</v>
      </c>
      <c r="B3025">
        <v>6.9</v>
      </c>
    </row>
    <row r="3026" spans="1:2" x14ac:dyDescent="0.25">
      <c r="A3026" s="1">
        <v>43118</v>
      </c>
      <c r="B3026">
        <v>6.9</v>
      </c>
    </row>
    <row r="3027" spans="1:2" x14ac:dyDescent="0.25">
      <c r="A3027" s="1">
        <v>43119</v>
      </c>
      <c r="B3027">
        <v>6.9</v>
      </c>
    </row>
    <row r="3028" spans="1:2" x14ac:dyDescent="0.25">
      <c r="A3028" s="1">
        <v>43122</v>
      </c>
      <c r="B3028">
        <v>6.9</v>
      </c>
    </row>
    <row r="3029" spans="1:2" x14ac:dyDescent="0.25">
      <c r="A3029" s="1">
        <v>43123</v>
      </c>
      <c r="B3029">
        <v>6.9</v>
      </c>
    </row>
    <row r="3030" spans="1:2" x14ac:dyDescent="0.25">
      <c r="A3030" s="1">
        <v>43124</v>
      </c>
      <c r="B3030">
        <v>6.9</v>
      </c>
    </row>
    <row r="3031" spans="1:2" x14ac:dyDescent="0.25">
      <c r="A3031" s="1">
        <v>43125</v>
      </c>
      <c r="B3031">
        <v>6.9</v>
      </c>
    </row>
    <row r="3032" spans="1:2" x14ac:dyDescent="0.25">
      <c r="A3032" s="1">
        <v>43126</v>
      </c>
      <c r="B3032">
        <v>6.9</v>
      </c>
    </row>
    <row r="3033" spans="1:2" x14ac:dyDescent="0.25">
      <c r="A3033" s="1">
        <v>43129</v>
      </c>
      <c r="B3033">
        <v>6.9</v>
      </c>
    </row>
    <row r="3034" spans="1:2" x14ac:dyDescent="0.25">
      <c r="A3034" s="1">
        <v>43130</v>
      </c>
      <c r="B3034">
        <v>6.9</v>
      </c>
    </row>
    <row r="3035" spans="1:2" x14ac:dyDescent="0.25">
      <c r="A3035" s="1">
        <v>43131</v>
      </c>
      <c r="B3035">
        <v>6.9</v>
      </c>
    </row>
    <row r="3036" spans="1:2" x14ac:dyDescent="0.25">
      <c r="A3036" s="1">
        <v>43132</v>
      </c>
      <c r="B3036">
        <v>6.9</v>
      </c>
    </row>
    <row r="3037" spans="1:2" x14ac:dyDescent="0.25">
      <c r="A3037" s="1">
        <v>43133</v>
      </c>
      <c r="B3037">
        <v>6.9</v>
      </c>
    </row>
    <row r="3038" spans="1:2" x14ac:dyDescent="0.25">
      <c r="A3038" s="1">
        <v>43136</v>
      </c>
      <c r="B3038">
        <v>6.9</v>
      </c>
    </row>
    <row r="3039" spans="1:2" x14ac:dyDescent="0.25">
      <c r="A3039" s="1">
        <v>43137</v>
      </c>
      <c r="B3039">
        <v>6.9</v>
      </c>
    </row>
    <row r="3040" spans="1:2" x14ac:dyDescent="0.25">
      <c r="A3040" s="1">
        <v>43138</v>
      </c>
      <c r="B3040">
        <v>6.9</v>
      </c>
    </row>
    <row r="3041" spans="1:2" x14ac:dyDescent="0.25">
      <c r="A3041" s="1">
        <v>43139</v>
      </c>
      <c r="B3041">
        <v>6.65</v>
      </c>
    </row>
    <row r="3042" spans="1:2" x14ac:dyDescent="0.25">
      <c r="A3042" s="1">
        <v>43140</v>
      </c>
      <c r="B3042">
        <v>6.65</v>
      </c>
    </row>
    <row r="3043" spans="1:2" x14ac:dyDescent="0.25">
      <c r="A3043" s="1">
        <v>43145</v>
      </c>
      <c r="B3043">
        <v>6.65</v>
      </c>
    </row>
    <row r="3044" spans="1:2" x14ac:dyDescent="0.25">
      <c r="A3044" s="1">
        <v>43146</v>
      </c>
      <c r="B3044">
        <v>6.65</v>
      </c>
    </row>
    <row r="3045" spans="1:2" x14ac:dyDescent="0.25">
      <c r="A3045" s="1">
        <v>43147</v>
      </c>
      <c r="B3045">
        <v>6.65</v>
      </c>
    </row>
    <row r="3046" spans="1:2" x14ac:dyDescent="0.25">
      <c r="A3046" s="1">
        <v>43150</v>
      </c>
      <c r="B3046">
        <v>6.65</v>
      </c>
    </row>
    <row r="3047" spans="1:2" x14ac:dyDescent="0.25">
      <c r="A3047" s="1">
        <v>43151</v>
      </c>
      <c r="B3047">
        <v>6.65</v>
      </c>
    </row>
    <row r="3048" spans="1:2" x14ac:dyDescent="0.25">
      <c r="A3048" s="1">
        <v>43152</v>
      </c>
      <c r="B3048">
        <v>6.65</v>
      </c>
    </row>
    <row r="3049" spans="1:2" x14ac:dyDescent="0.25">
      <c r="A3049" s="1">
        <v>43153</v>
      </c>
      <c r="B3049">
        <v>6.65</v>
      </c>
    </row>
    <row r="3050" spans="1:2" x14ac:dyDescent="0.25">
      <c r="A3050" s="1">
        <v>43154</v>
      </c>
      <c r="B3050">
        <v>6.65</v>
      </c>
    </row>
    <row r="3051" spans="1:2" x14ac:dyDescent="0.25">
      <c r="A3051" s="1">
        <v>43157</v>
      </c>
      <c r="B3051">
        <v>6.65</v>
      </c>
    </row>
    <row r="3052" spans="1:2" x14ac:dyDescent="0.25">
      <c r="A3052" s="1">
        <v>43158</v>
      </c>
      <c r="B3052">
        <v>6.65</v>
      </c>
    </row>
    <row r="3053" spans="1:2" x14ac:dyDescent="0.25">
      <c r="A3053" s="1">
        <v>43159</v>
      </c>
      <c r="B3053">
        <v>6.65</v>
      </c>
    </row>
    <row r="3054" spans="1:2" x14ac:dyDescent="0.25">
      <c r="A3054" s="1">
        <v>43160</v>
      </c>
      <c r="B3054">
        <v>6.65</v>
      </c>
    </row>
    <row r="3055" spans="1:2" x14ac:dyDescent="0.25">
      <c r="A3055" s="1">
        <v>43161</v>
      </c>
      <c r="B3055">
        <v>6.65</v>
      </c>
    </row>
    <row r="3056" spans="1:2" x14ac:dyDescent="0.25">
      <c r="A3056" s="1">
        <v>43164</v>
      </c>
      <c r="B3056">
        <v>6.65</v>
      </c>
    </row>
    <row r="3057" spans="1:2" x14ac:dyDescent="0.25">
      <c r="A3057" s="1">
        <v>43165</v>
      </c>
      <c r="B3057">
        <v>6.65</v>
      </c>
    </row>
    <row r="3058" spans="1:2" x14ac:dyDescent="0.25">
      <c r="A3058" s="1">
        <v>43166</v>
      </c>
      <c r="B3058">
        <v>6.65</v>
      </c>
    </row>
    <row r="3059" spans="1:2" x14ac:dyDescent="0.25">
      <c r="A3059" s="1">
        <v>43167</v>
      </c>
      <c r="B3059">
        <v>6.65</v>
      </c>
    </row>
    <row r="3060" spans="1:2" x14ac:dyDescent="0.25">
      <c r="A3060" s="1">
        <v>43168</v>
      </c>
      <c r="B3060">
        <v>6.65</v>
      </c>
    </row>
    <row r="3061" spans="1:2" x14ac:dyDescent="0.25">
      <c r="A3061" s="1">
        <v>43171</v>
      </c>
      <c r="B3061">
        <v>6.65</v>
      </c>
    </row>
    <row r="3062" spans="1:2" x14ac:dyDescent="0.25">
      <c r="A3062" s="1">
        <v>43172</v>
      </c>
      <c r="B3062">
        <v>6.65</v>
      </c>
    </row>
    <row r="3063" spans="1:2" x14ac:dyDescent="0.25">
      <c r="A3063" s="1">
        <v>43173</v>
      </c>
      <c r="B3063">
        <v>6.65</v>
      </c>
    </row>
    <row r="3064" spans="1:2" x14ac:dyDescent="0.25">
      <c r="A3064" s="1">
        <v>43174</v>
      </c>
      <c r="B3064">
        <v>6.65</v>
      </c>
    </row>
    <row r="3065" spans="1:2" x14ac:dyDescent="0.25">
      <c r="A3065" s="1">
        <v>43175</v>
      </c>
      <c r="B3065">
        <v>6.65</v>
      </c>
    </row>
    <row r="3066" spans="1:2" x14ac:dyDescent="0.25">
      <c r="A3066" s="1">
        <v>43178</v>
      </c>
      <c r="B3066">
        <v>6.65</v>
      </c>
    </row>
    <row r="3067" spans="1:2" x14ac:dyDescent="0.25">
      <c r="A3067" s="1">
        <v>43179</v>
      </c>
      <c r="B3067">
        <v>6.65</v>
      </c>
    </row>
    <row r="3068" spans="1:2" x14ac:dyDescent="0.25">
      <c r="A3068" s="1">
        <v>43180</v>
      </c>
      <c r="B3068">
        <v>6.65</v>
      </c>
    </row>
    <row r="3069" spans="1:2" x14ac:dyDescent="0.25">
      <c r="A3069" s="1">
        <v>43181</v>
      </c>
      <c r="B3069">
        <v>6.4</v>
      </c>
    </row>
    <row r="3070" spans="1:2" x14ac:dyDescent="0.25">
      <c r="A3070" s="1">
        <v>43182</v>
      </c>
      <c r="B3070">
        <v>6.4</v>
      </c>
    </row>
    <row r="3071" spans="1:2" x14ac:dyDescent="0.25">
      <c r="A3071" s="1">
        <v>43185</v>
      </c>
      <c r="B3071">
        <v>6.4</v>
      </c>
    </row>
    <row r="3072" spans="1:2" x14ac:dyDescent="0.25">
      <c r="A3072" s="1">
        <v>43186</v>
      </c>
      <c r="B3072">
        <v>6.4</v>
      </c>
    </row>
    <row r="3073" spans="1:2" x14ac:dyDescent="0.25">
      <c r="A3073" s="1">
        <v>43187</v>
      </c>
      <c r="B3073">
        <v>6.4</v>
      </c>
    </row>
    <row r="3074" spans="1:2" x14ac:dyDescent="0.25">
      <c r="A3074" s="1">
        <v>43188</v>
      </c>
      <c r="B3074">
        <v>6.4</v>
      </c>
    </row>
    <row r="3075" spans="1:2" x14ac:dyDescent="0.25">
      <c r="A3075" s="1">
        <v>43192</v>
      </c>
      <c r="B3075">
        <v>6.4</v>
      </c>
    </row>
    <row r="3076" spans="1:2" x14ac:dyDescent="0.25">
      <c r="A3076" s="1">
        <v>43193</v>
      </c>
      <c r="B3076">
        <v>6.4</v>
      </c>
    </row>
    <row r="3077" spans="1:2" x14ac:dyDescent="0.25">
      <c r="A3077" s="1">
        <v>43194</v>
      </c>
      <c r="B3077">
        <v>6.4</v>
      </c>
    </row>
    <row r="3078" spans="1:2" x14ac:dyDescent="0.25">
      <c r="A3078" s="1">
        <v>43195</v>
      </c>
      <c r="B3078">
        <v>6.4</v>
      </c>
    </row>
    <row r="3079" spans="1:2" x14ac:dyDescent="0.25">
      <c r="A3079" s="1">
        <v>43196</v>
      </c>
      <c r="B3079">
        <v>6.4</v>
      </c>
    </row>
    <row r="3080" spans="1:2" x14ac:dyDescent="0.25">
      <c r="A3080" s="1">
        <v>43199</v>
      </c>
      <c r="B3080">
        <v>6.4</v>
      </c>
    </row>
    <row r="3081" spans="1:2" x14ac:dyDescent="0.25">
      <c r="A3081" s="1">
        <v>43200</v>
      </c>
      <c r="B3081">
        <v>6.4</v>
      </c>
    </row>
    <row r="3082" spans="1:2" x14ac:dyDescent="0.25">
      <c r="A3082" s="1">
        <v>43201</v>
      </c>
      <c r="B3082">
        <v>6.4</v>
      </c>
    </row>
    <row r="3083" spans="1:2" x14ac:dyDescent="0.25">
      <c r="A3083" s="1">
        <v>43202</v>
      </c>
      <c r="B3083">
        <v>6.4</v>
      </c>
    </row>
    <row r="3084" spans="1:2" x14ac:dyDescent="0.25">
      <c r="A3084" s="1">
        <v>43203</v>
      </c>
      <c r="B3084">
        <v>6.4</v>
      </c>
    </row>
    <row r="3085" spans="1:2" x14ac:dyDescent="0.25">
      <c r="A3085" s="1">
        <v>43206</v>
      </c>
      <c r="B3085">
        <v>6.4</v>
      </c>
    </row>
    <row r="3086" spans="1:2" x14ac:dyDescent="0.25">
      <c r="A3086" s="1">
        <v>43207</v>
      </c>
      <c r="B3086">
        <v>6.4</v>
      </c>
    </row>
    <row r="3087" spans="1:2" x14ac:dyDescent="0.25">
      <c r="A3087" s="1">
        <v>43208</v>
      </c>
      <c r="B3087">
        <v>6.4</v>
      </c>
    </row>
    <row r="3088" spans="1:2" x14ac:dyDescent="0.25">
      <c r="A3088" s="1">
        <v>43209</v>
      </c>
      <c r="B3088">
        <v>6.4</v>
      </c>
    </row>
    <row r="3089" spans="1:2" x14ac:dyDescent="0.25">
      <c r="A3089" s="1">
        <v>43210</v>
      </c>
      <c r="B3089">
        <v>6.4</v>
      </c>
    </row>
    <row r="3090" spans="1:2" x14ac:dyDescent="0.25">
      <c r="A3090" s="1">
        <v>43213</v>
      </c>
      <c r="B3090">
        <v>6.4</v>
      </c>
    </row>
    <row r="3091" spans="1:2" x14ac:dyDescent="0.25">
      <c r="A3091" s="1">
        <v>43214</v>
      </c>
      <c r="B3091">
        <v>6.4</v>
      </c>
    </row>
    <row r="3092" spans="1:2" x14ac:dyDescent="0.25">
      <c r="A3092" s="1">
        <v>43215</v>
      </c>
      <c r="B3092">
        <v>6.4</v>
      </c>
    </row>
    <row r="3093" spans="1:2" x14ac:dyDescent="0.25">
      <c r="A3093" s="1">
        <v>43216</v>
      </c>
      <c r="B3093">
        <v>6.4</v>
      </c>
    </row>
    <row r="3094" spans="1:2" x14ac:dyDescent="0.25">
      <c r="A3094" s="1">
        <v>43217</v>
      </c>
      <c r="B3094">
        <v>6.4</v>
      </c>
    </row>
    <row r="3095" spans="1:2" x14ac:dyDescent="0.25">
      <c r="A3095" s="1">
        <v>43220</v>
      </c>
      <c r="B3095">
        <v>6.4</v>
      </c>
    </row>
    <row r="3096" spans="1:2" x14ac:dyDescent="0.25">
      <c r="A3096" s="1">
        <v>43222</v>
      </c>
      <c r="B3096">
        <v>6.4</v>
      </c>
    </row>
    <row r="3097" spans="1:2" x14ac:dyDescent="0.25">
      <c r="A3097" s="1">
        <v>43223</v>
      </c>
      <c r="B3097">
        <v>6.4</v>
      </c>
    </row>
    <row r="3098" spans="1:2" x14ac:dyDescent="0.25">
      <c r="A3098" s="1">
        <v>43224</v>
      </c>
      <c r="B3098">
        <v>6.4</v>
      </c>
    </row>
    <row r="3099" spans="1:2" x14ac:dyDescent="0.25">
      <c r="A3099" s="1">
        <v>43227</v>
      </c>
      <c r="B3099">
        <v>6.4</v>
      </c>
    </row>
    <row r="3100" spans="1:2" x14ac:dyDescent="0.25">
      <c r="A3100" s="1">
        <v>43228</v>
      </c>
      <c r="B3100">
        <v>6.4</v>
      </c>
    </row>
    <row r="3101" spans="1:2" x14ac:dyDescent="0.25">
      <c r="A3101" s="1">
        <v>43229</v>
      </c>
      <c r="B3101">
        <v>6.4</v>
      </c>
    </row>
    <row r="3102" spans="1:2" x14ac:dyDescent="0.25">
      <c r="A3102" s="1">
        <v>43230</v>
      </c>
      <c r="B3102">
        <v>6.4</v>
      </c>
    </row>
    <row r="3103" spans="1:2" x14ac:dyDescent="0.25">
      <c r="A3103" s="1">
        <v>43231</v>
      </c>
      <c r="B3103">
        <v>6.4</v>
      </c>
    </row>
    <row r="3104" spans="1:2" x14ac:dyDescent="0.25">
      <c r="A3104" s="1">
        <v>43234</v>
      </c>
      <c r="B3104">
        <v>6.4</v>
      </c>
    </row>
    <row r="3105" spans="1:2" x14ac:dyDescent="0.25">
      <c r="A3105" s="1">
        <v>43235</v>
      </c>
      <c r="B3105">
        <v>6.4</v>
      </c>
    </row>
    <row r="3106" spans="1:2" x14ac:dyDescent="0.25">
      <c r="A3106" s="1">
        <v>43236</v>
      </c>
      <c r="B3106">
        <v>6.4</v>
      </c>
    </row>
    <row r="3107" spans="1:2" x14ac:dyDescent="0.25">
      <c r="A3107" s="1">
        <v>43237</v>
      </c>
      <c r="B3107">
        <v>6.4</v>
      </c>
    </row>
    <row r="3108" spans="1:2" x14ac:dyDescent="0.25">
      <c r="A3108" s="1">
        <v>43238</v>
      </c>
      <c r="B3108">
        <v>6.4</v>
      </c>
    </row>
    <row r="3109" spans="1:2" x14ac:dyDescent="0.25">
      <c r="A3109" s="1">
        <v>43241</v>
      </c>
      <c r="B3109">
        <v>6.4</v>
      </c>
    </row>
    <row r="3110" spans="1:2" x14ac:dyDescent="0.25">
      <c r="A3110" s="1">
        <v>43242</v>
      </c>
      <c r="B3110">
        <v>6.4</v>
      </c>
    </row>
    <row r="3111" spans="1:2" x14ac:dyDescent="0.25">
      <c r="A3111" s="1">
        <v>43243</v>
      </c>
      <c r="B3111">
        <v>6.4</v>
      </c>
    </row>
    <row r="3112" spans="1:2" x14ac:dyDescent="0.25">
      <c r="A3112" s="1">
        <v>43244</v>
      </c>
      <c r="B3112">
        <v>6.4</v>
      </c>
    </row>
    <row r="3113" spans="1:2" x14ac:dyDescent="0.25">
      <c r="A3113" s="1">
        <v>43245</v>
      </c>
      <c r="B3113">
        <v>6.4</v>
      </c>
    </row>
    <row r="3114" spans="1:2" x14ac:dyDescent="0.25">
      <c r="A3114" s="1">
        <v>43248</v>
      </c>
      <c r="B3114">
        <v>6.4</v>
      </c>
    </row>
    <row r="3115" spans="1:2" x14ac:dyDescent="0.25">
      <c r="A3115" s="1">
        <v>43249</v>
      </c>
      <c r="B3115">
        <v>6.4</v>
      </c>
    </row>
    <row r="3116" spans="1:2" x14ac:dyDescent="0.25">
      <c r="A3116" s="1">
        <v>43250</v>
      </c>
      <c r="B3116">
        <v>6.4</v>
      </c>
    </row>
    <row r="3117" spans="1:2" x14ac:dyDescent="0.25">
      <c r="A3117" s="1">
        <v>43252</v>
      </c>
      <c r="B3117">
        <v>6.4</v>
      </c>
    </row>
    <row r="3118" spans="1:2" x14ac:dyDescent="0.25">
      <c r="A3118" s="1">
        <v>43255</v>
      </c>
      <c r="B3118">
        <v>6.4</v>
      </c>
    </row>
    <row r="3119" spans="1:2" x14ac:dyDescent="0.25">
      <c r="A3119" s="1">
        <v>43256</v>
      </c>
      <c r="B3119">
        <v>6.4</v>
      </c>
    </row>
    <row r="3120" spans="1:2" x14ac:dyDescent="0.25">
      <c r="A3120" s="1">
        <v>43257</v>
      </c>
      <c r="B3120">
        <v>6.4</v>
      </c>
    </row>
    <row r="3121" spans="1:2" x14ac:dyDescent="0.25">
      <c r="A3121" s="1">
        <v>43258</v>
      </c>
      <c r="B3121">
        <v>6.4</v>
      </c>
    </row>
    <row r="3122" spans="1:2" x14ac:dyDescent="0.25">
      <c r="A3122" s="1">
        <v>43259</v>
      </c>
      <c r="B3122">
        <v>6.4</v>
      </c>
    </row>
    <row r="3123" spans="1:2" x14ac:dyDescent="0.25">
      <c r="A3123" s="1">
        <v>43262</v>
      </c>
      <c r="B3123">
        <v>6.4</v>
      </c>
    </row>
    <row r="3124" spans="1:2" x14ac:dyDescent="0.25">
      <c r="A3124" s="1">
        <v>43263</v>
      </c>
      <c r="B3124">
        <v>6.4</v>
      </c>
    </row>
    <row r="3125" spans="1:2" x14ac:dyDescent="0.25">
      <c r="A3125" s="1">
        <v>43264</v>
      </c>
      <c r="B3125">
        <v>6.4</v>
      </c>
    </row>
    <row r="3126" spans="1:2" x14ac:dyDescent="0.25">
      <c r="A3126" s="1">
        <v>43265</v>
      </c>
      <c r="B3126">
        <v>6.4</v>
      </c>
    </row>
    <row r="3127" spans="1:2" x14ac:dyDescent="0.25">
      <c r="A3127" s="1">
        <v>43266</v>
      </c>
      <c r="B3127">
        <v>6.4</v>
      </c>
    </row>
    <row r="3128" spans="1:2" x14ac:dyDescent="0.25">
      <c r="A3128" s="1">
        <v>43269</v>
      </c>
      <c r="B3128">
        <v>6.4</v>
      </c>
    </row>
    <row r="3129" spans="1:2" x14ac:dyDescent="0.25">
      <c r="A3129" s="1">
        <v>43270</v>
      </c>
      <c r="B3129">
        <v>6.4</v>
      </c>
    </row>
    <row r="3130" spans="1:2" x14ac:dyDescent="0.25">
      <c r="A3130" s="1">
        <v>43271</v>
      </c>
      <c r="B3130">
        <v>6.4</v>
      </c>
    </row>
    <row r="3131" spans="1:2" x14ac:dyDescent="0.25">
      <c r="A3131" s="1">
        <v>43272</v>
      </c>
      <c r="B3131">
        <v>6.4</v>
      </c>
    </row>
    <row r="3132" spans="1:2" x14ac:dyDescent="0.25">
      <c r="A3132" s="1">
        <v>43273</v>
      </c>
      <c r="B3132">
        <v>6.4</v>
      </c>
    </row>
    <row r="3133" spans="1:2" x14ac:dyDescent="0.25">
      <c r="A3133" s="1">
        <v>43276</v>
      </c>
      <c r="B3133">
        <v>6.4</v>
      </c>
    </row>
    <row r="3134" spans="1:2" x14ac:dyDescent="0.25">
      <c r="A3134" s="1">
        <v>43277</v>
      </c>
      <c r="B3134">
        <v>6.4</v>
      </c>
    </row>
    <row r="3135" spans="1:2" x14ac:dyDescent="0.25">
      <c r="A3135" s="1">
        <v>43278</v>
      </c>
      <c r="B3135">
        <v>6.4</v>
      </c>
    </row>
    <row r="3136" spans="1:2" x14ac:dyDescent="0.25">
      <c r="A3136" s="1">
        <v>43279</v>
      </c>
      <c r="B3136">
        <v>6.4</v>
      </c>
    </row>
    <row r="3137" spans="1:2" x14ac:dyDescent="0.25">
      <c r="A3137" s="1">
        <v>43280</v>
      </c>
      <c r="B3137">
        <v>6.4</v>
      </c>
    </row>
    <row r="3138" spans="1:2" x14ac:dyDescent="0.25">
      <c r="A3138" s="1">
        <v>43283</v>
      </c>
      <c r="B3138">
        <v>6.4</v>
      </c>
    </row>
    <row r="3139" spans="1:2" x14ac:dyDescent="0.25">
      <c r="A3139" s="1">
        <v>43284</v>
      </c>
      <c r="B3139">
        <v>6.4</v>
      </c>
    </row>
    <row r="3140" spans="1:2" x14ac:dyDescent="0.25">
      <c r="A3140" s="1">
        <v>43285</v>
      </c>
      <c r="B3140">
        <v>6.4</v>
      </c>
    </row>
    <row r="3141" spans="1:2" x14ac:dyDescent="0.25">
      <c r="A3141" s="1">
        <v>43286</v>
      </c>
      <c r="B3141">
        <v>6.4</v>
      </c>
    </row>
    <row r="3142" spans="1:2" x14ac:dyDescent="0.25">
      <c r="A3142" s="1">
        <v>43287</v>
      </c>
      <c r="B3142">
        <v>6.4</v>
      </c>
    </row>
    <row r="3143" spans="1:2" x14ac:dyDescent="0.25">
      <c r="A3143" s="1">
        <v>43290</v>
      </c>
      <c r="B3143">
        <v>6.4</v>
      </c>
    </row>
    <row r="3144" spans="1:2" x14ac:dyDescent="0.25">
      <c r="A3144" s="1">
        <v>43291</v>
      </c>
      <c r="B3144">
        <v>6.4</v>
      </c>
    </row>
    <row r="3145" spans="1:2" x14ac:dyDescent="0.25">
      <c r="A3145" s="1">
        <v>43292</v>
      </c>
      <c r="B3145">
        <v>6.4</v>
      </c>
    </row>
    <row r="3146" spans="1:2" x14ac:dyDescent="0.25">
      <c r="A3146" s="1">
        <v>43293</v>
      </c>
      <c r="B3146">
        <v>6.4</v>
      </c>
    </row>
    <row r="3147" spans="1:2" x14ac:dyDescent="0.25">
      <c r="A3147" s="1">
        <v>43294</v>
      </c>
      <c r="B3147">
        <v>6.4</v>
      </c>
    </row>
    <row r="3148" spans="1:2" x14ac:dyDescent="0.25">
      <c r="A3148" s="1">
        <v>43297</v>
      </c>
      <c r="B3148">
        <v>6.4</v>
      </c>
    </row>
    <row r="3149" spans="1:2" x14ac:dyDescent="0.25">
      <c r="A3149" s="1">
        <v>43298</v>
      </c>
      <c r="B3149">
        <v>6.4</v>
      </c>
    </row>
    <row r="3150" spans="1:2" x14ac:dyDescent="0.25">
      <c r="A3150" s="1">
        <v>43299</v>
      </c>
      <c r="B3150">
        <v>6.4</v>
      </c>
    </row>
    <row r="3151" spans="1:2" x14ac:dyDescent="0.25">
      <c r="A3151" s="1">
        <v>43300</v>
      </c>
      <c r="B3151">
        <v>6.4</v>
      </c>
    </row>
    <row r="3152" spans="1:2" x14ac:dyDescent="0.25">
      <c r="A3152" s="1">
        <v>43301</v>
      </c>
      <c r="B3152">
        <v>6.4</v>
      </c>
    </row>
    <row r="3153" spans="1:2" x14ac:dyDescent="0.25">
      <c r="A3153" s="1">
        <v>43304</v>
      </c>
      <c r="B3153">
        <v>6.4</v>
      </c>
    </row>
    <row r="3154" spans="1:2" x14ac:dyDescent="0.25">
      <c r="A3154" s="1">
        <v>43305</v>
      </c>
      <c r="B3154">
        <v>6.4</v>
      </c>
    </row>
    <row r="3155" spans="1:2" x14ac:dyDescent="0.25">
      <c r="A3155" s="1">
        <v>43306</v>
      </c>
      <c r="B3155">
        <v>6.4</v>
      </c>
    </row>
    <row r="3156" spans="1:2" x14ac:dyDescent="0.25">
      <c r="A3156" s="1">
        <v>43307</v>
      </c>
      <c r="B3156">
        <v>6.4</v>
      </c>
    </row>
    <row r="3157" spans="1:2" x14ac:dyDescent="0.25">
      <c r="A3157" s="1">
        <v>43308</v>
      </c>
      <c r="B3157">
        <v>6.4</v>
      </c>
    </row>
    <row r="3158" spans="1:2" x14ac:dyDescent="0.25">
      <c r="A3158" s="1">
        <v>43311</v>
      </c>
      <c r="B3158">
        <v>6.4</v>
      </c>
    </row>
    <row r="3159" spans="1:2" x14ac:dyDescent="0.25">
      <c r="A3159" s="1">
        <v>43312</v>
      </c>
      <c r="B3159">
        <v>6.4</v>
      </c>
    </row>
    <row r="3160" spans="1:2" x14ac:dyDescent="0.25">
      <c r="A3160" s="1">
        <v>43313</v>
      </c>
      <c r="B3160">
        <v>6.4</v>
      </c>
    </row>
    <row r="3161" spans="1:2" x14ac:dyDescent="0.25">
      <c r="A3161" s="1">
        <v>43314</v>
      </c>
      <c r="B3161">
        <v>6.4</v>
      </c>
    </row>
    <row r="3162" spans="1:2" x14ac:dyDescent="0.25">
      <c r="A3162" s="1">
        <v>43315</v>
      </c>
      <c r="B3162">
        <v>6.4</v>
      </c>
    </row>
    <row r="3163" spans="1:2" x14ac:dyDescent="0.25">
      <c r="A3163" s="1">
        <v>43318</v>
      </c>
      <c r="B3163">
        <v>6.4</v>
      </c>
    </row>
    <row r="3164" spans="1:2" x14ac:dyDescent="0.25">
      <c r="A3164" s="1">
        <v>43319</v>
      </c>
      <c r="B3164">
        <v>6.4</v>
      </c>
    </row>
    <row r="3165" spans="1:2" x14ac:dyDescent="0.25">
      <c r="A3165" s="1">
        <v>43320</v>
      </c>
      <c r="B3165">
        <v>6.4</v>
      </c>
    </row>
    <row r="3166" spans="1:2" x14ac:dyDescent="0.25">
      <c r="A3166" s="1">
        <v>43321</v>
      </c>
      <c r="B3166">
        <v>6.4</v>
      </c>
    </row>
    <row r="3167" spans="1:2" x14ac:dyDescent="0.25">
      <c r="A3167" s="1">
        <v>43322</v>
      </c>
      <c r="B3167">
        <v>6.4</v>
      </c>
    </row>
    <row r="3168" spans="1:2" x14ac:dyDescent="0.25">
      <c r="A3168" s="1">
        <v>43325</v>
      </c>
      <c r="B3168">
        <v>6.4</v>
      </c>
    </row>
    <row r="3169" spans="1:2" x14ac:dyDescent="0.25">
      <c r="A3169" s="1">
        <v>43326</v>
      </c>
      <c r="B3169">
        <v>6.4</v>
      </c>
    </row>
    <row r="3170" spans="1:2" x14ac:dyDescent="0.25">
      <c r="A3170" s="1">
        <v>43327</v>
      </c>
      <c r="B3170">
        <v>6.4</v>
      </c>
    </row>
    <row r="3171" spans="1:2" x14ac:dyDescent="0.25">
      <c r="A3171" s="1">
        <v>43328</v>
      </c>
      <c r="B3171">
        <v>6.4</v>
      </c>
    </row>
    <row r="3172" spans="1:2" x14ac:dyDescent="0.25">
      <c r="A3172" s="1">
        <v>43329</v>
      </c>
      <c r="B3172">
        <v>6.4</v>
      </c>
    </row>
    <row r="3173" spans="1:2" x14ac:dyDescent="0.25">
      <c r="A3173" s="1">
        <v>43332</v>
      </c>
      <c r="B3173">
        <v>6.4</v>
      </c>
    </row>
    <row r="3174" spans="1:2" x14ac:dyDescent="0.25">
      <c r="A3174" s="1">
        <v>43333</v>
      </c>
      <c r="B3174">
        <v>6.4</v>
      </c>
    </row>
    <row r="3175" spans="1:2" x14ac:dyDescent="0.25">
      <c r="A3175" s="1">
        <v>43334</v>
      </c>
      <c r="B3175">
        <v>6.4</v>
      </c>
    </row>
    <row r="3176" spans="1:2" x14ac:dyDescent="0.25">
      <c r="A3176" s="1">
        <v>43335</v>
      </c>
      <c r="B3176">
        <v>6.4</v>
      </c>
    </row>
    <row r="3177" spans="1:2" x14ac:dyDescent="0.25">
      <c r="A3177" s="1">
        <v>43336</v>
      </c>
      <c r="B3177">
        <v>6.4</v>
      </c>
    </row>
    <row r="3178" spans="1:2" x14ac:dyDescent="0.25">
      <c r="A3178" s="1">
        <v>43339</v>
      </c>
      <c r="B3178">
        <v>6.4</v>
      </c>
    </row>
    <row r="3179" spans="1:2" x14ac:dyDescent="0.25">
      <c r="A3179" s="1">
        <v>43340</v>
      </c>
      <c r="B3179">
        <v>6.4</v>
      </c>
    </row>
    <row r="3180" spans="1:2" x14ac:dyDescent="0.25">
      <c r="A3180" s="1">
        <v>43341</v>
      </c>
      <c r="B3180">
        <v>6.4</v>
      </c>
    </row>
    <row r="3181" spans="1:2" x14ac:dyDescent="0.25">
      <c r="A3181" s="1">
        <v>43342</v>
      </c>
      <c r="B3181">
        <v>6.4</v>
      </c>
    </row>
    <row r="3182" spans="1:2" x14ac:dyDescent="0.25">
      <c r="A3182" s="1">
        <v>43343</v>
      </c>
      <c r="B3182">
        <v>6.4</v>
      </c>
    </row>
    <row r="3183" spans="1:2" x14ac:dyDescent="0.25">
      <c r="A3183" s="1">
        <v>43346</v>
      </c>
      <c r="B3183">
        <v>6.4</v>
      </c>
    </row>
    <row r="3184" spans="1:2" x14ac:dyDescent="0.25">
      <c r="A3184" s="1">
        <v>43347</v>
      </c>
      <c r="B3184">
        <v>6.4</v>
      </c>
    </row>
    <row r="3185" spans="1:2" x14ac:dyDescent="0.25">
      <c r="A3185" s="1">
        <v>43348</v>
      </c>
      <c r="B3185">
        <v>6.4</v>
      </c>
    </row>
    <row r="3186" spans="1:2" x14ac:dyDescent="0.25">
      <c r="A3186" s="1">
        <v>43349</v>
      </c>
      <c r="B3186">
        <v>6.4</v>
      </c>
    </row>
    <row r="3187" spans="1:2" x14ac:dyDescent="0.25">
      <c r="A3187" s="1">
        <v>43353</v>
      </c>
      <c r="B3187">
        <v>6.4</v>
      </c>
    </row>
    <row r="3188" spans="1:2" x14ac:dyDescent="0.25">
      <c r="A3188" s="1">
        <v>43354</v>
      </c>
      <c r="B3188">
        <v>6.4</v>
      </c>
    </row>
    <row r="3189" spans="1:2" x14ac:dyDescent="0.25">
      <c r="A3189" s="1">
        <v>43355</v>
      </c>
      <c r="B3189">
        <v>6.4</v>
      </c>
    </row>
    <row r="3190" spans="1:2" x14ac:dyDescent="0.25">
      <c r="A3190" s="1">
        <v>43356</v>
      </c>
      <c r="B3190">
        <v>6.4</v>
      </c>
    </row>
    <row r="3191" spans="1:2" x14ac:dyDescent="0.25">
      <c r="A3191" s="1">
        <v>43357</v>
      </c>
      <c r="B3191">
        <v>6.4</v>
      </c>
    </row>
    <row r="3192" spans="1:2" x14ac:dyDescent="0.25">
      <c r="A3192" s="1">
        <v>43360</v>
      </c>
      <c r="B3192">
        <v>6.4</v>
      </c>
    </row>
    <row r="3193" spans="1:2" x14ac:dyDescent="0.25">
      <c r="A3193" s="1">
        <v>43361</v>
      </c>
      <c r="B3193">
        <v>6.4</v>
      </c>
    </row>
    <row r="3194" spans="1:2" x14ac:dyDescent="0.25">
      <c r="A3194" s="1">
        <v>43362</v>
      </c>
      <c r="B3194">
        <v>6.4</v>
      </c>
    </row>
    <row r="3195" spans="1:2" x14ac:dyDescent="0.25">
      <c r="A3195" s="1">
        <v>43363</v>
      </c>
      <c r="B3195">
        <v>6.4</v>
      </c>
    </row>
    <row r="3196" spans="1:2" x14ac:dyDescent="0.25">
      <c r="A3196" s="1">
        <v>43364</v>
      </c>
      <c r="B3196">
        <v>6.4</v>
      </c>
    </row>
    <row r="3197" spans="1:2" x14ac:dyDescent="0.25">
      <c r="A3197" s="1">
        <v>43367</v>
      </c>
      <c r="B3197">
        <v>6.4</v>
      </c>
    </row>
    <row r="3198" spans="1:2" x14ac:dyDescent="0.25">
      <c r="A3198" s="1">
        <v>43368</v>
      </c>
      <c r="B3198">
        <v>6.4</v>
      </c>
    </row>
    <row r="3199" spans="1:2" x14ac:dyDescent="0.25">
      <c r="A3199" s="1">
        <v>43369</v>
      </c>
      <c r="B3199">
        <v>6.4</v>
      </c>
    </row>
    <row r="3200" spans="1:2" x14ac:dyDescent="0.25">
      <c r="A3200" s="1">
        <v>43370</v>
      </c>
      <c r="B3200">
        <v>6.4</v>
      </c>
    </row>
    <row r="3201" spans="1:2" x14ac:dyDescent="0.25">
      <c r="A3201" s="1">
        <v>43371</v>
      </c>
      <c r="B3201">
        <v>6.4</v>
      </c>
    </row>
    <row r="3202" spans="1:2" x14ac:dyDescent="0.25">
      <c r="A3202" s="1">
        <v>43374</v>
      </c>
      <c r="B3202">
        <v>6.4</v>
      </c>
    </row>
    <row r="3203" spans="1:2" x14ac:dyDescent="0.25">
      <c r="A3203" s="1">
        <v>43375</v>
      </c>
      <c r="B3203">
        <v>6.4</v>
      </c>
    </row>
    <row r="3204" spans="1:2" x14ac:dyDescent="0.25">
      <c r="A3204" s="1">
        <v>43376</v>
      </c>
      <c r="B3204">
        <v>6.4</v>
      </c>
    </row>
    <row r="3205" spans="1:2" x14ac:dyDescent="0.25">
      <c r="A3205" s="1">
        <v>43377</v>
      </c>
      <c r="B3205">
        <v>6.4</v>
      </c>
    </row>
    <row r="3206" spans="1:2" x14ac:dyDescent="0.25">
      <c r="A3206" s="1">
        <v>43378</v>
      </c>
      <c r="B3206">
        <v>6.4</v>
      </c>
    </row>
    <row r="3207" spans="1:2" x14ac:dyDescent="0.25">
      <c r="A3207" s="1">
        <v>43381</v>
      </c>
      <c r="B3207">
        <v>6.4</v>
      </c>
    </row>
    <row r="3208" spans="1:2" x14ac:dyDescent="0.25">
      <c r="A3208" s="1">
        <v>43382</v>
      </c>
      <c r="B3208">
        <v>6.4</v>
      </c>
    </row>
    <row r="3209" spans="1:2" x14ac:dyDescent="0.25">
      <c r="A3209" s="1">
        <v>43383</v>
      </c>
      <c r="B3209">
        <v>6.4</v>
      </c>
    </row>
    <row r="3210" spans="1:2" x14ac:dyDescent="0.25">
      <c r="A3210" s="1">
        <v>43384</v>
      </c>
      <c r="B3210">
        <v>6.4</v>
      </c>
    </row>
    <row r="3211" spans="1:2" x14ac:dyDescent="0.25">
      <c r="A3211" s="1">
        <v>43388</v>
      </c>
      <c r="B3211">
        <v>6.4</v>
      </c>
    </row>
    <row r="3212" spans="1:2" x14ac:dyDescent="0.25">
      <c r="A3212" s="1">
        <v>43389</v>
      </c>
      <c r="B3212">
        <v>6.4</v>
      </c>
    </row>
    <row r="3213" spans="1:2" x14ac:dyDescent="0.25">
      <c r="A3213" s="1">
        <v>43390</v>
      </c>
      <c r="B3213">
        <v>6.4</v>
      </c>
    </row>
    <row r="3214" spans="1:2" x14ac:dyDescent="0.25">
      <c r="A3214" s="1">
        <v>43391</v>
      </c>
      <c r="B3214">
        <v>6.4</v>
      </c>
    </row>
    <row r="3215" spans="1:2" x14ac:dyDescent="0.25">
      <c r="A3215" s="1">
        <v>43392</v>
      </c>
      <c r="B3215">
        <v>6.4</v>
      </c>
    </row>
    <row r="3216" spans="1:2" x14ac:dyDescent="0.25">
      <c r="A3216" s="1">
        <v>43395</v>
      </c>
      <c r="B3216">
        <v>6.4</v>
      </c>
    </row>
    <row r="3217" spans="1:2" x14ac:dyDescent="0.25">
      <c r="A3217" s="1">
        <v>43396</v>
      </c>
      <c r="B3217">
        <v>6.4</v>
      </c>
    </row>
    <row r="3218" spans="1:2" x14ac:dyDescent="0.25">
      <c r="A3218" s="1">
        <v>43397</v>
      </c>
      <c r="B3218">
        <v>6.4</v>
      </c>
    </row>
    <row r="3219" spans="1:2" x14ac:dyDescent="0.25">
      <c r="A3219" s="1">
        <v>43398</v>
      </c>
      <c r="B3219">
        <v>6.4</v>
      </c>
    </row>
    <row r="3220" spans="1:2" x14ac:dyDescent="0.25">
      <c r="A3220" s="1">
        <v>43399</v>
      </c>
      <c r="B3220">
        <v>6.4</v>
      </c>
    </row>
    <row r="3221" spans="1:2" x14ac:dyDescent="0.25">
      <c r="A3221" s="1">
        <v>43402</v>
      </c>
      <c r="B3221">
        <v>6.4</v>
      </c>
    </row>
    <row r="3222" spans="1:2" x14ac:dyDescent="0.25">
      <c r="A3222" s="1">
        <v>43403</v>
      </c>
      <c r="B3222">
        <v>6.4</v>
      </c>
    </row>
    <row r="3223" spans="1:2" x14ac:dyDescent="0.25">
      <c r="A3223" s="1">
        <v>43404</v>
      </c>
      <c r="B3223">
        <v>6.4</v>
      </c>
    </row>
    <row r="3224" spans="1:2" x14ac:dyDescent="0.25">
      <c r="A3224" s="1">
        <v>43405</v>
      </c>
      <c r="B3224">
        <v>6.4</v>
      </c>
    </row>
    <row r="3225" spans="1:2" x14ac:dyDescent="0.25">
      <c r="A3225" s="1">
        <v>43409</v>
      </c>
      <c r="B3225">
        <v>6.4</v>
      </c>
    </row>
    <row r="3226" spans="1:2" x14ac:dyDescent="0.25">
      <c r="A3226" s="1">
        <v>43410</v>
      </c>
      <c r="B3226">
        <v>6.4</v>
      </c>
    </row>
    <row r="3227" spans="1:2" x14ac:dyDescent="0.25">
      <c r="A3227" s="1">
        <v>43411</v>
      </c>
      <c r="B3227">
        <v>6.4</v>
      </c>
    </row>
    <row r="3228" spans="1:2" x14ac:dyDescent="0.25">
      <c r="A3228" s="1">
        <v>43412</v>
      </c>
      <c r="B3228">
        <v>6.4</v>
      </c>
    </row>
    <row r="3229" spans="1:2" x14ac:dyDescent="0.25">
      <c r="A3229" s="1">
        <v>43413</v>
      </c>
      <c r="B3229">
        <v>6.4</v>
      </c>
    </row>
    <row r="3230" spans="1:2" x14ac:dyDescent="0.25">
      <c r="A3230" s="1">
        <v>43416</v>
      </c>
      <c r="B3230">
        <v>6.4</v>
      </c>
    </row>
    <row r="3231" spans="1:2" x14ac:dyDescent="0.25">
      <c r="A3231" s="1">
        <v>43417</v>
      </c>
      <c r="B3231">
        <v>6.4</v>
      </c>
    </row>
    <row r="3232" spans="1:2" x14ac:dyDescent="0.25">
      <c r="A3232" s="1">
        <v>43418</v>
      </c>
      <c r="B3232">
        <v>6.4</v>
      </c>
    </row>
    <row r="3233" spans="1:2" x14ac:dyDescent="0.25">
      <c r="A3233" s="1">
        <v>43420</v>
      </c>
      <c r="B3233">
        <v>6.4</v>
      </c>
    </row>
    <row r="3234" spans="1:2" x14ac:dyDescent="0.25">
      <c r="A3234" s="1">
        <v>43423</v>
      </c>
      <c r="B3234">
        <v>6.4</v>
      </c>
    </row>
    <row r="3235" spans="1:2" x14ac:dyDescent="0.25">
      <c r="A3235" s="1">
        <v>43424</v>
      </c>
      <c r="B3235">
        <v>6.4</v>
      </c>
    </row>
    <row r="3236" spans="1:2" x14ac:dyDescent="0.25">
      <c r="A3236" s="1">
        <v>43425</v>
      </c>
      <c r="B3236">
        <v>6.4</v>
      </c>
    </row>
    <row r="3237" spans="1:2" x14ac:dyDescent="0.25">
      <c r="A3237" s="1">
        <v>43426</v>
      </c>
      <c r="B3237">
        <v>6.4</v>
      </c>
    </row>
    <row r="3238" spans="1:2" x14ac:dyDescent="0.25">
      <c r="A3238" s="1">
        <v>43427</v>
      </c>
      <c r="B3238">
        <v>6.4</v>
      </c>
    </row>
    <row r="3239" spans="1:2" x14ac:dyDescent="0.25">
      <c r="A3239" s="1">
        <v>43430</v>
      </c>
      <c r="B3239">
        <v>6.4</v>
      </c>
    </row>
    <row r="3240" spans="1:2" x14ac:dyDescent="0.25">
      <c r="A3240" s="1">
        <v>43431</v>
      </c>
      <c r="B3240">
        <v>6.4</v>
      </c>
    </row>
    <row r="3241" spans="1:2" x14ac:dyDescent="0.25">
      <c r="A3241" s="1">
        <v>43432</v>
      </c>
      <c r="B3241">
        <v>6.4</v>
      </c>
    </row>
    <row r="3242" spans="1:2" x14ac:dyDescent="0.25">
      <c r="A3242" s="1">
        <v>43433</v>
      </c>
      <c r="B3242">
        <v>6.4</v>
      </c>
    </row>
    <row r="3243" spans="1:2" x14ac:dyDescent="0.25">
      <c r="A3243" s="1">
        <v>43434</v>
      </c>
      <c r="B3243">
        <v>6.4</v>
      </c>
    </row>
    <row r="3244" spans="1:2" x14ac:dyDescent="0.25">
      <c r="A3244" s="1">
        <v>43437</v>
      </c>
      <c r="B3244">
        <v>6.4</v>
      </c>
    </row>
    <row r="3245" spans="1:2" x14ac:dyDescent="0.25">
      <c r="A3245" s="1">
        <v>43438</v>
      </c>
      <c r="B3245">
        <v>6.4</v>
      </c>
    </row>
    <row r="3246" spans="1:2" x14ac:dyDescent="0.25">
      <c r="A3246" s="1">
        <v>43439</v>
      </c>
      <c r="B3246">
        <v>6.4</v>
      </c>
    </row>
    <row r="3247" spans="1:2" x14ac:dyDescent="0.25">
      <c r="A3247" s="1">
        <v>43440</v>
      </c>
      <c r="B3247">
        <v>6.4</v>
      </c>
    </row>
    <row r="3248" spans="1:2" x14ac:dyDescent="0.25">
      <c r="A3248" s="1">
        <v>43441</v>
      </c>
      <c r="B3248">
        <v>6.4</v>
      </c>
    </row>
    <row r="3249" spans="1:2" x14ac:dyDescent="0.25">
      <c r="A3249" s="1">
        <v>43444</v>
      </c>
      <c r="B3249">
        <v>6.4</v>
      </c>
    </row>
    <row r="3250" spans="1:2" x14ac:dyDescent="0.25">
      <c r="A3250" s="1">
        <v>43445</v>
      </c>
      <c r="B3250">
        <v>6.4</v>
      </c>
    </row>
    <row r="3251" spans="1:2" x14ac:dyDescent="0.25">
      <c r="A3251" s="1">
        <v>43446</v>
      </c>
      <c r="B3251">
        <v>6.4</v>
      </c>
    </row>
    <row r="3252" spans="1:2" x14ac:dyDescent="0.25">
      <c r="A3252" s="1">
        <v>43447</v>
      </c>
      <c r="B3252">
        <v>6.4</v>
      </c>
    </row>
    <row r="3253" spans="1:2" x14ac:dyDescent="0.25">
      <c r="A3253" s="1">
        <v>43448</v>
      </c>
      <c r="B3253">
        <v>6.4</v>
      </c>
    </row>
    <row r="3254" spans="1:2" x14ac:dyDescent="0.25">
      <c r="A3254" s="1">
        <v>43451</v>
      </c>
      <c r="B3254">
        <v>6.4</v>
      </c>
    </row>
    <row r="3255" spans="1:2" x14ac:dyDescent="0.25">
      <c r="A3255" s="1">
        <v>43452</v>
      </c>
      <c r="B3255">
        <v>6.4</v>
      </c>
    </row>
    <row r="3256" spans="1:2" x14ac:dyDescent="0.25">
      <c r="A3256" s="1">
        <v>43453</v>
      </c>
      <c r="B3256">
        <v>6.4</v>
      </c>
    </row>
    <row r="3257" spans="1:2" x14ac:dyDescent="0.25">
      <c r="A3257" s="1">
        <v>43454</v>
      </c>
      <c r="B3257">
        <v>6.4</v>
      </c>
    </row>
    <row r="3258" spans="1:2" x14ac:dyDescent="0.25">
      <c r="A3258" s="1">
        <v>43455</v>
      </c>
      <c r="B3258">
        <v>6.4</v>
      </c>
    </row>
    <row r="3259" spans="1:2" x14ac:dyDescent="0.25">
      <c r="A3259" s="1">
        <v>43458</v>
      </c>
      <c r="B3259">
        <v>6.4</v>
      </c>
    </row>
    <row r="3260" spans="1:2" x14ac:dyDescent="0.25">
      <c r="A3260" s="1">
        <v>43460</v>
      </c>
      <c r="B3260">
        <v>6.4</v>
      </c>
    </row>
    <row r="3261" spans="1:2" x14ac:dyDescent="0.25">
      <c r="A3261" s="1">
        <v>43461</v>
      </c>
      <c r="B3261">
        <v>6.4</v>
      </c>
    </row>
    <row r="3262" spans="1:2" x14ac:dyDescent="0.25">
      <c r="A3262" s="1">
        <v>43462</v>
      </c>
      <c r="B3262">
        <v>6.4</v>
      </c>
    </row>
    <row r="3263" spans="1:2" x14ac:dyDescent="0.25">
      <c r="A3263" s="1">
        <v>43465</v>
      </c>
      <c r="B3263">
        <v>6.4</v>
      </c>
    </row>
    <row r="3264" spans="1:2" x14ac:dyDescent="0.25">
      <c r="A3264" s="1">
        <v>43467</v>
      </c>
      <c r="B3264">
        <v>6.4</v>
      </c>
    </row>
    <row r="3265" spans="1:2" x14ac:dyDescent="0.25">
      <c r="A3265" s="1">
        <v>43468</v>
      </c>
      <c r="B3265">
        <v>6.4</v>
      </c>
    </row>
    <row r="3266" spans="1:2" x14ac:dyDescent="0.25">
      <c r="A3266" s="1">
        <v>43469</v>
      </c>
      <c r="B3266">
        <v>6.4</v>
      </c>
    </row>
    <row r="3267" spans="1:2" x14ac:dyDescent="0.25">
      <c r="A3267" s="1">
        <v>43472</v>
      </c>
      <c r="B3267">
        <v>6.4</v>
      </c>
    </row>
    <row r="3268" spans="1:2" x14ac:dyDescent="0.25">
      <c r="A3268" s="1">
        <v>43473</v>
      </c>
      <c r="B3268">
        <v>6.4</v>
      </c>
    </row>
    <row r="3269" spans="1:2" x14ac:dyDescent="0.25">
      <c r="A3269" s="1">
        <v>43474</v>
      </c>
      <c r="B3269">
        <v>6.4</v>
      </c>
    </row>
    <row r="3270" spans="1:2" x14ac:dyDescent="0.25">
      <c r="A3270" s="1">
        <v>43475</v>
      </c>
      <c r="B3270">
        <v>6.4</v>
      </c>
    </row>
    <row r="3271" spans="1:2" x14ac:dyDescent="0.25">
      <c r="A3271" s="1">
        <v>43476</v>
      </c>
      <c r="B3271">
        <v>6.4</v>
      </c>
    </row>
    <row r="3272" spans="1:2" x14ac:dyDescent="0.25">
      <c r="A3272" s="1">
        <v>43479</v>
      </c>
      <c r="B3272">
        <v>6.4</v>
      </c>
    </row>
    <row r="3273" spans="1:2" x14ac:dyDescent="0.25">
      <c r="A3273" s="1">
        <v>43480</v>
      </c>
      <c r="B3273">
        <v>6.4</v>
      </c>
    </row>
    <row r="3274" spans="1:2" x14ac:dyDescent="0.25">
      <c r="A3274" s="1">
        <v>43481</v>
      </c>
      <c r="B3274">
        <v>6.4</v>
      </c>
    </row>
    <row r="3275" spans="1:2" x14ac:dyDescent="0.25">
      <c r="A3275" s="1">
        <v>43482</v>
      </c>
      <c r="B3275">
        <v>6.4</v>
      </c>
    </row>
    <row r="3276" spans="1:2" x14ac:dyDescent="0.25">
      <c r="A3276" s="1">
        <v>43483</v>
      </c>
      <c r="B3276">
        <v>6.4</v>
      </c>
    </row>
    <row r="3277" spans="1:2" x14ac:dyDescent="0.25">
      <c r="A3277" s="1">
        <v>43486</v>
      </c>
      <c r="B3277">
        <v>6.4</v>
      </c>
    </row>
    <row r="3278" spans="1:2" x14ac:dyDescent="0.25">
      <c r="A3278" s="1">
        <v>43487</v>
      </c>
      <c r="B3278">
        <v>6.4</v>
      </c>
    </row>
    <row r="3279" spans="1:2" x14ac:dyDescent="0.25">
      <c r="A3279" s="1">
        <v>43488</v>
      </c>
      <c r="B3279">
        <v>6.4</v>
      </c>
    </row>
    <row r="3280" spans="1:2" x14ac:dyDescent="0.25">
      <c r="A3280" s="1">
        <v>43489</v>
      </c>
      <c r="B3280">
        <v>6.4</v>
      </c>
    </row>
    <row r="3281" spans="1:2" x14ac:dyDescent="0.25">
      <c r="A3281" s="1">
        <v>43490</v>
      </c>
      <c r="B3281">
        <v>6.4</v>
      </c>
    </row>
    <row r="3282" spans="1:2" x14ac:dyDescent="0.25">
      <c r="A3282" s="1">
        <v>43493</v>
      </c>
      <c r="B3282">
        <v>6.4</v>
      </c>
    </row>
    <row r="3283" spans="1:2" x14ac:dyDescent="0.25">
      <c r="A3283" s="1">
        <v>43494</v>
      </c>
      <c r="B3283">
        <v>6.4</v>
      </c>
    </row>
    <row r="3284" spans="1:2" x14ac:dyDescent="0.25">
      <c r="A3284" s="1">
        <v>43495</v>
      </c>
      <c r="B3284">
        <v>6.4</v>
      </c>
    </row>
    <row r="3285" spans="1:2" x14ac:dyDescent="0.25">
      <c r="A3285" s="1">
        <v>43496</v>
      </c>
      <c r="B3285">
        <v>6.4</v>
      </c>
    </row>
    <row r="3286" spans="1:2" x14ac:dyDescent="0.25">
      <c r="A3286" s="1">
        <v>43497</v>
      </c>
      <c r="B3286">
        <v>6.4</v>
      </c>
    </row>
    <row r="3287" spans="1:2" x14ac:dyDescent="0.25">
      <c r="A3287" s="1">
        <v>43500</v>
      </c>
      <c r="B3287">
        <v>6.4</v>
      </c>
    </row>
    <row r="3288" spans="1:2" x14ac:dyDescent="0.25">
      <c r="A3288" s="1">
        <v>43501</v>
      </c>
      <c r="B3288">
        <v>6.4</v>
      </c>
    </row>
    <row r="3289" spans="1:2" x14ac:dyDescent="0.25">
      <c r="A3289" s="1">
        <v>43502</v>
      </c>
      <c r="B3289">
        <v>6.4</v>
      </c>
    </row>
    <row r="3290" spans="1:2" x14ac:dyDescent="0.25">
      <c r="A3290" s="1">
        <v>43503</v>
      </c>
      <c r="B3290">
        <v>6.4</v>
      </c>
    </row>
    <row r="3291" spans="1:2" x14ac:dyDescent="0.25">
      <c r="A3291" s="1">
        <v>43504</v>
      </c>
      <c r="B3291">
        <v>6.4</v>
      </c>
    </row>
    <row r="3292" spans="1:2" x14ac:dyDescent="0.25">
      <c r="A3292" s="1">
        <v>43507</v>
      </c>
      <c r="B3292">
        <v>6.4</v>
      </c>
    </row>
    <row r="3293" spans="1:2" x14ac:dyDescent="0.25">
      <c r="A3293" s="1">
        <v>43508</v>
      </c>
      <c r="B3293">
        <v>6.4</v>
      </c>
    </row>
    <row r="3294" spans="1:2" x14ac:dyDescent="0.25">
      <c r="A3294" s="1">
        <v>43509</v>
      </c>
      <c r="B3294">
        <v>6.4</v>
      </c>
    </row>
    <row r="3295" spans="1:2" x14ac:dyDescent="0.25">
      <c r="A3295" s="1">
        <v>43510</v>
      </c>
      <c r="B3295">
        <v>6.4</v>
      </c>
    </row>
    <row r="3296" spans="1:2" x14ac:dyDescent="0.25">
      <c r="A3296" s="1">
        <v>43511</v>
      </c>
      <c r="B3296">
        <v>6.4</v>
      </c>
    </row>
    <row r="3297" spans="1:2" x14ac:dyDescent="0.25">
      <c r="A3297" s="1">
        <v>43514</v>
      </c>
      <c r="B3297">
        <v>6.4</v>
      </c>
    </row>
    <row r="3298" spans="1:2" x14ac:dyDescent="0.25">
      <c r="A3298" s="1">
        <v>43515</v>
      </c>
      <c r="B3298">
        <v>6.4</v>
      </c>
    </row>
    <row r="3299" spans="1:2" x14ac:dyDescent="0.25">
      <c r="A3299" s="1">
        <v>43516</v>
      </c>
      <c r="B3299">
        <v>6.4</v>
      </c>
    </row>
    <row r="3300" spans="1:2" x14ac:dyDescent="0.25">
      <c r="A3300" s="1">
        <v>43517</v>
      </c>
      <c r="B3300">
        <v>6.4</v>
      </c>
    </row>
    <row r="3301" spans="1:2" x14ac:dyDescent="0.25">
      <c r="A3301" s="1">
        <v>43518</v>
      </c>
      <c r="B3301">
        <v>6.4</v>
      </c>
    </row>
    <row r="3302" spans="1:2" x14ac:dyDescent="0.25">
      <c r="A3302" s="1">
        <v>43521</v>
      </c>
      <c r="B3302">
        <v>6.4</v>
      </c>
    </row>
    <row r="3303" spans="1:2" x14ac:dyDescent="0.25">
      <c r="A3303" s="1">
        <v>43522</v>
      </c>
      <c r="B3303">
        <v>6.4</v>
      </c>
    </row>
    <row r="3304" spans="1:2" x14ac:dyDescent="0.25">
      <c r="A3304" s="1">
        <v>43523</v>
      </c>
      <c r="B3304">
        <v>6.4</v>
      </c>
    </row>
    <row r="3305" spans="1:2" x14ac:dyDescent="0.25">
      <c r="A3305" s="1">
        <v>43524</v>
      </c>
      <c r="B3305">
        <v>6.4</v>
      </c>
    </row>
    <row r="3306" spans="1:2" x14ac:dyDescent="0.25">
      <c r="A3306" s="1">
        <v>43525</v>
      </c>
      <c r="B3306">
        <v>6.4</v>
      </c>
    </row>
    <row r="3307" spans="1:2" x14ac:dyDescent="0.25">
      <c r="A3307" s="1">
        <v>43530</v>
      </c>
      <c r="B3307">
        <v>6.4</v>
      </c>
    </row>
    <row r="3308" spans="1:2" x14ac:dyDescent="0.25">
      <c r="A3308" s="1">
        <v>43531</v>
      </c>
      <c r="B3308">
        <v>6.4</v>
      </c>
    </row>
    <row r="3309" spans="1:2" x14ac:dyDescent="0.25">
      <c r="A3309" s="1">
        <v>43532</v>
      </c>
      <c r="B3309">
        <v>6.4</v>
      </c>
    </row>
    <row r="3310" spans="1:2" x14ac:dyDescent="0.25">
      <c r="A3310" s="1">
        <v>43535</v>
      </c>
      <c r="B3310">
        <v>6.4</v>
      </c>
    </row>
    <row r="3311" spans="1:2" x14ac:dyDescent="0.25">
      <c r="A3311" s="1">
        <v>43536</v>
      </c>
      <c r="B3311">
        <v>6.4</v>
      </c>
    </row>
    <row r="3312" spans="1:2" x14ac:dyDescent="0.25">
      <c r="A3312" s="1">
        <v>43537</v>
      </c>
      <c r="B3312">
        <v>6.4</v>
      </c>
    </row>
    <row r="3313" spans="1:2" x14ac:dyDescent="0.25">
      <c r="A3313" s="1">
        <v>43538</v>
      </c>
      <c r="B3313">
        <v>6.4</v>
      </c>
    </row>
    <row r="3314" spans="1:2" x14ac:dyDescent="0.25">
      <c r="A3314" s="1">
        <v>43539</v>
      </c>
      <c r="B3314">
        <v>6.4</v>
      </c>
    </row>
    <row r="3315" spans="1:2" x14ac:dyDescent="0.25">
      <c r="A3315" s="1">
        <v>43542</v>
      </c>
      <c r="B3315">
        <v>6.4</v>
      </c>
    </row>
    <row r="3316" spans="1:2" x14ac:dyDescent="0.25">
      <c r="A3316" s="1">
        <v>43543</v>
      </c>
      <c r="B3316">
        <v>6.4</v>
      </c>
    </row>
    <row r="3317" spans="1:2" x14ac:dyDescent="0.25">
      <c r="A3317" s="1">
        <v>43544</v>
      </c>
      <c r="B3317">
        <v>6.4</v>
      </c>
    </row>
    <row r="3318" spans="1:2" x14ac:dyDescent="0.25">
      <c r="A3318" s="1">
        <v>43545</v>
      </c>
      <c r="B3318">
        <v>6.4</v>
      </c>
    </row>
    <row r="3319" spans="1:2" x14ac:dyDescent="0.25">
      <c r="A3319" s="1">
        <v>43546</v>
      </c>
      <c r="B3319">
        <v>6.4</v>
      </c>
    </row>
    <row r="3320" spans="1:2" x14ac:dyDescent="0.25">
      <c r="A3320" s="1">
        <v>43549</v>
      </c>
      <c r="B3320">
        <v>6.4</v>
      </c>
    </row>
    <row r="3321" spans="1:2" x14ac:dyDescent="0.25">
      <c r="A3321" s="1">
        <v>43550</v>
      </c>
      <c r="B3321">
        <v>6.4</v>
      </c>
    </row>
    <row r="3322" spans="1:2" x14ac:dyDescent="0.25">
      <c r="A3322" s="1">
        <v>43551</v>
      </c>
      <c r="B3322">
        <v>6.4</v>
      </c>
    </row>
    <row r="3323" spans="1:2" x14ac:dyDescent="0.25">
      <c r="A3323" s="1">
        <v>43552</v>
      </c>
      <c r="B3323">
        <v>6.4</v>
      </c>
    </row>
    <row r="3324" spans="1:2" x14ac:dyDescent="0.25">
      <c r="A3324" s="1">
        <v>43553</v>
      </c>
      <c r="B3324">
        <v>6.4</v>
      </c>
    </row>
    <row r="3325" spans="1:2" x14ac:dyDescent="0.25">
      <c r="A3325" s="1">
        <v>43556</v>
      </c>
      <c r="B3325">
        <v>6.4</v>
      </c>
    </row>
    <row r="3326" spans="1:2" x14ac:dyDescent="0.25">
      <c r="A3326" s="1">
        <v>43557</v>
      </c>
      <c r="B3326">
        <v>6.4</v>
      </c>
    </row>
    <row r="3327" spans="1:2" x14ac:dyDescent="0.25">
      <c r="A3327" s="1">
        <v>43558</v>
      </c>
      <c r="B3327">
        <v>6.4</v>
      </c>
    </row>
    <row r="3328" spans="1:2" x14ac:dyDescent="0.25">
      <c r="A3328" s="1">
        <v>43559</v>
      </c>
      <c r="B3328">
        <v>6.4</v>
      </c>
    </row>
    <row r="3329" spans="1:2" x14ac:dyDescent="0.25">
      <c r="A3329" s="1">
        <v>43560</v>
      </c>
      <c r="B3329">
        <v>6.4</v>
      </c>
    </row>
    <row r="3330" spans="1:2" x14ac:dyDescent="0.25">
      <c r="A3330" s="1">
        <v>43563</v>
      </c>
      <c r="B3330">
        <v>6.4</v>
      </c>
    </row>
    <row r="3331" spans="1:2" x14ac:dyDescent="0.25">
      <c r="A3331" s="1">
        <v>43564</v>
      </c>
      <c r="B3331">
        <v>6.4</v>
      </c>
    </row>
    <row r="3332" spans="1:2" x14ac:dyDescent="0.25">
      <c r="A3332" s="1">
        <v>43565</v>
      </c>
      <c r="B3332">
        <v>6.4</v>
      </c>
    </row>
    <row r="3333" spans="1:2" x14ac:dyDescent="0.25">
      <c r="A3333" s="1">
        <v>43566</v>
      </c>
      <c r="B3333">
        <v>6.4</v>
      </c>
    </row>
    <row r="3334" spans="1:2" x14ac:dyDescent="0.25">
      <c r="A3334" s="1">
        <v>43567</v>
      </c>
      <c r="B3334">
        <v>6.4</v>
      </c>
    </row>
    <row r="3335" spans="1:2" x14ac:dyDescent="0.25">
      <c r="A3335" s="1">
        <v>43570</v>
      </c>
      <c r="B3335">
        <v>6.4</v>
      </c>
    </row>
    <row r="3336" spans="1:2" x14ac:dyDescent="0.25">
      <c r="A3336" s="1">
        <v>43571</v>
      </c>
      <c r="B3336">
        <v>6.4</v>
      </c>
    </row>
    <row r="3337" spans="1:2" x14ac:dyDescent="0.25">
      <c r="A3337" s="1">
        <v>43572</v>
      </c>
      <c r="B3337">
        <v>6.4</v>
      </c>
    </row>
    <row r="3338" spans="1:2" x14ac:dyDescent="0.25">
      <c r="A3338" s="1">
        <v>43573</v>
      </c>
      <c r="B3338">
        <v>6.4</v>
      </c>
    </row>
    <row r="3339" spans="1:2" x14ac:dyDescent="0.25">
      <c r="A3339" s="1">
        <v>43577</v>
      </c>
      <c r="B3339">
        <v>6.4</v>
      </c>
    </row>
    <row r="3340" spans="1:2" x14ac:dyDescent="0.25">
      <c r="A3340" s="1">
        <v>43578</v>
      </c>
      <c r="B3340">
        <v>6.4</v>
      </c>
    </row>
    <row r="3341" spans="1:2" x14ac:dyDescent="0.25">
      <c r="A3341" s="1">
        <v>43579</v>
      </c>
      <c r="B3341">
        <v>6.4</v>
      </c>
    </row>
    <row r="3342" spans="1:2" x14ac:dyDescent="0.25">
      <c r="A3342" s="1">
        <v>43580</v>
      </c>
      <c r="B3342">
        <v>6.4</v>
      </c>
    </row>
    <row r="3343" spans="1:2" x14ac:dyDescent="0.25">
      <c r="A3343" s="1">
        <v>43581</v>
      </c>
      <c r="B3343">
        <v>6.4</v>
      </c>
    </row>
    <row r="3344" spans="1:2" x14ac:dyDescent="0.25">
      <c r="A3344" s="1">
        <v>43584</v>
      </c>
      <c r="B3344">
        <v>6.4</v>
      </c>
    </row>
    <row r="3345" spans="1:2" x14ac:dyDescent="0.25">
      <c r="A3345" s="1">
        <v>43585</v>
      </c>
      <c r="B3345">
        <v>6.4</v>
      </c>
    </row>
    <row r="3346" spans="1:2" x14ac:dyDescent="0.25">
      <c r="A3346" s="1">
        <v>43587</v>
      </c>
      <c r="B3346">
        <v>6.4</v>
      </c>
    </row>
    <row r="3347" spans="1:2" x14ac:dyDescent="0.25">
      <c r="A3347" s="1">
        <v>43588</v>
      </c>
      <c r="B3347">
        <v>6.4</v>
      </c>
    </row>
    <row r="3348" spans="1:2" x14ac:dyDescent="0.25">
      <c r="A3348" s="1">
        <v>43591</v>
      </c>
      <c r="B3348">
        <v>6.4</v>
      </c>
    </row>
    <row r="3349" spans="1:2" x14ac:dyDescent="0.25">
      <c r="A3349" s="1">
        <v>43592</v>
      </c>
      <c r="B3349">
        <v>6.4</v>
      </c>
    </row>
    <row r="3350" spans="1:2" x14ac:dyDescent="0.25">
      <c r="A3350" s="1">
        <v>43593</v>
      </c>
      <c r="B3350">
        <v>6.4</v>
      </c>
    </row>
    <row r="3351" spans="1:2" x14ac:dyDescent="0.25">
      <c r="A3351" s="1">
        <v>43594</v>
      </c>
      <c r="B3351">
        <v>6.4</v>
      </c>
    </row>
    <row r="3352" spans="1:2" x14ac:dyDescent="0.25">
      <c r="A3352" s="1">
        <v>43595</v>
      </c>
      <c r="B3352">
        <v>6.4</v>
      </c>
    </row>
    <row r="3353" spans="1:2" x14ac:dyDescent="0.25">
      <c r="A3353" s="1">
        <v>43598</v>
      </c>
      <c r="B3353">
        <v>6.4</v>
      </c>
    </row>
    <row r="3354" spans="1:2" x14ac:dyDescent="0.25">
      <c r="A3354" s="1">
        <v>43599</v>
      </c>
      <c r="B3354">
        <v>6.4</v>
      </c>
    </row>
    <row r="3355" spans="1:2" x14ac:dyDescent="0.25">
      <c r="A3355" s="1">
        <v>43600</v>
      </c>
      <c r="B3355">
        <v>6.4</v>
      </c>
    </row>
    <row r="3356" spans="1:2" x14ac:dyDescent="0.25">
      <c r="A3356" s="1">
        <v>43601</v>
      </c>
      <c r="B3356">
        <v>6.4</v>
      </c>
    </row>
    <row r="3357" spans="1:2" x14ac:dyDescent="0.25">
      <c r="A3357" s="1">
        <v>43602</v>
      </c>
      <c r="B3357">
        <v>6.4</v>
      </c>
    </row>
    <row r="3358" spans="1:2" x14ac:dyDescent="0.25">
      <c r="A3358" s="1">
        <v>43605</v>
      </c>
      <c r="B3358">
        <v>6.4</v>
      </c>
    </row>
    <row r="3359" spans="1:2" x14ac:dyDescent="0.25">
      <c r="A3359" s="1">
        <v>43606</v>
      </c>
      <c r="B3359">
        <v>6.4</v>
      </c>
    </row>
    <row r="3360" spans="1:2" x14ac:dyDescent="0.25">
      <c r="A3360" s="1">
        <v>43607</v>
      </c>
      <c r="B3360">
        <v>6.4</v>
      </c>
    </row>
    <row r="3361" spans="1:2" x14ac:dyDescent="0.25">
      <c r="A3361" s="1">
        <v>43608</v>
      </c>
      <c r="B3361">
        <v>6.4</v>
      </c>
    </row>
    <row r="3362" spans="1:2" x14ac:dyDescent="0.25">
      <c r="A3362" s="1">
        <v>43609</v>
      </c>
      <c r="B3362">
        <v>6.4</v>
      </c>
    </row>
    <row r="3363" spans="1:2" x14ac:dyDescent="0.25">
      <c r="A3363" s="1">
        <v>43612</v>
      </c>
      <c r="B3363">
        <v>6.4</v>
      </c>
    </row>
    <row r="3364" spans="1:2" x14ac:dyDescent="0.25">
      <c r="A3364" s="1">
        <v>43613</v>
      </c>
      <c r="B3364">
        <v>6.4</v>
      </c>
    </row>
    <row r="3365" spans="1:2" x14ac:dyDescent="0.25">
      <c r="A3365" s="1">
        <v>43614</v>
      </c>
      <c r="B3365">
        <v>6.4</v>
      </c>
    </row>
    <row r="3366" spans="1:2" x14ac:dyDescent="0.25">
      <c r="A3366" s="1">
        <v>43615</v>
      </c>
      <c r="B3366">
        <v>6.4</v>
      </c>
    </row>
    <row r="3367" spans="1:2" x14ac:dyDescent="0.25">
      <c r="A3367" s="1">
        <v>43616</v>
      </c>
      <c r="B3367">
        <v>6.4</v>
      </c>
    </row>
    <row r="3368" spans="1:2" x14ac:dyDescent="0.25">
      <c r="A3368" s="1">
        <v>43619</v>
      </c>
      <c r="B3368">
        <v>6.4</v>
      </c>
    </row>
    <row r="3369" spans="1:2" x14ac:dyDescent="0.25">
      <c r="A3369" s="1">
        <v>43620</v>
      </c>
      <c r="B3369">
        <v>6.4</v>
      </c>
    </row>
    <row r="3370" spans="1:2" x14ac:dyDescent="0.25">
      <c r="A3370" s="1">
        <v>43621</v>
      </c>
      <c r="B3370">
        <v>6.4</v>
      </c>
    </row>
    <row r="3371" spans="1:2" x14ac:dyDescent="0.25">
      <c r="A3371" s="1">
        <v>43622</v>
      </c>
      <c r="B3371">
        <v>6.4</v>
      </c>
    </row>
    <row r="3372" spans="1:2" x14ac:dyDescent="0.25">
      <c r="A3372" s="1">
        <v>43623</v>
      </c>
      <c r="B3372">
        <v>6.4</v>
      </c>
    </row>
    <row r="3373" spans="1:2" x14ac:dyDescent="0.25">
      <c r="A3373" s="1">
        <v>43626</v>
      </c>
      <c r="B3373">
        <v>6.4</v>
      </c>
    </row>
    <row r="3374" spans="1:2" x14ac:dyDescent="0.25">
      <c r="A3374" s="1">
        <v>43627</v>
      </c>
      <c r="B3374">
        <v>6.4</v>
      </c>
    </row>
    <row r="3375" spans="1:2" x14ac:dyDescent="0.25">
      <c r="A3375" s="1">
        <v>43628</v>
      </c>
      <c r="B3375">
        <v>6.4</v>
      </c>
    </row>
    <row r="3376" spans="1:2" x14ac:dyDescent="0.25">
      <c r="A3376" s="1">
        <v>43629</v>
      </c>
      <c r="B3376">
        <v>6.4</v>
      </c>
    </row>
    <row r="3377" spans="1:2" x14ac:dyDescent="0.25">
      <c r="A3377" s="1">
        <v>43630</v>
      </c>
      <c r="B3377">
        <v>6.4</v>
      </c>
    </row>
    <row r="3378" spans="1:2" x14ac:dyDescent="0.25">
      <c r="A3378" s="1">
        <v>43633</v>
      </c>
      <c r="B3378">
        <v>6.4</v>
      </c>
    </row>
    <row r="3379" spans="1:2" x14ac:dyDescent="0.25">
      <c r="A3379" s="1">
        <v>43634</v>
      </c>
      <c r="B3379">
        <v>6.4</v>
      </c>
    </row>
    <row r="3380" spans="1:2" x14ac:dyDescent="0.25">
      <c r="A3380" s="1">
        <v>43635</v>
      </c>
      <c r="B3380">
        <v>6.4</v>
      </c>
    </row>
    <row r="3381" spans="1:2" x14ac:dyDescent="0.25">
      <c r="A3381" s="1">
        <v>43637</v>
      </c>
      <c r="B3381">
        <v>6.4</v>
      </c>
    </row>
    <row r="3382" spans="1:2" x14ac:dyDescent="0.25">
      <c r="A3382" s="1">
        <v>43640</v>
      </c>
      <c r="B3382">
        <v>6.4</v>
      </c>
    </row>
    <row r="3383" spans="1:2" x14ac:dyDescent="0.25">
      <c r="A3383" s="1">
        <v>43641</v>
      </c>
      <c r="B3383">
        <v>6.4</v>
      </c>
    </row>
    <row r="3384" spans="1:2" x14ac:dyDescent="0.25">
      <c r="A3384" s="1">
        <v>43642</v>
      </c>
      <c r="B3384">
        <v>6.4</v>
      </c>
    </row>
    <row r="3385" spans="1:2" x14ac:dyDescent="0.25">
      <c r="A3385" s="1">
        <v>43643</v>
      </c>
      <c r="B3385">
        <v>6.4</v>
      </c>
    </row>
    <row r="3386" spans="1:2" x14ac:dyDescent="0.25">
      <c r="A3386" s="1">
        <v>43644</v>
      </c>
      <c r="B3386">
        <v>6.4</v>
      </c>
    </row>
    <row r="3387" spans="1:2" x14ac:dyDescent="0.25">
      <c r="A3387" s="1">
        <v>43647</v>
      </c>
      <c r="B3387">
        <v>6.4</v>
      </c>
    </row>
    <row r="3388" spans="1:2" x14ac:dyDescent="0.25">
      <c r="A3388" s="1">
        <v>43648</v>
      </c>
      <c r="B3388">
        <v>6.4</v>
      </c>
    </row>
    <row r="3389" spans="1:2" x14ac:dyDescent="0.25">
      <c r="A3389" s="1">
        <v>43649</v>
      </c>
      <c r="B3389">
        <v>6.4</v>
      </c>
    </row>
    <row r="3390" spans="1:2" x14ac:dyDescent="0.25">
      <c r="A3390" s="1">
        <v>43650</v>
      </c>
      <c r="B3390">
        <v>6.4</v>
      </c>
    </row>
    <row r="3391" spans="1:2" x14ac:dyDescent="0.25">
      <c r="A3391" s="1">
        <v>43651</v>
      </c>
      <c r="B3391">
        <v>6.4</v>
      </c>
    </row>
    <row r="3392" spans="1:2" x14ac:dyDescent="0.25">
      <c r="A3392" s="1">
        <v>43654</v>
      </c>
      <c r="B3392">
        <v>6.4</v>
      </c>
    </row>
    <row r="3393" spans="1:2" x14ac:dyDescent="0.25">
      <c r="A3393" s="1">
        <v>43655</v>
      </c>
      <c r="B3393">
        <v>6.4</v>
      </c>
    </row>
    <row r="3394" spans="1:2" x14ac:dyDescent="0.25">
      <c r="A3394" s="1">
        <v>43656</v>
      </c>
      <c r="B3394">
        <v>6.4</v>
      </c>
    </row>
    <row r="3395" spans="1:2" x14ac:dyDescent="0.25">
      <c r="A3395" s="1">
        <v>43657</v>
      </c>
      <c r="B3395">
        <v>6.4</v>
      </c>
    </row>
    <row r="3396" spans="1:2" x14ac:dyDescent="0.25">
      <c r="A3396" s="1">
        <v>43658</v>
      </c>
      <c r="B3396">
        <v>6.4</v>
      </c>
    </row>
    <row r="3397" spans="1:2" x14ac:dyDescent="0.25">
      <c r="A3397" s="1">
        <v>43661</v>
      </c>
      <c r="B3397">
        <v>6.4</v>
      </c>
    </row>
    <row r="3398" spans="1:2" x14ac:dyDescent="0.25">
      <c r="A3398" s="1">
        <v>43662</v>
      </c>
      <c r="B3398">
        <v>6.4</v>
      </c>
    </row>
    <row r="3399" spans="1:2" x14ac:dyDescent="0.25">
      <c r="A3399" s="1">
        <v>43663</v>
      </c>
      <c r="B3399">
        <v>6.4</v>
      </c>
    </row>
    <row r="3400" spans="1:2" x14ac:dyDescent="0.25">
      <c r="A3400" s="1">
        <v>43664</v>
      </c>
      <c r="B3400">
        <v>6.4</v>
      </c>
    </row>
    <row r="3401" spans="1:2" x14ac:dyDescent="0.25">
      <c r="A3401" s="1">
        <v>43665</v>
      </c>
      <c r="B3401">
        <v>6.4</v>
      </c>
    </row>
    <row r="3402" spans="1:2" x14ac:dyDescent="0.25">
      <c r="A3402" s="1">
        <v>43668</v>
      </c>
      <c r="B3402">
        <v>6.4</v>
      </c>
    </row>
    <row r="3403" spans="1:2" x14ac:dyDescent="0.25">
      <c r="A3403" s="1">
        <v>43669</v>
      </c>
      <c r="B3403">
        <v>6.4</v>
      </c>
    </row>
    <row r="3404" spans="1:2" x14ac:dyDescent="0.25">
      <c r="A3404" s="1">
        <v>43670</v>
      </c>
      <c r="B3404">
        <v>6.4</v>
      </c>
    </row>
    <row r="3405" spans="1:2" x14ac:dyDescent="0.25">
      <c r="A3405" s="1">
        <v>43671</v>
      </c>
      <c r="B3405">
        <v>6.4</v>
      </c>
    </row>
    <row r="3406" spans="1:2" x14ac:dyDescent="0.25">
      <c r="A3406" s="1">
        <v>43672</v>
      </c>
      <c r="B3406">
        <v>6.4</v>
      </c>
    </row>
    <row r="3407" spans="1:2" x14ac:dyDescent="0.25">
      <c r="A3407" s="1">
        <v>43675</v>
      </c>
      <c r="B3407">
        <v>6.4</v>
      </c>
    </row>
    <row r="3408" spans="1:2" x14ac:dyDescent="0.25">
      <c r="A3408" s="1">
        <v>43676</v>
      </c>
      <c r="B3408">
        <v>6.4</v>
      </c>
    </row>
    <row r="3409" spans="1:2" x14ac:dyDescent="0.25">
      <c r="A3409" s="1">
        <v>43677</v>
      </c>
      <c r="B3409">
        <v>6.4</v>
      </c>
    </row>
    <row r="3410" spans="1:2" x14ac:dyDescent="0.25">
      <c r="A3410" s="1">
        <v>43678</v>
      </c>
      <c r="B3410">
        <v>5.9</v>
      </c>
    </row>
    <row r="3411" spans="1:2" x14ac:dyDescent="0.25">
      <c r="A3411" s="1">
        <v>43679</v>
      </c>
      <c r="B3411">
        <v>5.9</v>
      </c>
    </row>
    <row r="3412" spans="1:2" x14ac:dyDescent="0.25">
      <c r="A3412" s="1">
        <v>43682</v>
      </c>
      <c r="B3412">
        <v>5.9</v>
      </c>
    </row>
    <row r="3413" spans="1:2" x14ac:dyDescent="0.25">
      <c r="A3413" s="1">
        <v>43683</v>
      </c>
      <c r="B3413">
        <v>5.9</v>
      </c>
    </row>
    <row r="3414" spans="1:2" x14ac:dyDescent="0.25">
      <c r="A3414" s="1">
        <v>43684</v>
      </c>
      <c r="B3414">
        <v>5.9</v>
      </c>
    </row>
    <row r="3415" spans="1:2" x14ac:dyDescent="0.25">
      <c r="A3415" s="1">
        <v>43685</v>
      </c>
      <c r="B3415">
        <v>5.9</v>
      </c>
    </row>
    <row r="3416" spans="1:2" x14ac:dyDescent="0.25">
      <c r="A3416" s="1">
        <v>43686</v>
      </c>
      <c r="B3416">
        <v>5.9</v>
      </c>
    </row>
    <row r="3417" spans="1:2" x14ac:dyDescent="0.25">
      <c r="A3417" s="1">
        <v>43689</v>
      </c>
      <c r="B3417">
        <v>5.9</v>
      </c>
    </row>
    <row r="3418" spans="1:2" x14ac:dyDescent="0.25">
      <c r="A3418" s="1">
        <v>43690</v>
      </c>
      <c r="B3418">
        <v>5.9</v>
      </c>
    </row>
    <row r="3419" spans="1:2" x14ac:dyDescent="0.25">
      <c r="A3419" s="1">
        <v>43691</v>
      </c>
      <c r="B3419">
        <v>5.9</v>
      </c>
    </row>
    <row r="3420" spans="1:2" x14ac:dyDescent="0.25">
      <c r="A3420" s="1">
        <v>43692</v>
      </c>
      <c r="B3420">
        <v>5.9</v>
      </c>
    </row>
    <row r="3421" spans="1:2" x14ac:dyDescent="0.25">
      <c r="A3421" s="1">
        <v>43693</v>
      </c>
      <c r="B3421">
        <v>5.9</v>
      </c>
    </row>
    <row r="3422" spans="1:2" x14ac:dyDescent="0.25">
      <c r="A3422" s="1">
        <v>43696</v>
      </c>
      <c r="B3422">
        <v>5.9</v>
      </c>
    </row>
    <row r="3423" spans="1:2" x14ac:dyDescent="0.25">
      <c r="A3423" s="1">
        <v>43697</v>
      </c>
      <c r="B3423">
        <v>5.9</v>
      </c>
    </row>
    <row r="3424" spans="1:2" x14ac:dyDescent="0.25">
      <c r="A3424" s="1">
        <v>43698</v>
      </c>
      <c r="B3424">
        <v>5.9</v>
      </c>
    </row>
    <row r="3425" spans="1:2" x14ac:dyDescent="0.25">
      <c r="A3425" s="1">
        <v>43699</v>
      </c>
      <c r="B3425">
        <v>5.9</v>
      </c>
    </row>
    <row r="3426" spans="1:2" x14ac:dyDescent="0.25">
      <c r="A3426" s="1">
        <v>43700</v>
      </c>
      <c r="B3426">
        <v>5.9</v>
      </c>
    </row>
    <row r="3427" spans="1:2" x14ac:dyDescent="0.25">
      <c r="A3427" s="1">
        <v>43703</v>
      </c>
      <c r="B3427">
        <v>5.9</v>
      </c>
    </row>
    <row r="3428" spans="1:2" x14ac:dyDescent="0.25">
      <c r="A3428" s="1">
        <v>43704</v>
      </c>
      <c r="B3428">
        <v>5.9</v>
      </c>
    </row>
    <row r="3429" spans="1:2" x14ac:dyDescent="0.25">
      <c r="A3429" s="1">
        <v>43705</v>
      </c>
      <c r="B3429">
        <v>5.9</v>
      </c>
    </row>
    <row r="3430" spans="1:2" x14ac:dyDescent="0.25">
      <c r="A3430" s="1">
        <v>43706</v>
      </c>
      <c r="B3430">
        <v>5.9</v>
      </c>
    </row>
    <row r="3431" spans="1:2" x14ac:dyDescent="0.25">
      <c r="A3431" s="1">
        <v>43707</v>
      </c>
      <c r="B3431">
        <v>5.9</v>
      </c>
    </row>
    <row r="3432" spans="1:2" x14ac:dyDescent="0.25">
      <c r="A3432" s="1">
        <v>43710</v>
      </c>
      <c r="B3432">
        <v>5.9</v>
      </c>
    </row>
    <row r="3433" spans="1:2" x14ac:dyDescent="0.25">
      <c r="A3433" s="1">
        <v>43711</v>
      </c>
      <c r="B3433">
        <v>5.9</v>
      </c>
    </row>
    <row r="3434" spans="1:2" x14ac:dyDescent="0.25">
      <c r="A3434" s="1">
        <v>43712</v>
      </c>
      <c r="B3434">
        <v>5.9</v>
      </c>
    </row>
    <row r="3435" spans="1:2" x14ac:dyDescent="0.25">
      <c r="A3435" s="1">
        <v>43713</v>
      </c>
      <c r="B3435">
        <v>5.9</v>
      </c>
    </row>
    <row r="3436" spans="1:2" x14ac:dyDescent="0.25">
      <c r="A3436" s="1">
        <v>43714</v>
      </c>
      <c r="B3436">
        <v>5.9</v>
      </c>
    </row>
    <row r="3437" spans="1:2" x14ac:dyDescent="0.25">
      <c r="A3437" s="1">
        <v>43717</v>
      </c>
      <c r="B3437">
        <v>5.9</v>
      </c>
    </row>
    <row r="3438" spans="1:2" x14ac:dyDescent="0.25">
      <c r="A3438" s="1">
        <v>43718</v>
      </c>
      <c r="B3438">
        <v>5.9</v>
      </c>
    </row>
    <row r="3439" spans="1:2" x14ac:dyDescent="0.25">
      <c r="A3439" s="1">
        <v>43719</v>
      </c>
      <c r="B3439">
        <v>5.9</v>
      </c>
    </row>
    <row r="3440" spans="1:2" x14ac:dyDescent="0.25">
      <c r="A3440" s="1">
        <v>43720</v>
      </c>
      <c r="B3440">
        <v>5.9</v>
      </c>
    </row>
    <row r="3441" spans="1:2" x14ac:dyDescent="0.25">
      <c r="A3441" s="1">
        <v>43721</v>
      </c>
      <c r="B3441">
        <v>5.9</v>
      </c>
    </row>
    <row r="3442" spans="1:2" x14ac:dyDescent="0.25">
      <c r="A3442" s="1">
        <v>43724</v>
      </c>
      <c r="B3442">
        <v>5.9</v>
      </c>
    </row>
    <row r="3443" spans="1:2" x14ac:dyDescent="0.25">
      <c r="A3443" s="1">
        <v>43725</v>
      </c>
      <c r="B3443">
        <v>5.9</v>
      </c>
    </row>
    <row r="3444" spans="1:2" x14ac:dyDescent="0.25">
      <c r="A3444" s="1">
        <v>43726</v>
      </c>
      <c r="B3444">
        <v>5.9</v>
      </c>
    </row>
    <row r="3445" spans="1:2" x14ac:dyDescent="0.25">
      <c r="A3445" s="1">
        <v>43727</v>
      </c>
      <c r="B3445">
        <v>5.4</v>
      </c>
    </row>
    <row r="3446" spans="1:2" x14ac:dyDescent="0.25">
      <c r="A3446" s="1">
        <v>43728</v>
      </c>
      <c r="B3446">
        <v>5.4</v>
      </c>
    </row>
    <row r="3447" spans="1:2" x14ac:dyDescent="0.25">
      <c r="A3447" s="1">
        <v>43731</v>
      </c>
      <c r="B3447">
        <v>5.4</v>
      </c>
    </row>
    <row r="3448" spans="1:2" x14ac:dyDescent="0.25">
      <c r="A3448" s="1">
        <v>43732</v>
      </c>
      <c r="B3448">
        <v>5.4</v>
      </c>
    </row>
    <row r="3449" spans="1:2" x14ac:dyDescent="0.25">
      <c r="A3449" s="1">
        <v>43733</v>
      </c>
      <c r="B3449">
        <v>5.4</v>
      </c>
    </row>
    <row r="3450" spans="1:2" x14ac:dyDescent="0.25">
      <c r="A3450" s="1">
        <v>43734</v>
      </c>
      <c r="B3450">
        <v>5.4</v>
      </c>
    </row>
    <row r="3451" spans="1:2" x14ac:dyDescent="0.25">
      <c r="A3451" s="1">
        <v>43735</v>
      </c>
      <c r="B3451">
        <v>5.4</v>
      </c>
    </row>
    <row r="3452" spans="1:2" x14ac:dyDescent="0.25">
      <c r="A3452" s="1">
        <v>43738</v>
      </c>
      <c r="B3452">
        <v>5.4</v>
      </c>
    </row>
    <row r="3453" spans="1:2" x14ac:dyDescent="0.25">
      <c r="A3453" s="1">
        <v>43739</v>
      </c>
      <c r="B3453">
        <v>5.4</v>
      </c>
    </row>
    <row r="3454" spans="1:2" x14ac:dyDescent="0.25">
      <c r="A3454" s="1">
        <v>43740</v>
      </c>
      <c r="B3454">
        <v>5.4</v>
      </c>
    </row>
    <row r="3455" spans="1:2" x14ac:dyDescent="0.25">
      <c r="A3455" s="1">
        <v>43741</v>
      </c>
      <c r="B3455">
        <v>5.4</v>
      </c>
    </row>
    <row r="3456" spans="1:2" x14ac:dyDescent="0.25">
      <c r="A3456" s="1">
        <v>43742</v>
      </c>
      <c r="B3456">
        <v>5.4</v>
      </c>
    </row>
    <row r="3457" spans="1:2" x14ac:dyDescent="0.25">
      <c r="A3457" s="1">
        <v>43745</v>
      </c>
      <c r="B3457">
        <v>5.4</v>
      </c>
    </row>
    <row r="3458" spans="1:2" x14ac:dyDescent="0.25">
      <c r="A3458" s="1">
        <v>43746</v>
      </c>
      <c r="B3458">
        <v>5.4</v>
      </c>
    </row>
    <row r="3459" spans="1:2" x14ac:dyDescent="0.25">
      <c r="A3459" s="1">
        <v>43747</v>
      </c>
      <c r="B3459">
        <v>5.4</v>
      </c>
    </row>
    <row r="3460" spans="1:2" x14ac:dyDescent="0.25">
      <c r="A3460" s="1">
        <v>43748</v>
      </c>
      <c r="B3460">
        <v>5.4</v>
      </c>
    </row>
    <row r="3461" spans="1:2" x14ac:dyDescent="0.25">
      <c r="A3461" s="1">
        <v>43749</v>
      </c>
      <c r="B3461">
        <v>5.4</v>
      </c>
    </row>
    <row r="3462" spans="1:2" x14ac:dyDescent="0.25">
      <c r="A3462" s="1">
        <v>43752</v>
      </c>
      <c r="B3462">
        <v>5.4</v>
      </c>
    </row>
    <row r="3463" spans="1:2" x14ac:dyDescent="0.25">
      <c r="A3463" s="1">
        <v>43753</v>
      </c>
      <c r="B3463">
        <v>5.4</v>
      </c>
    </row>
    <row r="3464" spans="1:2" x14ac:dyDescent="0.25">
      <c r="A3464" s="1">
        <v>43754</v>
      </c>
      <c r="B3464">
        <v>5.4</v>
      </c>
    </row>
    <row r="3465" spans="1:2" x14ac:dyDescent="0.25">
      <c r="A3465" s="1">
        <v>43755</v>
      </c>
      <c r="B3465">
        <v>5.4</v>
      </c>
    </row>
    <row r="3466" spans="1:2" x14ac:dyDescent="0.25">
      <c r="A3466" s="1">
        <v>43756</v>
      </c>
      <c r="B3466">
        <v>5.4</v>
      </c>
    </row>
    <row r="3467" spans="1:2" x14ac:dyDescent="0.25">
      <c r="A3467" s="1">
        <v>43759</v>
      </c>
      <c r="B3467">
        <v>5.4</v>
      </c>
    </row>
    <row r="3468" spans="1:2" x14ac:dyDescent="0.25">
      <c r="A3468" s="1">
        <v>43760</v>
      </c>
      <c r="B3468">
        <v>5.4</v>
      </c>
    </row>
    <row r="3469" spans="1:2" x14ac:dyDescent="0.25">
      <c r="A3469" s="1">
        <v>43761</v>
      </c>
      <c r="B3469">
        <v>5.4</v>
      </c>
    </row>
    <row r="3470" spans="1:2" x14ac:dyDescent="0.25">
      <c r="A3470" s="1">
        <v>43762</v>
      </c>
      <c r="B3470">
        <v>5.4</v>
      </c>
    </row>
    <row r="3471" spans="1:2" x14ac:dyDescent="0.25">
      <c r="A3471" s="1">
        <v>43763</v>
      </c>
      <c r="B3471">
        <v>5.4</v>
      </c>
    </row>
    <row r="3472" spans="1:2" x14ac:dyDescent="0.25">
      <c r="A3472" s="1">
        <v>43766</v>
      </c>
      <c r="B3472">
        <v>5.4</v>
      </c>
    </row>
    <row r="3473" spans="1:2" x14ac:dyDescent="0.25">
      <c r="A3473" s="1">
        <v>43767</v>
      </c>
      <c r="B3473">
        <v>5.4</v>
      </c>
    </row>
    <row r="3474" spans="1:2" x14ac:dyDescent="0.25">
      <c r="A3474" s="1">
        <v>43768</v>
      </c>
      <c r="B3474">
        <v>5.4</v>
      </c>
    </row>
    <row r="3475" spans="1:2" x14ac:dyDescent="0.25">
      <c r="A3475" s="1">
        <v>43769</v>
      </c>
      <c r="B3475">
        <v>4.9000000000000004</v>
      </c>
    </row>
    <row r="3476" spans="1:2" x14ac:dyDescent="0.25">
      <c r="A3476" s="1">
        <v>43770</v>
      </c>
      <c r="B3476">
        <v>4.9000000000000004</v>
      </c>
    </row>
    <row r="3477" spans="1:2" x14ac:dyDescent="0.25">
      <c r="A3477" s="1">
        <v>43773</v>
      </c>
      <c r="B3477">
        <v>4.9000000000000004</v>
      </c>
    </row>
    <row r="3478" spans="1:2" x14ac:dyDescent="0.25">
      <c r="A3478" s="1">
        <v>43774</v>
      </c>
      <c r="B3478">
        <v>4.9000000000000004</v>
      </c>
    </row>
    <row r="3479" spans="1:2" x14ac:dyDescent="0.25">
      <c r="A3479" s="1">
        <v>43775</v>
      </c>
      <c r="B3479">
        <v>4.9000000000000004</v>
      </c>
    </row>
    <row r="3480" spans="1:2" x14ac:dyDescent="0.25">
      <c r="A3480" s="1">
        <v>43776</v>
      </c>
      <c r="B3480">
        <v>4.9000000000000004</v>
      </c>
    </row>
    <row r="3481" spans="1:2" x14ac:dyDescent="0.25">
      <c r="A3481" s="1">
        <v>43777</v>
      </c>
      <c r="B3481">
        <v>4.9000000000000004</v>
      </c>
    </row>
    <row r="3482" spans="1:2" x14ac:dyDescent="0.25">
      <c r="A3482" s="1">
        <v>43780</v>
      </c>
      <c r="B3482">
        <v>4.9000000000000004</v>
      </c>
    </row>
    <row r="3483" spans="1:2" x14ac:dyDescent="0.25">
      <c r="A3483" s="1">
        <v>43781</v>
      </c>
      <c r="B3483">
        <v>4.9000000000000004</v>
      </c>
    </row>
    <row r="3484" spans="1:2" x14ac:dyDescent="0.25">
      <c r="A3484" s="1">
        <v>43782</v>
      </c>
      <c r="B3484">
        <v>4.9000000000000004</v>
      </c>
    </row>
    <row r="3485" spans="1:2" x14ac:dyDescent="0.25">
      <c r="A3485" s="1">
        <v>43783</v>
      </c>
      <c r="B3485">
        <v>4.9000000000000004</v>
      </c>
    </row>
    <row r="3486" spans="1:2" x14ac:dyDescent="0.25">
      <c r="A3486" s="1">
        <v>43787</v>
      </c>
      <c r="B3486">
        <v>4.9000000000000004</v>
      </c>
    </row>
    <row r="3487" spans="1:2" x14ac:dyDescent="0.25">
      <c r="A3487" s="1">
        <v>43788</v>
      </c>
      <c r="B3487">
        <v>4.9000000000000004</v>
      </c>
    </row>
    <row r="3488" spans="1:2" x14ac:dyDescent="0.25">
      <c r="A3488" s="1">
        <v>43789</v>
      </c>
      <c r="B3488">
        <v>4.9000000000000004</v>
      </c>
    </row>
    <row r="3489" spans="1:2" x14ac:dyDescent="0.25">
      <c r="A3489" s="1">
        <v>43790</v>
      </c>
      <c r="B3489">
        <v>4.9000000000000004</v>
      </c>
    </row>
    <row r="3490" spans="1:2" x14ac:dyDescent="0.25">
      <c r="A3490" s="1">
        <v>43791</v>
      </c>
      <c r="B3490">
        <v>4.9000000000000004</v>
      </c>
    </row>
    <row r="3491" spans="1:2" x14ac:dyDescent="0.25">
      <c r="A3491" s="1">
        <v>43794</v>
      </c>
      <c r="B3491">
        <v>4.9000000000000004</v>
      </c>
    </row>
    <row r="3492" spans="1:2" x14ac:dyDescent="0.25">
      <c r="A3492" s="1">
        <v>43795</v>
      </c>
      <c r="B3492">
        <v>4.9000000000000004</v>
      </c>
    </row>
    <row r="3493" spans="1:2" x14ac:dyDescent="0.25">
      <c r="A3493" s="1">
        <v>43796</v>
      </c>
      <c r="B3493">
        <v>4.9000000000000004</v>
      </c>
    </row>
    <row r="3494" spans="1:2" x14ac:dyDescent="0.25">
      <c r="A3494" s="1">
        <v>43797</v>
      </c>
      <c r="B3494">
        <v>4.9000000000000004</v>
      </c>
    </row>
    <row r="3495" spans="1:2" x14ac:dyDescent="0.25">
      <c r="A3495" s="1">
        <v>43798</v>
      </c>
      <c r="B3495">
        <v>4.9000000000000004</v>
      </c>
    </row>
    <row r="3496" spans="1:2" x14ac:dyDescent="0.25">
      <c r="A3496" s="1">
        <v>43801</v>
      </c>
      <c r="B3496">
        <v>4.9000000000000004</v>
      </c>
    </row>
    <row r="3497" spans="1:2" x14ac:dyDescent="0.25">
      <c r="A3497" s="1">
        <v>43802</v>
      </c>
      <c r="B3497">
        <v>4.9000000000000004</v>
      </c>
    </row>
    <row r="3498" spans="1:2" x14ac:dyDescent="0.25">
      <c r="A3498" s="1">
        <v>43803</v>
      </c>
      <c r="B3498">
        <v>4.9000000000000004</v>
      </c>
    </row>
    <row r="3499" spans="1:2" x14ac:dyDescent="0.25">
      <c r="A3499" s="1">
        <v>43804</v>
      </c>
      <c r="B3499">
        <v>4.9000000000000004</v>
      </c>
    </row>
    <row r="3500" spans="1:2" x14ac:dyDescent="0.25">
      <c r="A3500" s="1">
        <v>43805</v>
      </c>
      <c r="B3500">
        <v>4.9000000000000004</v>
      </c>
    </row>
    <row r="3501" spans="1:2" x14ac:dyDescent="0.25">
      <c r="A3501" s="1">
        <v>43808</v>
      </c>
      <c r="B3501">
        <v>4.9000000000000004</v>
      </c>
    </row>
    <row r="3502" spans="1:2" x14ac:dyDescent="0.25">
      <c r="A3502" s="1">
        <v>43809</v>
      </c>
      <c r="B3502">
        <v>4.9000000000000004</v>
      </c>
    </row>
    <row r="3503" spans="1:2" x14ac:dyDescent="0.25">
      <c r="A3503" s="1">
        <v>43810</v>
      </c>
      <c r="B3503">
        <v>4.9000000000000004</v>
      </c>
    </row>
    <row r="3504" spans="1:2" x14ac:dyDescent="0.25">
      <c r="A3504" s="1">
        <v>43811</v>
      </c>
      <c r="B3504">
        <v>4.4000000000000004</v>
      </c>
    </row>
    <row r="3505" spans="1:2" x14ac:dyDescent="0.25">
      <c r="A3505" s="1">
        <v>43812</v>
      </c>
      <c r="B3505">
        <v>4.4000000000000004</v>
      </c>
    </row>
    <row r="3506" spans="1:2" x14ac:dyDescent="0.25">
      <c r="A3506" s="1">
        <v>43815</v>
      </c>
      <c r="B3506">
        <v>4.4000000000000004</v>
      </c>
    </row>
    <row r="3507" spans="1:2" x14ac:dyDescent="0.25">
      <c r="A3507" s="1">
        <v>43816</v>
      </c>
      <c r="B3507">
        <v>4.4000000000000004</v>
      </c>
    </row>
    <row r="3508" spans="1:2" x14ac:dyDescent="0.25">
      <c r="A3508" s="1">
        <v>43817</v>
      </c>
      <c r="B3508">
        <v>4.4000000000000004</v>
      </c>
    </row>
    <row r="3509" spans="1:2" x14ac:dyDescent="0.25">
      <c r="A3509" s="1">
        <v>43818</v>
      </c>
      <c r="B3509">
        <v>4.4000000000000004</v>
      </c>
    </row>
    <row r="3510" spans="1:2" x14ac:dyDescent="0.25">
      <c r="A3510" s="1">
        <v>43819</v>
      </c>
      <c r="B3510">
        <v>4.4000000000000004</v>
      </c>
    </row>
    <row r="3511" spans="1:2" x14ac:dyDescent="0.25">
      <c r="A3511" s="1">
        <v>43822</v>
      </c>
      <c r="B3511">
        <v>4.4000000000000004</v>
      </c>
    </row>
    <row r="3512" spans="1:2" x14ac:dyDescent="0.25">
      <c r="A3512" s="1">
        <v>43823</v>
      </c>
      <c r="B3512">
        <v>4.4000000000000004</v>
      </c>
    </row>
    <row r="3513" spans="1:2" x14ac:dyDescent="0.25">
      <c r="A3513" s="1">
        <v>43825</v>
      </c>
      <c r="B3513">
        <v>4.4000000000000004</v>
      </c>
    </row>
    <row r="3514" spans="1:2" x14ac:dyDescent="0.25">
      <c r="A3514" s="1">
        <v>43826</v>
      </c>
      <c r="B3514">
        <v>4.4000000000000004</v>
      </c>
    </row>
    <row r="3515" spans="1:2" x14ac:dyDescent="0.25">
      <c r="A3515" s="1">
        <v>43829</v>
      </c>
      <c r="B3515">
        <v>4.4000000000000004</v>
      </c>
    </row>
    <row r="3516" spans="1:2" x14ac:dyDescent="0.25">
      <c r="A3516" s="1">
        <v>43830</v>
      </c>
      <c r="B3516">
        <v>4.4000000000000004</v>
      </c>
    </row>
    <row r="3517" spans="1:2" x14ac:dyDescent="0.25">
      <c r="A3517" s="1">
        <v>43832</v>
      </c>
      <c r="B3517">
        <v>4.4000000000000004</v>
      </c>
    </row>
    <row r="3518" spans="1:2" x14ac:dyDescent="0.25">
      <c r="A3518" s="1">
        <v>43833</v>
      </c>
      <c r="B3518">
        <v>4.4000000000000004</v>
      </c>
    </row>
    <row r="3519" spans="1:2" x14ac:dyDescent="0.25">
      <c r="A3519" s="1">
        <v>43836</v>
      </c>
      <c r="B3519">
        <v>4.4000000000000004</v>
      </c>
    </row>
    <row r="3520" spans="1:2" x14ac:dyDescent="0.25">
      <c r="A3520" s="1">
        <v>43837</v>
      </c>
      <c r="B3520">
        <v>4.4000000000000004</v>
      </c>
    </row>
    <row r="3521" spans="1:2" x14ac:dyDescent="0.25">
      <c r="A3521" s="1">
        <v>43838</v>
      </c>
      <c r="B3521">
        <v>4.4000000000000004</v>
      </c>
    </row>
    <row r="3522" spans="1:2" x14ac:dyDescent="0.25">
      <c r="A3522" s="1">
        <v>43839</v>
      </c>
      <c r="B3522">
        <v>4.4000000000000004</v>
      </c>
    </row>
    <row r="3523" spans="1:2" x14ac:dyDescent="0.25">
      <c r="A3523" s="1">
        <v>43840</v>
      </c>
      <c r="B3523">
        <v>4.4000000000000004</v>
      </c>
    </row>
    <row r="3524" spans="1:2" x14ac:dyDescent="0.25">
      <c r="A3524" s="1">
        <v>43843</v>
      </c>
      <c r="B3524">
        <v>4.4000000000000004</v>
      </c>
    </row>
    <row r="3525" spans="1:2" x14ac:dyDescent="0.25">
      <c r="A3525" s="1">
        <v>43844</v>
      </c>
      <c r="B3525">
        <v>4.4000000000000004</v>
      </c>
    </row>
    <row r="3526" spans="1:2" x14ac:dyDescent="0.25">
      <c r="A3526" s="1">
        <v>43845</v>
      </c>
      <c r="B3526">
        <v>4.4000000000000004</v>
      </c>
    </row>
    <row r="3527" spans="1:2" x14ac:dyDescent="0.25">
      <c r="A3527" s="1">
        <v>43846</v>
      </c>
      <c r="B3527">
        <v>4.4000000000000004</v>
      </c>
    </row>
    <row r="3528" spans="1:2" x14ac:dyDescent="0.25">
      <c r="A3528" s="1">
        <v>43847</v>
      </c>
      <c r="B3528">
        <v>4.4000000000000004</v>
      </c>
    </row>
    <row r="3529" spans="1:2" x14ac:dyDescent="0.25">
      <c r="A3529" s="1">
        <v>43850</v>
      </c>
      <c r="B3529">
        <v>4.4000000000000004</v>
      </c>
    </row>
    <row r="3530" spans="1:2" x14ac:dyDescent="0.25">
      <c r="A3530" s="1">
        <v>43851</v>
      </c>
      <c r="B3530">
        <v>4.4000000000000004</v>
      </c>
    </row>
    <row r="3531" spans="1:2" x14ac:dyDescent="0.25">
      <c r="A3531" s="1">
        <v>43852</v>
      </c>
      <c r="B3531">
        <v>4.4000000000000004</v>
      </c>
    </row>
    <row r="3532" spans="1:2" x14ac:dyDescent="0.25">
      <c r="A3532" s="1">
        <v>43853</v>
      </c>
      <c r="B3532">
        <v>4.4000000000000004</v>
      </c>
    </row>
    <row r="3533" spans="1:2" x14ac:dyDescent="0.25">
      <c r="A3533" s="1">
        <v>43854</v>
      </c>
      <c r="B3533">
        <v>4.4000000000000004</v>
      </c>
    </row>
    <row r="3534" spans="1:2" x14ac:dyDescent="0.25">
      <c r="A3534" s="1">
        <v>43857</v>
      </c>
      <c r="B3534">
        <v>4.4000000000000004</v>
      </c>
    </row>
    <row r="3535" spans="1:2" x14ac:dyDescent="0.25">
      <c r="A3535" s="1">
        <v>43858</v>
      </c>
      <c r="B3535">
        <v>4.4000000000000004</v>
      </c>
    </row>
    <row r="3536" spans="1:2" x14ac:dyDescent="0.25">
      <c r="A3536" s="1">
        <v>43859</v>
      </c>
      <c r="B3536">
        <v>4.4000000000000004</v>
      </c>
    </row>
    <row r="3537" spans="1:2" x14ac:dyDescent="0.25">
      <c r="A3537" s="1">
        <v>43860</v>
      </c>
      <c r="B3537">
        <v>4.4000000000000004</v>
      </c>
    </row>
    <row r="3538" spans="1:2" x14ac:dyDescent="0.25">
      <c r="A3538" s="1">
        <v>43861</v>
      </c>
      <c r="B3538">
        <v>4.4000000000000004</v>
      </c>
    </row>
    <row r="3539" spans="1:2" x14ac:dyDescent="0.25">
      <c r="A3539" s="1">
        <v>43864</v>
      </c>
      <c r="B3539">
        <v>4.4000000000000004</v>
      </c>
    </row>
    <row r="3540" spans="1:2" x14ac:dyDescent="0.25">
      <c r="A3540" s="1">
        <v>43865</v>
      </c>
      <c r="B3540">
        <v>4.4000000000000004</v>
      </c>
    </row>
    <row r="3541" spans="1:2" x14ac:dyDescent="0.25">
      <c r="A3541" s="1">
        <v>43866</v>
      </c>
      <c r="B3541">
        <v>4.4000000000000004</v>
      </c>
    </row>
    <row r="3542" spans="1:2" x14ac:dyDescent="0.25">
      <c r="A3542" s="1">
        <v>43867</v>
      </c>
      <c r="B3542">
        <v>4.1500000000000004</v>
      </c>
    </row>
    <row r="3543" spans="1:2" x14ac:dyDescent="0.25">
      <c r="A3543" s="1">
        <v>43868</v>
      </c>
      <c r="B3543">
        <v>4.1500000000000004</v>
      </c>
    </row>
    <row r="3544" spans="1:2" x14ac:dyDescent="0.25">
      <c r="A3544" s="1">
        <v>43871</v>
      </c>
      <c r="B3544">
        <v>4.1500000000000004</v>
      </c>
    </row>
    <row r="3545" spans="1:2" x14ac:dyDescent="0.25">
      <c r="A3545" s="1">
        <v>43872</v>
      </c>
      <c r="B3545">
        <v>4.1500000000000004</v>
      </c>
    </row>
    <row r="3546" spans="1:2" x14ac:dyDescent="0.25">
      <c r="A3546" s="1">
        <v>43873</v>
      </c>
      <c r="B3546">
        <v>4.1500000000000004</v>
      </c>
    </row>
    <row r="3547" spans="1:2" x14ac:dyDescent="0.25">
      <c r="A3547" s="1">
        <v>43874</v>
      </c>
      <c r="B3547">
        <v>4.1500000000000004</v>
      </c>
    </row>
    <row r="3548" spans="1:2" x14ac:dyDescent="0.25">
      <c r="A3548" s="1">
        <v>43875</v>
      </c>
      <c r="B3548">
        <v>4.1500000000000004</v>
      </c>
    </row>
    <row r="3549" spans="1:2" x14ac:dyDescent="0.25">
      <c r="A3549" s="1">
        <v>43878</v>
      </c>
      <c r="B3549">
        <v>4.1500000000000004</v>
      </c>
    </row>
    <row r="3550" spans="1:2" x14ac:dyDescent="0.25">
      <c r="A3550" s="1">
        <v>43879</v>
      </c>
      <c r="B3550">
        <v>4.1500000000000004</v>
      </c>
    </row>
    <row r="3551" spans="1:2" x14ac:dyDescent="0.25">
      <c r="A3551" s="1">
        <v>43880</v>
      </c>
      <c r="B3551">
        <v>4.1500000000000004</v>
      </c>
    </row>
    <row r="3552" spans="1:2" x14ac:dyDescent="0.25">
      <c r="A3552" s="1">
        <v>43881</v>
      </c>
      <c r="B3552">
        <v>4.1500000000000004</v>
      </c>
    </row>
    <row r="3553" spans="1:2" x14ac:dyDescent="0.25">
      <c r="A3553" s="1">
        <v>43882</v>
      </c>
      <c r="B3553">
        <v>4.1500000000000004</v>
      </c>
    </row>
    <row r="3554" spans="1:2" x14ac:dyDescent="0.25">
      <c r="A3554" s="1">
        <v>43887</v>
      </c>
      <c r="B3554">
        <v>4.1500000000000004</v>
      </c>
    </row>
    <row r="3555" spans="1:2" x14ac:dyDescent="0.25">
      <c r="A3555" s="1">
        <v>43888</v>
      </c>
      <c r="B3555">
        <v>4.1500000000000004</v>
      </c>
    </row>
    <row r="3556" spans="1:2" x14ac:dyDescent="0.25">
      <c r="A3556" s="1">
        <v>43889</v>
      </c>
      <c r="B3556">
        <v>4.1500000000000004</v>
      </c>
    </row>
    <row r="3557" spans="1:2" x14ac:dyDescent="0.25">
      <c r="A3557" s="1">
        <v>43892</v>
      </c>
      <c r="B3557">
        <v>4.1500000000000004</v>
      </c>
    </row>
    <row r="3558" spans="1:2" x14ac:dyDescent="0.25">
      <c r="A3558" s="1">
        <v>43893</v>
      </c>
      <c r="B3558">
        <v>4.1500000000000004</v>
      </c>
    </row>
    <row r="3559" spans="1:2" x14ac:dyDescent="0.25">
      <c r="A3559" s="1">
        <v>43894</v>
      </c>
      <c r="B3559">
        <v>4.1500000000000004</v>
      </c>
    </row>
    <row r="3560" spans="1:2" x14ac:dyDescent="0.25">
      <c r="A3560" s="1">
        <v>43895</v>
      </c>
      <c r="B3560">
        <v>4.1500000000000004</v>
      </c>
    </row>
    <row r="3561" spans="1:2" x14ac:dyDescent="0.25">
      <c r="A3561" s="1">
        <v>43896</v>
      </c>
      <c r="B3561">
        <v>4.1500000000000004</v>
      </c>
    </row>
    <row r="3562" spans="1:2" x14ac:dyDescent="0.25">
      <c r="A3562" s="1">
        <v>43899</v>
      </c>
      <c r="B3562">
        <v>4.1500000000000004</v>
      </c>
    </row>
    <row r="3563" spans="1:2" x14ac:dyDescent="0.25">
      <c r="A3563" s="1">
        <v>43900</v>
      </c>
      <c r="B3563">
        <v>4.1500000000000004</v>
      </c>
    </row>
    <row r="3564" spans="1:2" x14ac:dyDescent="0.25">
      <c r="A3564" s="1">
        <v>43901</v>
      </c>
      <c r="B3564">
        <v>4.1500000000000004</v>
      </c>
    </row>
    <row r="3565" spans="1:2" x14ac:dyDescent="0.25">
      <c r="A3565" s="1">
        <v>43902</v>
      </c>
      <c r="B3565">
        <v>4.1500000000000004</v>
      </c>
    </row>
    <row r="3566" spans="1:2" x14ac:dyDescent="0.25">
      <c r="A3566" s="1">
        <v>43903</v>
      </c>
      <c r="B3566">
        <v>4.1500000000000004</v>
      </c>
    </row>
    <row r="3567" spans="1:2" x14ac:dyDescent="0.25">
      <c r="A3567" s="1">
        <v>43906</v>
      </c>
      <c r="B3567">
        <v>4.1500000000000004</v>
      </c>
    </row>
    <row r="3568" spans="1:2" x14ac:dyDescent="0.25">
      <c r="A3568" s="1">
        <v>43907</v>
      </c>
      <c r="B3568">
        <v>4.1500000000000004</v>
      </c>
    </row>
    <row r="3569" spans="1:2" x14ac:dyDescent="0.25">
      <c r="A3569" s="1">
        <v>43908</v>
      </c>
      <c r="B3569">
        <v>4.1500000000000004</v>
      </c>
    </row>
    <row r="3570" spans="1:2" x14ac:dyDescent="0.25">
      <c r="A3570" s="1">
        <v>43909</v>
      </c>
      <c r="B3570">
        <v>3.65</v>
      </c>
    </row>
    <row r="3571" spans="1:2" x14ac:dyDescent="0.25">
      <c r="A3571" s="1">
        <v>43910</v>
      </c>
      <c r="B3571">
        <v>3.65</v>
      </c>
    </row>
    <row r="3572" spans="1:2" x14ac:dyDescent="0.25">
      <c r="A3572" s="1">
        <v>43913</v>
      </c>
      <c r="B3572">
        <v>3.65</v>
      </c>
    </row>
    <row r="3573" spans="1:2" x14ac:dyDescent="0.25">
      <c r="A3573" s="1">
        <v>43914</v>
      </c>
      <c r="B3573">
        <v>3.65</v>
      </c>
    </row>
    <row r="3574" spans="1:2" x14ac:dyDescent="0.25">
      <c r="A3574" s="1">
        <v>43915</v>
      </c>
      <c r="B3574">
        <v>3.65</v>
      </c>
    </row>
    <row r="3575" spans="1:2" x14ac:dyDescent="0.25">
      <c r="A3575" s="1">
        <v>43916</v>
      </c>
      <c r="B3575">
        <v>3.65</v>
      </c>
    </row>
    <row r="3576" spans="1:2" x14ac:dyDescent="0.25">
      <c r="A3576" s="1">
        <v>43917</v>
      </c>
      <c r="B3576">
        <v>3.65</v>
      </c>
    </row>
    <row r="3577" spans="1:2" x14ac:dyDescent="0.25">
      <c r="A3577" s="1">
        <v>43920</v>
      </c>
      <c r="B3577">
        <v>3.65</v>
      </c>
    </row>
    <row r="3578" spans="1:2" x14ac:dyDescent="0.25">
      <c r="A3578" s="1">
        <v>43921</v>
      </c>
      <c r="B3578">
        <v>3.65</v>
      </c>
    </row>
    <row r="3579" spans="1:2" x14ac:dyDescent="0.25">
      <c r="A3579" s="1">
        <v>43922</v>
      </c>
      <c r="B3579">
        <v>3.65</v>
      </c>
    </row>
    <row r="3580" spans="1:2" x14ac:dyDescent="0.25">
      <c r="A3580" s="1">
        <v>43923</v>
      </c>
      <c r="B3580">
        <v>3.65</v>
      </c>
    </row>
    <row r="3581" spans="1:2" x14ac:dyDescent="0.25">
      <c r="A3581" s="1">
        <v>43924</v>
      </c>
      <c r="B3581">
        <v>3.65</v>
      </c>
    </row>
    <row r="3582" spans="1:2" x14ac:dyDescent="0.25">
      <c r="A3582" s="1">
        <v>43927</v>
      </c>
      <c r="B3582">
        <v>3.65</v>
      </c>
    </row>
    <row r="3583" spans="1:2" x14ac:dyDescent="0.25">
      <c r="A3583" s="1">
        <v>43928</v>
      </c>
      <c r="B3583">
        <v>3.65</v>
      </c>
    </row>
    <row r="3584" spans="1:2" x14ac:dyDescent="0.25">
      <c r="A3584" s="1">
        <v>43929</v>
      </c>
      <c r="B3584">
        <v>3.65</v>
      </c>
    </row>
    <row r="3585" spans="1:2" x14ac:dyDescent="0.25">
      <c r="A3585" s="1">
        <v>43930</v>
      </c>
      <c r="B3585">
        <v>3.65</v>
      </c>
    </row>
    <row r="3586" spans="1:2" x14ac:dyDescent="0.25">
      <c r="A3586" s="1">
        <v>43934</v>
      </c>
      <c r="B3586">
        <v>3.65</v>
      </c>
    </row>
    <row r="3587" spans="1:2" x14ac:dyDescent="0.25">
      <c r="A3587" s="1">
        <v>43935</v>
      </c>
      <c r="B3587">
        <v>3.65</v>
      </c>
    </row>
    <row r="3588" spans="1:2" x14ac:dyDescent="0.25">
      <c r="A3588" s="1">
        <v>43936</v>
      </c>
      <c r="B3588">
        <v>3.65</v>
      </c>
    </row>
    <row r="3589" spans="1:2" x14ac:dyDescent="0.25">
      <c r="A3589" s="1">
        <v>43937</v>
      </c>
      <c r="B3589">
        <v>3.65</v>
      </c>
    </row>
    <row r="3590" spans="1:2" x14ac:dyDescent="0.25">
      <c r="A3590" s="1">
        <v>43938</v>
      </c>
      <c r="B3590">
        <v>3.65</v>
      </c>
    </row>
    <row r="3591" spans="1:2" x14ac:dyDescent="0.25">
      <c r="A3591" s="1">
        <v>43941</v>
      </c>
      <c r="B3591">
        <v>3.65</v>
      </c>
    </row>
    <row r="3592" spans="1:2" x14ac:dyDescent="0.25">
      <c r="A3592" s="1">
        <v>43943</v>
      </c>
      <c r="B3592">
        <v>3.65</v>
      </c>
    </row>
    <row r="3593" spans="1:2" x14ac:dyDescent="0.25">
      <c r="A3593" s="1">
        <v>43944</v>
      </c>
      <c r="B3593">
        <v>3.65</v>
      </c>
    </row>
    <row r="3594" spans="1:2" x14ac:dyDescent="0.25">
      <c r="A3594" s="1">
        <v>43945</v>
      </c>
      <c r="B3594">
        <v>3.65</v>
      </c>
    </row>
    <row r="3595" spans="1:2" x14ac:dyDescent="0.25">
      <c r="A3595" s="1">
        <v>43948</v>
      </c>
      <c r="B3595">
        <v>3.65</v>
      </c>
    </row>
    <row r="3596" spans="1:2" x14ac:dyDescent="0.25">
      <c r="A3596" s="1">
        <v>43949</v>
      </c>
      <c r="B3596">
        <v>3.65</v>
      </c>
    </row>
    <row r="3597" spans="1:2" x14ac:dyDescent="0.25">
      <c r="A3597" s="1">
        <v>43950</v>
      </c>
      <c r="B3597">
        <v>3.65</v>
      </c>
    </row>
    <row r="3598" spans="1:2" x14ac:dyDescent="0.25">
      <c r="A3598" s="1">
        <v>43951</v>
      </c>
      <c r="B3598">
        <v>3.65</v>
      </c>
    </row>
    <row r="3599" spans="1:2" x14ac:dyDescent="0.25">
      <c r="A3599" s="1">
        <v>43955</v>
      </c>
      <c r="B3599">
        <v>3.65</v>
      </c>
    </row>
    <row r="3600" spans="1:2" x14ac:dyDescent="0.25">
      <c r="A3600" s="1">
        <v>43956</v>
      </c>
      <c r="B3600">
        <v>3.65</v>
      </c>
    </row>
    <row r="3601" spans="1:2" x14ac:dyDescent="0.25">
      <c r="A3601" s="1">
        <v>43957</v>
      </c>
      <c r="B3601">
        <v>3.65</v>
      </c>
    </row>
    <row r="3602" spans="1:2" x14ac:dyDescent="0.25">
      <c r="A3602" s="1">
        <v>43958</v>
      </c>
      <c r="B3602">
        <v>2.9</v>
      </c>
    </row>
    <row r="3603" spans="1:2" x14ac:dyDescent="0.25">
      <c r="A3603" s="1">
        <v>43959</v>
      </c>
      <c r="B3603">
        <v>2.9</v>
      </c>
    </row>
    <row r="3604" spans="1:2" x14ac:dyDescent="0.25">
      <c r="A3604" s="1">
        <v>43962</v>
      </c>
      <c r="B3604">
        <v>2.9</v>
      </c>
    </row>
    <row r="3605" spans="1:2" x14ac:dyDescent="0.25">
      <c r="A3605" s="1">
        <v>43963</v>
      </c>
      <c r="B3605">
        <v>2.9</v>
      </c>
    </row>
    <row r="3606" spans="1:2" x14ac:dyDescent="0.25">
      <c r="A3606" s="1">
        <v>43964</v>
      </c>
      <c r="B3606">
        <v>2.9</v>
      </c>
    </row>
    <row r="3607" spans="1:2" x14ac:dyDescent="0.25">
      <c r="A3607" s="1">
        <v>43965</v>
      </c>
      <c r="B3607">
        <v>2.9</v>
      </c>
    </row>
    <row r="3608" spans="1:2" x14ac:dyDescent="0.25">
      <c r="A3608" s="1">
        <v>43966</v>
      </c>
      <c r="B3608">
        <v>2.9</v>
      </c>
    </row>
    <row r="3609" spans="1:2" x14ac:dyDescent="0.25">
      <c r="A3609" s="1">
        <v>43969</v>
      </c>
      <c r="B3609">
        <v>2.9</v>
      </c>
    </row>
    <row r="3610" spans="1:2" x14ac:dyDescent="0.25">
      <c r="A3610" s="1">
        <v>43970</v>
      </c>
      <c r="B3610">
        <v>2.9</v>
      </c>
    </row>
    <row r="3611" spans="1:2" x14ac:dyDescent="0.25">
      <c r="A3611" s="1">
        <v>43971</v>
      </c>
      <c r="B3611">
        <v>2.9</v>
      </c>
    </row>
    <row r="3612" spans="1:2" x14ac:dyDescent="0.25">
      <c r="A3612" s="1">
        <v>43972</v>
      </c>
      <c r="B3612">
        <v>2.9</v>
      </c>
    </row>
    <row r="3613" spans="1:2" x14ac:dyDescent="0.25">
      <c r="A3613" s="1">
        <v>43973</v>
      </c>
      <c r="B3613">
        <v>2.9</v>
      </c>
    </row>
    <row r="3614" spans="1:2" x14ac:dyDescent="0.25">
      <c r="A3614" s="1">
        <v>43976</v>
      </c>
      <c r="B3614">
        <v>2.9</v>
      </c>
    </row>
    <row r="3615" spans="1:2" x14ac:dyDescent="0.25">
      <c r="A3615" s="1">
        <v>43977</v>
      </c>
      <c r="B3615">
        <v>2.9</v>
      </c>
    </row>
    <row r="3616" spans="1:2" x14ac:dyDescent="0.25">
      <c r="A3616" s="1">
        <v>43978</v>
      </c>
      <c r="B3616">
        <v>2.9</v>
      </c>
    </row>
    <row r="3617" spans="1:2" x14ac:dyDescent="0.25">
      <c r="A3617" s="1">
        <v>43979</v>
      </c>
      <c r="B3617">
        <v>2.9</v>
      </c>
    </row>
    <row r="3618" spans="1:2" x14ac:dyDescent="0.25">
      <c r="A3618" s="1">
        <v>43980</v>
      </c>
      <c r="B3618">
        <v>2.9</v>
      </c>
    </row>
    <row r="3619" spans="1:2" x14ac:dyDescent="0.25">
      <c r="A3619" s="1">
        <v>43983</v>
      </c>
      <c r="B3619">
        <v>2.9</v>
      </c>
    </row>
    <row r="3620" spans="1:2" x14ac:dyDescent="0.25">
      <c r="A3620" s="1">
        <v>43984</v>
      </c>
      <c r="B3620">
        <v>2.9</v>
      </c>
    </row>
    <row r="3621" spans="1:2" x14ac:dyDescent="0.25">
      <c r="A3621" s="1">
        <v>43985</v>
      </c>
      <c r="B3621">
        <v>2.9</v>
      </c>
    </row>
    <row r="3622" spans="1:2" x14ac:dyDescent="0.25">
      <c r="A3622" s="1">
        <v>43986</v>
      </c>
      <c r="B3622">
        <v>2.9</v>
      </c>
    </row>
    <row r="3623" spans="1:2" x14ac:dyDescent="0.25">
      <c r="A3623" s="1">
        <v>43987</v>
      </c>
      <c r="B3623">
        <v>2.9</v>
      </c>
    </row>
    <row r="3624" spans="1:2" x14ac:dyDescent="0.25">
      <c r="A3624" s="1">
        <v>43990</v>
      </c>
      <c r="B3624">
        <v>2.9</v>
      </c>
    </row>
    <row r="3625" spans="1:2" x14ac:dyDescent="0.25">
      <c r="A3625" s="1">
        <v>43991</v>
      </c>
      <c r="B3625">
        <v>2.9</v>
      </c>
    </row>
    <row r="3626" spans="1:2" x14ac:dyDescent="0.25">
      <c r="A3626" s="1">
        <v>43992</v>
      </c>
      <c r="B3626">
        <v>2.9</v>
      </c>
    </row>
    <row r="3627" spans="1:2" x14ac:dyDescent="0.25">
      <c r="A3627" s="1">
        <v>43994</v>
      </c>
      <c r="B3627">
        <v>2.9</v>
      </c>
    </row>
    <row r="3628" spans="1:2" x14ac:dyDescent="0.25">
      <c r="A3628" s="1">
        <v>43997</v>
      </c>
      <c r="B3628">
        <v>2.9</v>
      </c>
    </row>
    <row r="3629" spans="1:2" x14ac:dyDescent="0.25">
      <c r="A3629" s="1">
        <v>43998</v>
      </c>
      <c r="B3629">
        <v>2.9</v>
      </c>
    </row>
    <row r="3630" spans="1:2" x14ac:dyDescent="0.25">
      <c r="A3630" s="1">
        <v>43999</v>
      </c>
      <c r="B3630">
        <v>2.9</v>
      </c>
    </row>
    <row r="3631" spans="1:2" x14ac:dyDescent="0.25">
      <c r="A3631" s="1">
        <v>44000</v>
      </c>
      <c r="B3631">
        <v>2.15</v>
      </c>
    </row>
    <row r="3632" spans="1:2" x14ac:dyDescent="0.25">
      <c r="A3632" s="1">
        <v>44001</v>
      </c>
      <c r="B3632">
        <v>2.15</v>
      </c>
    </row>
    <row r="3633" spans="1:2" x14ac:dyDescent="0.25">
      <c r="A3633" s="1">
        <v>44004</v>
      </c>
      <c r="B3633">
        <v>2.15</v>
      </c>
    </row>
    <row r="3634" spans="1:2" x14ac:dyDescent="0.25">
      <c r="A3634" s="1">
        <v>44005</v>
      </c>
      <c r="B3634">
        <v>2.15</v>
      </c>
    </row>
    <row r="3635" spans="1:2" x14ac:dyDescent="0.25">
      <c r="A3635" s="1">
        <v>44006</v>
      </c>
      <c r="B3635">
        <v>2.15</v>
      </c>
    </row>
    <row r="3636" spans="1:2" x14ac:dyDescent="0.25">
      <c r="A3636" s="1">
        <v>44007</v>
      </c>
      <c r="B3636">
        <v>2.15</v>
      </c>
    </row>
    <row r="3637" spans="1:2" x14ac:dyDescent="0.25">
      <c r="A3637" s="1">
        <v>44008</v>
      </c>
      <c r="B3637">
        <v>2.15</v>
      </c>
    </row>
    <row r="3638" spans="1:2" x14ac:dyDescent="0.25">
      <c r="A3638" s="1">
        <v>44011</v>
      </c>
      <c r="B3638">
        <v>2.15</v>
      </c>
    </row>
    <row r="3639" spans="1:2" x14ac:dyDescent="0.25">
      <c r="A3639" s="1">
        <v>44012</v>
      </c>
      <c r="B3639">
        <v>2.15</v>
      </c>
    </row>
    <row r="3640" spans="1:2" x14ac:dyDescent="0.25">
      <c r="A3640" s="1">
        <v>44013</v>
      </c>
      <c r="B3640">
        <v>2.15</v>
      </c>
    </row>
    <row r="3641" spans="1:2" x14ac:dyDescent="0.25">
      <c r="A3641" s="1">
        <v>44014</v>
      </c>
      <c r="B3641">
        <v>2.15</v>
      </c>
    </row>
    <row r="3642" spans="1:2" x14ac:dyDescent="0.25">
      <c r="A3642" s="1">
        <v>44015</v>
      </c>
      <c r="B3642">
        <v>2.15</v>
      </c>
    </row>
    <row r="3643" spans="1:2" x14ac:dyDescent="0.25">
      <c r="A3643" s="1">
        <v>44018</v>
      </c>
      <c r="B3643">
        <v>2.15</v>
      </c>
    </row>
    <row r="3644" spans="1:2" x14ac:dyDescent="0.25">
      <c r="A3644" s="1">
        <v>44019</v>
      </c>
      <c r="B3644">
        <v>2.15</v>
      </c>
    </row>
    <row r="3645" spans="1:2" x14ac:dyDescent="0.25">
      <c r="A3645" s="1">
        <v>44020</v>
      </c>
      <c r="B3645">
        <v>2.15</v>
      </c>
    </row>
    <row r="3646" spans="1:2" x14ac:dyDescent="0.25">
      <c r="A3646" s="1">
        <v>44021</v>
      </c>
      <c r="B3646">
        <v>2.15</v>
      </c>
    </row>
    <row r="3647" spans="1:2" x14ac:dyDescent="0.25">
      <c r="A3647" s="1">
        <v>44022</v>
      </c>
      <c r="B3647">
        <v>2.15</v>
      </c>
    </row>
    <row r="3648" spans="1:2" x14ac:dyDescent="0.25">
      <c r="A3648" s="1">
        <v>44025</v>
      </c>
      <c r="B3648">
        <v>2.15</v>
      </c>
    </row>
    <row r="3649" spans="1:2" x14ac:dyDescent="0.25">
      <c r="A3649" s="1">
        <v>44026</v>
      </c>
      <c r="B3649">
        <v>2.15</v>
      </c>
    </row>
    <row r="3650" spans="1:2" x14ac:dyDescent="0.25">
      <c r="A3650" s="1">
        <v>44027</v>
      </c>
      <c r="B3650">
        <v>2.15</v>
      </c>
    </row>
    <row r="3651" spans="1:2" x14ac:dyDescent="0.25">
      <c r="A3651" s="1">
        <v>44028</v>
      </c>
      <c r="B3651">
        <v>2.15</v>
      </c>
    </row>
    <row r="3652" spans="1:2" x14ac:dyDescent="0.25">
      <c r="A3652" s="1">
        <v>44029</v>
      </c>
      <c r="B3652">
        <v>2.15</v>
      </c>
    </row>
    <row r="3653" spans="1:2" x14ac:dyDescent="0.25">
      <c r="A3653" s="1">
        <v>44032</v>
      </c>
      <c r="B3653">
        <v>2.15</v>
      </c>
    </row>
    <row r="3654" spans="1:2" x14ac:dyDescent="0.25">
      <c r="A3654" s="1">
        <v>44033</v>
      </c>
      <c r="B3654">
        <v>2.15</v>
      </c>
    </row>
    <row r="3655" spans="1:2" x14ac:dyDescent="0.25">
      <c r="A3655" s="1">
        <v>44034</v>
      </c>
      <c r="B3655">
        <v>2.15</v>
      </c>
    </row>
    <row r="3656" spans="1:2" x14ac:dyDescent="0.25">
      <c r="A3656" s="1">
        <v>44035</v>
      </c>
      <c r="B3656">
        <v>2.15</v>
      </c>
    </row>
    <row r="3657" spans="1:2" x14ac:dyDescent="0.25">
      <c r="A3657" s="1">
        <v>44036</v>
      </c>
      <c r="B3657">
        <v>2.15</v>
      </c>
    </row>
    <row r="3658" spans="1:2" x14ac:dyDescent="0.25">
      <c r="A3658" s="1">
        <v>44039</v>
      </c>
      <c r="B3658">
        <v>2.15</v>
      </c>
    </row>
    <row r="3659" spans="1:2" x14ac:dyDescent="0.25">
      <c r="A3659" s="1">
        <v>44040</v>
      </c>
      <c r="B3659">
        <v>2.15</v>
      </c>
    </row>
    <row r="3660" spans="1:2" x14ac:dyDescent="0.25">
      <c r="A3660" s="1">
        <v>44041</v>
      </c>
      <c r="B3660">
        <v>2.15</v>
      </c>
    </row>
    <row r="3661" spans="1:2" x14ac:dyDescent="0.25">
      <c r="A3661" s="1">
        <v>44042</v>
      </c>
      <c r="B3661">
        <v>2.15</v>
      </c>
    </row>
    <row r="3662" spans="1:2" x14ac:dyDescent="0.25">
      <c r="A3662" s="1">
        <v>44043</v>
      </c>
      <c r="B3662">
        <v>2.15</v>
      </c>
    </row>
    <row r="3663" spans="1:2" x14ac:dyDescent="0.25">
      <c r="A3663" s="1">
        <v>44046</v>
      </c>
      <c r="B3663">
        <v>2.15</v>
      </c>
    </row>
    <row r="3664" spans="1:2" x14ac:dyDescent="0.25">
      <c r="A3664" s="1">
        <v>44047</v>
      </c>
      <c r="B3664">
        <v>2.15</v>
      </c>
    </row>
    <row r="3665" spans="1:2" x14ac:dyDescent="0.25">
      <c r="A3665" s="1">
        <v>44048</v>
      </c>
      <c r="B3665">
        <v>2.15</v>
      </c>
    </row>
    <row r="3666" spans="1:2" x14ac:dyDescent="0.25">
      <c r="A3666" s="1">
        <v>44049</v>
      </c>
      <c r="B3666">
        <v>1.9</v>
      </c>
    </row>
    <row r="3667" spans="1:2" x14ac:dyDescent="0.25">
      <c r="A3667" s="1">
        <v>44050</v>
      </c>
      <c r="B3667">
        <v>1.9</v>
      </c>
    </row>
    <row r="3668" spans="1:2" x14ac:dyDescent="0.25">
      <c r="A3668" s="1">
        <v>44053</v>
      </c>
      <c r="B3668">
        <v>1.9</v>
      </c>
    </row>
    <row r="3669" spans="1:2" x14ac:dyDescent="0.25">
      <c r="A3669" s="1">
        <v>44054</v>
      </c>
      <c r="B3669">
        <v>1.9</v>
      </c>
    </row>
    <row r="3670" spans="1:2" x14ac:dyDescent="0.25">
      <c r="A3670" s="1">
        <v>44055</v>
      </c>
      <c r="B3670">
        <v>1.9</v>
      </c>
    </row>
    <row r="3671" spans="1:2" x14ac:dyDescent="0.25">
      <c r="A3671" s="1">
        <v>44056</v>
      </c>
      <c r="B3671">
        <v>1.9</v>
      </c>
    </row>
    <row r="3672" spans="1:2" x14ac:dyDescent="0.25">
      <c r="A3672" s="1">
        <v>44057</v>
      </c>
      <c r="B3672">
        <v>1.9</v>
      </c>
    </row>
    <row r="3673" spans="1:2" x14ac:dyDescent="0.25">
      <c r="A3673" s="1">
        <v>44060</v>
      </c>
      <c r="B3673">
        <v>1.9</v>
      </c>
    </row>
    <row r="3674" spans="1:2" x14ac:dyDescent="0.25">
      <c r="A3674" s="1">
        <v>44061</v>
      </c>
      <c r="B3674">
        <v>1.9</v>
      </c>
    </row>
    <row r="3675" spans="1:2" x14ac:dyDescent="0.25">
      <c r="A3675" s="1">
        <v>44062</v>
      </c>
      <c r="B3675">
        <v>1.9</v>
      </c>
    </row>
    <row r="3676" spans="1:2" x14ac:dyDescent="0.25">
      <c r="A3676" s="1">
        <v>44063</v>
      </c>
      <c r="B3676">
        <v>1.9</v>
      </c>
    </row>
    <row r="3677" spans="1:2" x14ac:dyDescent="0.25">
      <c r="A3677" s="1">
        <v>44064</v>
      </c>
      <c r="B3677">
        <v>1.9</v>
      </c>
    </row>
    <row r="3678" spans="1:2" x14ac:dyDescent="0.25">
      <c r="A3678" s="1">
        <v>44067</v>
      </c>
      <c r="B3678">
        <v>1.9</v>
      </c>
    </row>
    <row r="3679" spans="1:2" x14ac:dyDescent="0.25">
      <c r="A3679" s="1">
        <v>44068</v>
      </c>
      <c r="B3679">
        <v>1.9</v>
      </c>
    </row>
    <row r="3680" spans="1:2" x14ac:dyDescent="0.25">
      <c r="A3680" s="1">
        <v>44069</v>
      </c>
      <c r="B3680">
        <v>1.9</v>
      </c>
    </row>
    <row r="3681" spans="1:2" x14ac:dyDescent="0.25">
      <c r="A3681" s="1">
        <v>44070</v>
      </c>
      <c r="B3681">
        <v>1.9</v>
      </c>
    </row>
    <row r="3682" spans="1:2" x14ac:dyDescent="0.25">
      <c r="A3682" s="1">
        <v>44071</v>
      </c>
      <c r="B3682">
        <v>1.9</v>
      </c>
    </row>
    <row r="3683" spans="1:2" x14ac:dyDescent="0.25">
      <c r="A3683" s="1">
        <v>44074</v>
      </c>
      <c r="B3683">
        <v>1.9</v>
      </c>
    </row>
    <row r="3684" spans="1:2" x14ac:dyDescent="0.25">
      <c r="A3684" s="1">
        <v>44075</v>
      </c>
      <c r="B3684">
        <v>1.9</v>
      </c>
    </row>
    <row r="3685" spans="1:2" x14ac:dyDescent="0.25">
      <c r="A3685" s="1">
        <v>44076</v>
      </c>
      <c r="B3685">
        <v>1.9</v>
      </c>
    </row>
    <row r="3686" spans="1:2" x14ac:dyDescent="0.25">
      <c r="A3686" s="1">
        <v>44077</v>
      </c>
      <c r="B3686">
        <v>1.9</v>
      </c>
    </row>
    <row r="3687" spans="1:2" x14ac:dyDescent="0.25">
      <c r="A3687" s="1">
        <v>44078</v>
      </c>
      <c r="B3687">
        <v>1.9</v>
      </c>
    </row>
    <row r="3688" spans="1:2" x14ac:dyDescent="0.25">
      <c r="A3688" s="1">
        <v>44082</v>
      </c>
      <c r="B3688">
        <v>1.9</v>
      </c>
    </row>
    <row r="3689" spans="1:2" x14ac:dyDescent="0.25">
      <c r="A3689" s="1">
        <v>44083</v>
      </c>
      <c r="B3689">
        <v>1.9</v>
      </c>
    </row>
    <row r="3690" spans="1:2" x14ac:dyDescent="0.25">
      <c r="A3690" s="1">
        <v>44084</v>
      </c>
      <c r="B3690">
        <v>1.9</v>
      </c>
    </row>
    <row r="3691" spans="1:2" x14ac:dyDescent="0.25">
      <c r="A3691" s="1">
        <v>44085</v>
      </c>
      <c r="B3691">
        <v>1.9</v>
      </c>
    </row>
    <row r="3692" spans="1:2" x14ac:dyDescent="0.25">
      <c r="A3692" s="1">
        <v>44088</v>
      </c>
      <c r="B3692">
        <v>1.9</v>
      </c>
    </row>
    <row r="3693" spans="1:2" x14ac:dyDescent="0.25">
      <c r="A3693" s="1">
        <v>44089</v>
      </c>
      <c r="B3693">
        <v>1.9</v>
      </c>
    </row>
    <row r="3694" spans="1:2" x14ac:dyDescent="0.25">
      <c r="A3694" s="1">
        <v>44090</v>
      </c>
      <c r="B3694">
        <v>1.9</v>
      </c>
    </row>
    <row r="3695" spans="1:2" x14ac:dyDescent="0.25">
      <c r="A3695" s="1">
        <v>44091</v>
      </c>
      <c r="B3695">
        <v>1.9</v>
      </c>
    </row>
    <row r="3696" spans="1:2" x14ac:dyDescent="0.25">
      <c r="A3696" s="1">
        <v>44092</v>
      </c>
      <c r="B3696">
        <v>1.9</v>
      </c>
    </row>
    <row r="3697" spans="1:2" x14ac:dyDescent="0.25">
      <c r="A3697" s="1">
        <v>44095</v>
      </c>
      <c r="B3697">
        <v>1.9</v>
      </c>
    </row>
    <row r="3698" spans="1:2" x14ac:dyDescent="0.25">
      <c r="A3698" s="1">
        <v>44096</v>
      </c>
      <c r="B3698">
        <v>1.9</v>
      </c>
    </row>
    <row r="3699" spans="1:2" x14ac:dyDescent="0.25">
      <c r="A3699" s="1">
        <v>44097</v>
      </c>
      <c r="B3699">
        <v>1.9</v>
      </c>
    </row>
    <row r="3700" spans="1:2" x14ac:dyDescent="0.25">
      <c r="A3700" s="1">
        <v>44098</v>
      </c>
      <c r="B3700">
        <v>1.9</v>
      </c>
    </row>
    <row r="3701" spans="1:2" x14ac:dyDescent="0.25">
      <c r="A3701" s="1">
        <v>44099</v>
      </c>
      <c r="B3701">
        <v>1.9</v>
      </c>
    </row>
    <row r="3702" spans="1:2" x14ac:dyDescent="0.25">
      <c r="A3702" s="1">
        <v>44102</v>
      </c>
      <c r="B3702">
        <v>1.9</v>
      </c>
    </row>
    <row r="3703" spans="1:2" x14ac:dyDescent="0.25">
      <c r="A3703" s="1">
        <v>44103</v>
      </c>
      <c r="B3703">
        <v>1.9</v>
      </c>
    </row>
    <row r="3704" spans="1:2" x14ac:dyDescent="0.25">
      <c r="A3704" s="1">
        <v>44104</v>
      </c>
      <c r="B3704">
        <v>1.9</v>
      </c>
    </row>
    <row r="3705" spans="1:2" x14ac:dyDescent="0.25">
      <c r="A3705" s="1">
        <v>44105</v>
      </c>
      <c r="B3705">
        <v>1.9</v>
      </c>
    </row>
    <row r="3706" spans="1:2" x14ac:dyDescent="0.25">
      <c r="A3706" s="1">
        <v>44106</v>
      </c>
      <c r="B3706">
        <v>1.9</v>
      </c>
    </row>
    <row r="3707" spans="1:2" x14ac:dyDescent="0.25">
      <c r="A3707" s="1">
        <v>44109</v>
      </c>
      <c r="B3707">
        <v>1.9</v>
      </c>
    </row>
    <row r="3708" spans="1:2" x14ac:dyDescent="0.25">
      <c r="A3708" s="1">
        <v>44110</v>
      </c>
      <c r="B3708">
        <v>1.9</v>
      </c>
    </row>
    <row r="3709" spans="1:2" x14ac:dyDescent="0.25">
      <c r="A3709" s="1">
        <v>44111</v>
      </c>
      <c r="B3709">
        <v>1.9</v>
      </c>
    </row>
    <row r="3710" spans="1:2" x14ac:dyDescent="0.25">
      <c r="A3710" s="1">
        <v>44112</v>
      </c>
      <c r="B3710">
        <v>1.9</v>
      </c>
    </row>
    <row r="3711" spans="1:2" x14ac:dyDescent="0.25">
      <c r="A3711" s="1">
        <v>44113</v>
      </c>
      <c r="B3711">
        <v>1.9</v>
      </c>
    </row>
    <row r="3712" spans="1:2" x14ac:dyDescent="0.25">
      <c r="A3712" s="1">
        <v>44117</v>
      </c>
      <c r="B3712">
        <v>1.9</v>
      </c>
    </row>
    <row r="3713" spans="1:2" x14ac:dyDescent="0.25">
      <c r="A3713" s="1">
        <v>44118</v>
      </c>
      <c r="B3713">
        <v>1.9</v>
      </c>
    </row>
    <row r="3714" spans="1:2" x14ac:dyDescent="0.25">
      <c r="A3714" s="1">
        <v>44119</v>
      </c>
      <c r="B3714">
        <v>1.9</v>
      </c>
    </row>
    <row r="3715" spans="1:2" x14ac:dyDescent="0.25">
      <c r="A3715" s="1">
        <v>44120</v>
      </c>
      <c r="B3715">
        <v>1.9</v>
      </c>
    </row>
    <row r="3716" spans="1:2" x14ac:dyDescent="0.25">
      <c r="A3716" s="1">
        <v>44123</v>
      </c>
      <c r="B3716">
        <v>1.9</v>
      </c>
    </row>
    <row r="3717" spans="1:2" x14ac:dyDescent="0.25">
      <c r="A3717" s="1">
        <v>44124</v>
      </c>
      <c r="B3717">
        <v>1.9</v>
      </c>
    </row>
    <row r="3718" spans="1:2" x14ac:dyDescent="0.25">
      <c r="A3718" s="1">
        <v>44125</v>
      </c>
      <c r="B3718">
        <v>1.9</v>
      </c>
    </row>
    <row r="3719" spans="1:2" x14ac:dyDescent="0.25">
      <c r="A3719" s="1">
        <v>44126</v>
      </c>
      <c r="B3719">
        <v>1.9</v>
      </c>
    </row>
    <row r="3720" spans="1:2" x14ac:dyDescent="0.25">
      <c r="A3720" s="1">
        <v>44127</v>
      </c>
      <c r="B3720">
        <v>1.9</v>
      </c>
    </row>
    <row r="3721" spans="1:2" x14ac:dyDescent="0.25">
      <c r="A3721" s="1">
        <v>44130</v>
      </c>
      <c r="B3721">
        <v>1.9</v>
      </c>
    </row>
    <row r="3722" spans="1:2" x14ac:dyDescent="0.25">
      <c r="A3722" s="1">
        <v>44131</v>
      </c>
      <c r="B3722">
        <v>1.9</v>
      </c>
    </row>
    <row r="3723" spans="1:2" x14ac:dyDescent="0.25">
      <c r="A3723" s="1">
        <v>44132</v>
      </c>
      <c r="B3723">
        <v>1.9</v>
      </c>
    </row>
    <row r="3724" spans="1:2" x14ac:dyDescent="0.25">
      <c r="A3724" s="1">
        <v>44133</v>
      </c>
      <c r="B3724">
        <v>1.9</v>
      </c>
    </row>
    <row r="3725" spans="1:2" x14ac:dyDescent="0.25">
      <c r="A3725" s="1">
        <v>44134</v>
      </c>
      <c r="B3725">
        <v>1.9</v>
      </c>
    </row>
    <row r="3726" spans="1:2" x14ac:dyDescent="0.25">
      <c r="A3726" s="1">
        <v>44138</v>
      </c>
      <c r="B3726">
        <v>1.9</v>
      </c>
    </row>
    <row r="3727" spans="1:2" x14ac:dyDescent="0.25">
      <c r="A3727" s="1">
        <v>44139</v>
      </c>
      <c r="B3727">
        <v>1.9</v>
      </c>
    </row>
    <row r="3728" spans="1:2" x14ac:dyDescent="0.25">
      <c r="A3728" s="1">
        <v>44140</v>
      </c>
      <c r="B3728">
        <v>1.9</v>
      </c>
    </row>
    <row r="3729" spans="1:2" x14ac:dyDescent="0.25">
      <c r="A3729" s="1">
        <v>44141</v>
      </c>
      <c r="B3729">
        <v>1.9</v>
      </c>
    </row>
    <row r="3730" spans="1:2" x14ac:dyDescent="0.25">
      <c r="A3730" s="1">
        <v>44144</v>
      </c>
      <c r="B3730">
        <v>1.9</v>
      </c>
    </row>
    <row r="3731" spans="1:2" x14ac:dyDescent="0.25">
      <c r="A3731" s="1">
        <v>44145</v>
      </c>
      <c r="B3731">
        <v>1.9</v>
      </c>
    </row>
    <row r="3732" spans="1:2" x14ac:dyDescent="0.25">
      <c r="A3732" s="1">
        <v>44146</v>
      </c>
      <c r="B3732">
        <v>1.9</v>
      </c>
    </row>
    <row r="3733" spans="1:2" x14ac:dyDescent="0.25">
      <c r="A3733" s="1">
        <v>44147</v>
      </c>
      <c r="B3733">
        <v>1.9</v>
      </c>
    </row>
    <row r="3734" spans="1:2" x14ac:dyDescent="0.25">
      <c r="A3734" s="1">
        <v>44148</v>
      </c>
      <c r="B3734">
        <v>1.9</v>
      </c>
    </row>
    <row r="3735" spans="1:2" x14ac:dyDescent="0.25">
      <c r="A3735" s="1">
        <v>44151</v>
      </c>
      <c r="B3735">
        <v>1.9</v>
      </c>
    </row>
    <row r="3736" spans="1:2" x14ac:dyDescent="0.25">
      <c r="A3736" s="1">
        <v>44152</v>
      </c>
      <c r="B3736">
        <v>1.9</v>
      </c>
    </row>
    <row r="3737" spans="1:2" x14ac:dyDescent="0.25">
      <c r="A3737" s="1">
        <v>44153</v>
      </c>
      <c r="B3737">
        <v>1.9</v>
      </c>
    </row>
    <row r="3738" spans="1:2" x14ac:dyDescent="0.25">
      <c r="A3738" s="1">
        <v>44154</v>
      </c>
      <c r="B3738">
        <v>1.9</v>
      </c>
    </row>
    <row r="3739" spans="1:2" x14ac:dyDescent="0.25">
      <c r="A3739" s="1">
        <v>44155</v>
      </c>
      <c r="B3739">
        <v>1.9</v>
      </c>
    </row>
    <row r="3740" spans="1:2" x14ac:dyDescent="0.25">
      <c r="A3740" s="1">
        <v>44158</v>
      </c>
      <c r="B3740">
        <v>1.9</v>
      </c>
    </row>
    <row r="3741" spans="1:2" x14ac:dyDescent="0.25">
      <c r="A3741" s="1">
        <v>44159</v>
      </c>
      <c r="B3741">
        <v>1.9</v>
      </c>
    </row>
    <row r="3742" spans="1:2" x14ac:dyDescent="0.25">
      <c r="A3742" s="1">
        <v>44160</v>
      </c>
      <c r="B3742">
        <v>1.9</v>
      </c>
    </row>
    <row r="3743" spans="1:2" x14ac:dyDescent="0.25">
      <c r="A3743" s="1">
        <v>44161</v>
      </c>
      <c r="B3743">
        <v>1.9</v>
      </c>
    </row>
    <row r="3744" spans="1:2" x14ac:dyDescent="0.25">
      <c r="A3744" s="1">
        <v>44162</v>
      </c>
      <c r="B3744">
        <v>1.9</v>
      </c>
    </row>
    <row r="3745" spans="1:2" x14ac:dyDescent="0.25">
      <c r="A3745" s="1">
        <v>44165</v>
      </c>
      <c r="B3745">
        <v>1.9</v>
      </c>
    </row>
    <row r="3746" spans="1:2" x14ac:dyDescent="0.25">
      <c r="A3746" s="1">
        <v>44166</v>
      </c>
      <c r="B3746">
        <v>1.9</v>
      </c>
    </row>
    <row r="3747" spans="1:2" x14ac:dyDescent="0.25">
      <c r="A3747" s="1">
        <v>44167</v>
      </c>
      <c r="B3747">
        <v>1.9</v>
      </c>
    </row>
    <row r="3748" spans="1:2" x14ac:dyDescent="0.25">
      <c r="A3748" s="1">
        <v>44168</v>
      </c>
      <c r="B3748">
        <v>1.9</v>
      </c>
    </row>
    <row r="3749" spans="1:2" x14ac:dyDescent="0.25">
      <c r="A3749" s="1">
        <v>44169</v>
      </c>
      <c r="B3749">
        <v>1.9</v>
      </c>
    </row>
    <row r="3750" spans="1:2" x14ac:dyDescent="0.25">
      <c r="A3750" s="1">
        <v>44172</v>
      </c>
      <c r="B3750">
        <v>1.9</v>
      </c>
    </row>
    <row r="3751" spans="1:2" x14ac:dyDescent="0.25">
      <c r="A3751" s="1">
        <v>44173</v>
      </c>
      <c r="B3751">
        <v>1.9</v>
      </c>
    </row>
    <row r="3752" spans="1:2" x14ac:dyDescent="0.25">
      <c r="A3752" s="1">
        <v>44174</v>
      </c>
      <c r="B3752">
        <v>1.9</v>
      </c>
    </row>
    <row r="3753" spans="1:2" x14ac:dyDescent="0.25">
      <c r="A3753" s="1">
        <v>44175</v>
      </c>
      <c r="B3753">
        <v>1.9</v>
      </c>
    </row>
    <row r="3754" spans="1:2" x14ac:dyDescent="0.25">
      <c r="A3754" s="1">
        <v>44176</v>
      </c>
      <c r="B3754">
        <v>1.9</v>
      </c>
    </row>
    <row r="3755" spans="1:2" x14ac:dyDescent="0.25">
      <c r="A3755" s="1">
        <v>44179</v>
      </c>
      <c r="B3755">
        <v>1.9</v>
      </c>
    </row>
    <row r="3756" spans="1:2" x14ac:dyDescent="0.25">
      <c r="A3756" s="1">
        <v>44180</v>
      </c>
      <c r="B3756">
        <v>1.9</v>
      </c>
    </row>
    <row r="3757" spans="1:2" x14ac:dyDescent="0.25">
      <c r="A3757" s="1">
        <v>44181</v>
      </c>
      <c r="B3757">
        <v>1.9</v>
      </c>
    </row>
    <row r="3758" spans="1:2" x14ac:dyDescent="0.25">
      <c r="A3758" s="1">
        <v>44182</v>
      </c>
      <c r="B3758">
        <v>1.9</v>
      </c>
    </row>
    <row r="3759" spans="1:2" x14ac:dyDescent="0.25">
      <c r="A3759" s="1">
        <v>44183</v>
      </c>
      <c r="B3759">
        <v>1.9</v>
      </c>
    </row>
    <row r="3760" spans="1:2" x14ac:dyDescent="0.25">
      <c r="A3760" s="1">
        <v>44186</v>
      </c>
      <c r="B3760">
        <v>1.9</v>
      </c>
    </row>
    <row r="3761" spans="1:2" x14ac:dyDescent="0.25">
      <c r="A3761" s="1">
        <v>44187</v>
      </c>
      <c r="B3761">
        <v>1.9</v>
      </c>
    </row>
    <row r="3762" spans="1:2" x14ac:dyDescent="0.25">
      <c r="A3762" s="1">
        <v>44188</v>
      </c>
      <c r="B3762">
        <v>1.9</v>
      </c>
    </row>
    <row r="3763" spans="1:2" x14ac:dyDescent="0.25">
      <c r="A3763" s="1">
        <v>44189</v>
      </c>
      <c r="B3763">
        <v>1.9</v>
      </c>
    </row>
    <row r="3764" spans="1:2" x14ac:dyDescent="0.25">
      <c r="A3764" s="1">
        <v>44193</v>
      </c>
      <c r="B3764">
        <v>1.9</v>
      </c>
    </row>
    <row r="3765" spans="1:2" x14ac:dyDescent="0.25">
      <c r="A3765" s="1">
        <v>44194</v>
      </c>
      <c r="B3765">
        <v>1.9</v>
      </c>
    </row>
    <row r="3766" spans="1:2" x14ac:dyDescent="0.25">
      <c r="A3766" s="1">
        <v>44195</v>
      </c>
      <c r="B3766">
        <v>1.9</v>
      </c>
    </row>
    <row r="3767" spans="1:2" x14ac:dyDescent="0.25">
      <c r="A3767" s="1">
        <v>44196</v>
      </c>
      <c r="B3767">
        <v>1.9</v>
      </c>
    </row>
    <row r="3768" spans="1:2" x14ac:dyDescent="0.25">
      <c r="A3768" s="1">
        <v>44200</v>
      </c>
      <c r="B3768">
        <v>1.9</v>
      </c>
    </row>
    <row r="3769" spans="1:2" x14ac:dyDescent="0.25">
      <c r="A3769" s="1">
        <v>44201</v>
      </c>
      <c r="B3769">
        <v>1.9</v>
      </c>
    </row>
    <row r="3770" spans="1:2" x14ac:dyDescent="0.25">
      <c r="A3770" s="1">
        <v>44202</v>
      </c>
      <c r="B3770">
        <v>1.9</v>
      </c>
    </row>
    <row r="3771" spans="1:2" x14ac:dyDescent="0.25">
      <c r="A3771" s="1">
        <v>44203</v>
      </c>
      <c r="B3771">
        <v>1.9</v>
      </c>
    </row>
    <row r="3772" spans="1:2" x14ac:dyDescent="0.25">
      <c r="A3772" s="1">
        <v>44204</v>
      </c>
      <c r="B3772">
        <v>1.9</v>
      </c>
    </row>
    <row r="3773" spans="1:2" x14ac:dyDescent="0.25">
      <c r="A3773" s="1">
        <v>44207</v>
      </c>
      <c r="B3773">
        <v>1.9</v>
      </c>
    </row>
    <row r="3774" spans="1:2" x14ac:dyDescent="0.25">
      <c r="A3774" s="1">
        <v>44208</v>
      </c>
      <c r="B3774">
        <v>1.9</v>
      </c>
    </row>
    <row r="3775" spans="1:2" x14ac:dyDescent="0.25">
      <c r="A3775" s="1">
        <v>44209</v>
      </c>
      <c r="B3775">
        <v>1.9</v>
      </c>
    </row>
    <row r="3776" spans="1:2" x14ac:dyDescent="0.25">
      <c r="A3776" s="1">
        <v>44210</v>
      </c>
      <c r="B3776">
        <v>1.9</v>
      </c>
    </row>
    <row r="3777" spans="1:2" x14ac:dyDescent="0.25">
      <c r="A3777" s="1">
        <v>44211</v>
      </c>
      <c r="B3777">
        <v>1.9</v>
      </c>
    </row>
    <row r="3778" spans="1:2" x14ac:dyDescent="0.25">
      <c r="A3778" s="1">
        <v>44214</v>
      </c>
      <c r="B3778">
        <v>1.9</v>
      </c>
    </row>
    <row r="3779" spans="1:2" x14ac:dyDescent="0.25">
      <c r="A3779" s="1">
        <v>44215</v>
      </c>
      <c r="B3779">
        <v>1.9</v>
      </c>
    </row>
    <row r="3780" spans="1:2" x14ac:dyDescent="0.25">
      <c r="A3780" s="1">
        <v>44216</v>
      </c>
      <c r="B3780">
        <v>1.9</v>
      </c>
    </row>
    <row r="3781" spans="1:2" x14ac:dyDescent="0.25">
      <c r="A3781" s="1">
        <v>44217</v>
      </c>
      <c r="B3781">
        <v>1.9</v>
      </c>
    </row>
    <row r="3782" spans="1:2" x14ac:dyDescent="0.25">
      <c r="A3782" s="1">
        <v>44218</v>
      </c>
      <c r="B3782">
        <v>1.9</v>
      </c>
    </row>
    <row r="3783" spans="1:2" x14ac:dyDescent="0.25">
      <c r="A3783" s="1">
        <v>44221</v>
      </c>
      <c r="B3783">
        <v>1.9</v>
      </c>
    </row>
    <row r="3784" spans="1:2" x14ac:dyDescent="0.25">
      <c r="A3784" s="1">
        <v>44222</v>
      </c>
      <c r="B3784">
        <v>1.9</v>
      </c>
    </row>
    <row r="3785" spans="1:2" x14ac:dyDescent="0.25">
      <c r="A3785" s="1">
        <v>44223</v>
      </c>
      <c r="B3785">
        <v>1.9</v>
      </c>
    </row>
    <row r="3786" spans="1:2" x14ac:dyDescent="0.25">
      <c r="A3786" s="1">
        <v>44224</v>
      </c>
      <c r="B3786">
        <v>1.9</v>
      </c>
    </row>
    <row r="3787" spans="1:2" x14ac:dyDescent="0.25">
      <c r="A3787" s="1">
        <v>44225</v>
      </c>
      <c r="B3787">
        <v>1.9</v>
      </c>
    </row>
    <row r="3788" spans="1:2" x14ac:dyDescent="0.25">
      <c r="A3788" s="1">
        <v>44228</v>
      </c>
      <c r="B3788">
        <v>1.9</v>
      </c>
    </row>
    <row r="3789" spans="1:2" x14ac:dyDescent="0.25">
      <c r="A3789" s="1">
        <v>44229</v>
      </c>
      <c r="B3789">
        <v>1.9</v>
      </c>
    </row>
    <row r="3790" spans="1:2" x14ac:dyDescent="0.25">
      <c r="A3790" s="1">
        <v>44230</v>
      </c>
      <c r="B3790">
        <v>1.9</v>
      </c>
    </row>
    <row r="3791" spans="1:2" x14ac:dyDescent="0.25">
      <c r="A3791" s="1">
        <v>44231</v>
      </c>
      <c r="B3791">
        <v>1.9</v>
      </c>
    </row>
    <row r="3792" spans="1:2" x14ac:dyDescent="0.25">
      <c r="A3792" s="1">
        <v>44232</v>
      </c>
      <c r="B3792">
        <v>1.9</v>
      </c>
    </row>
    <row r="3793" spans="1:2" x14ac:dyDescent="0.25">
      <c r="A3793" s="1">
        <v>44235</v>
      </c>
      <c r="B3793">
        <v>1.9</v>
      </c>
    </row>
    <row r="3794" spans="1:2" x14ac:dyDescent="0.25">
      <c r="A3794" s="1">
        <v>44236</v>
      </c>
      <c r="B3794">
        <v>1.9</v>
      </c>
    </row>
    <row r="3795" spans="1:2" x14ac:dyDescent="0.25">
      <c r="A3795" s="1">
        <v>44237</v>
      </c>
      <c r="B3795">
        <v>1.9</v>
      </c>
    </row>
    <row r="3796" spans="1:2" x14ac:dyDescent="0.25">
      <c r="A3796" s="1">
        <v>44238</v>
      </c>
      <c r="B3796">
        <v>1.9</v>
      </c>
    </row>
    <row r="3797" spans="1:2" x14ac:dyDescent="0.25">
      <c r="A3797" s="1">
        <v>44239</v>
      </c>
      <c r="B3797">
        <v>1.9</v>
      </c>
    </row>
    <row r="3798" spans="1:2" x14ac:dyDescent="0.25">
      <c r="A3798" s="1">
        <v>44244</v>
      </c>
      <c r="B3798">
        <v>1.9</v>
      </c>
    </row>
    <row r="3799" spans="1:2" x14ac:dyDescent="0.25">
      <c r="A3799" s="1">
        <v>44245</v>
      </c>
      <c r="B3799">
        <v>1.9</v>
      </c>
    </row>
    <row r="3800" spans="1:2" x14ac:dyDescent="0.25">
      <c r="A3800" s="1">
        <v>44246</v>
      </c>
      <c r="B3800">
        <v>1.9</v>
      </c>
    </row>
    <row r="3801" spans="1:2" x14ac:dyDescent="0.25">
      <c r="A3801" s="1">
        <v>44249</v>
      </c>
      <c r="B3801">
        <v>1.9</v>
      </c>
    </row>
    <row r="3802" spans="1:2" x14ac:dyDescent="0.25">
      <c r="A3802" s="1">
        <v>44250</v>
      </c>
      <c r="B3802">
        <v>1.9</v>
      </c>
    </row>
    <row r="3803" spans="1:2" x14ac:dyDescent="0.25">
      <c r="A3803" s="1">
        <v>44251</v>
      </c>
      <c r="B3803">
        <v>1.9</v>
      </c>
    </row>
    <row r="3804" spans="1:2" x14ac:dyDescent="0.25">
      <c r="A3804" s="1">
        <v>44252</v>
      </c>
      <c r="B3804">
        <v>1.9</v>
      </c>
    </row>
    <row r="3805" spans="1:2" x14ac:dyDescent="0.25">
      <c r="A3805" s="1">
        <v>44253</v>
      </c>
      <c r="B3805">
        <v>1.9</v>
      </c>
    </row>
    <row r="3806" spans="1:2" x14ac:dyDescent="0.25">
      <c r="A3806" s="1">
        <v>44256</v>
      </c>
      <c r="B3806">
        <v>1.9</v>
      </c>
    </row>
    <row r="3807" spans="1:2" x14ac:dyDescent="0.25">
      <c r="A3807" s="1">
        <v>44257</v>
      </c>
      <c r="B3807">
        <v>1.9</v>
      </c>
    </row>
    <row r="3808" spans="1:2" x14ac:dyDescent="0.25">
      <c r="A3808" s="1">
        <v>44258</v>
      </c>
      <c r="B3808">
        <v>1.9</v>
      </c>
    </row>
    <row r="3809" spans="1:2" x14ac:dyDescent="0.25">
      <c r="A3809" s="1">
        <v>44259</v>
      </c>
      <c r="B3809">
        <v>1.9</v>
      </c>
    </row>
    <row r="3810" spans="1:2" x14ac:dyDescent="0.25">
      <c r="A3810" s="1">
        <v>44260</v>
      </c>
      <c r="B3810">
        <v>1.9</v>
      </c>
    </row>
    <row r="3811" spans="1:2" x14ac:dyDescent="0.25">
      <c r="A3811" s="1">
        <v>44263</v>
      </c>
      <c r="B3811">
        <v>1.9</v>
      </c>
    </row>
    <row r="3812" spans="1:2" x14ac:dyDescent="0.25">
      <c r="A3812" s="1">
        <v>44264</v>
      </c>
      <c r="B3812">
        <v>1.9</v>
      </c>
    </row>
    <row r="3813" spans="1:2" x14ac:dyDescent="0.25">
      <c r="A3813" s="1">
        <v>44265</v>
      </c>
      <c r="B3813">
        <v>1.9</v>
      </c>
    </row>
    <row r="3814" spans="1:2" x14ac:dyDescent="0.25">
      <c r="A3814" s="1">
        <v>44266</v>
      </c>
      <c r="B3814">
        <v>1.9</v>
      </c>
    </row>
    <row r="3815" spans="1:2" x14ac:dyDescent="0.25">
      <c r="A3815" s="1">
        <v>44267</v>
      </c>
      <c r="B3815">
        <v>1.9</v>
      </c>
    </row>
    <row r="3816" spans="1:2" x14ac:dyDescent="0.25">
      <c r="A3816" s="1">
        <v>44270</v>
      </c>
      <c r="B3816">
        <v>1.9</v>
      </c>
    </row>
    <row r="3817" spans="1:2" x14ac:dyDescent="0.25">
      <c r="A3817" s="1">
        <v>44271</v>
      </c>
      <c r="B3817">
        <v>1.9</v>
      </c>
    </row>
    <row r="3818" spans="1:2" x14ac:dyDescent="0.25">
      <c r="A3818" s="1">
        <v>44272</v>
      </c>
      <c r="B3818">
        <v>1.9</v>
      </c>
    </row>
    <row r="3819" spans="1:2" x14ac:dyDescent="0.25">
      <c r="A3819" s="1">
        <v>44273</v>
      </c>
      <c r="B3819">
        <v>2.65</v>
      </c>
    </row>
    <row r="3820" spans="1:2" x14ac:dyDescent="0.25">
      <c r="A3820" s="1">
        <v>44274</v>
      </c>
      <c r="B3820">
        <v>2.65</v>
      </c>
    </row>
    <row r="3821" spans="1:2" x14ac:dyDescent="0.25">
      <c r="A3821" s="1">
        <v>44277</v>
      </c>
      <c r="B3821">
        <v>2.65</v>
      </c>
    </row>
    <row r="3822" spans="1:2" x14ac:dyDescent="0.25">
      <c r="A3822" s="1">
        <v>44278</v>
      </c>
      <c r="B3822">
        <v>2.65</v>
      </c>
    </row>
    <row r="3823" spans="1:2" x14ac:dyDescent="0.25">
      <c r="A3823" s="1">
        <v>44279</v>
      </c>
      <c r="B3823">
        <v>2.65</v>
      </c>
    </row>
    <row r="3824" spans="1:2" x14ac:dyDescent="0.25">
      <c r="A3824" s="1">
        <v>44280</v>
      </c>
      <c r="B3824">
        <v>2.65</v>
      </c>
    </row>
    <row r="3825" spans="1:2" x14ac:dyDescent="0.25">
      <c r="A3825" s="1">
        <v>44281</v>
      </c>
      <c r="B3825">
        <v>2.65</v>
      </c>
    </row>
    <row r="3826" spans="1:2" x14ac:dyDescent="0.25">
      <c r="A3826" s="1">
        <v>44284</v>
      </c>
      <c r="B3826">
        <v>2.65</v>
      </c>
    </row>
    <row r="3827" spans="1:2" x14ac:dyDescent="0.25">
      <c r="A3827" s="1">
        <v>44285</v>
      </c>
      <c r="B3827">
        <v>2.65</v>
      </c>
    </row>
    <row r="3828" spans="1:2" x14ac:dyDescent="0.25">
      <c r="A3828" s="1">
        <v>44286</v>
      </c>
      <c r="B3828">
        <v>2.65</v>
      </c>
    </row>
    <row r="3829" spans="1:2" x14ac:dyDescent="0.25">
      <c r="A3829" s="1">
        <v>44287</v>
      </c>
      <c r="B3829">
        <v>2.65</v>
      </c>
    </row>
    <row r="3830" spans="1:2" x14ac:dyDescent="0.25">
      <c r="A3830" s="1">
        <v>44291</v>
      </c>
      <c r="B3830">
        <v>2.65</v>
      </c>
    </row>
    <row r="3831" spans="1:2" x14ac:dyDescent="0.25">
      <c r="A3831" s="1">
        <v>44292</v>
      </c>
      <c r="B3831">
        <v>2.65</v>
      </c>
    </row>
    <row r="3832" spans="1:2" x14ac:dyDescent="0.25">
      <c r="A3832" s="1">
        <v>44293</v>
      </c>
      <c r="B3832">
        <v>2.65</v>
      </c>
    </row>
    <row r="3833" spans="1:2" x14ac:dyDescent="0.25">
      <c r="A3833" s="1">
        <v>44294</v>
      </c>
      <c r="B3833">
        <v>2.65</v>
      </c>
    </row>
    <row r="3834" spans="1:2" x14ac:dyDescent="0.25">
      <c r="A3834" s="1">
        <v>44295</v>
      </c>
      <c r="B3834">
        <v>2.65</v>
      </c>
    </row>
    <row r="3835" spans="1:2" x14ac:dyDescent="0.25">
      <c r="A3835" s="1">
        <v>44298</v>
      </c>
      <c r="B3835">
        <v>2.65</v>
      </c>
    </row>
    <row r="3836" spans="1:2" x14ac:dyDescent="0.25">
      <c r="A3836" s="1">
        <v>44299</v>
      </c>
      <c r="B3836">
        <v>2.65</v>
      </c>
    </row>
    <row r="3837" spans="1:2" x14ac:dyDescent="0.25">
      <c r="A3837" s="1">
        <v>44300</v>
      </c>
      <c r="B3837">
        <v>2.65</v>
      </c>
    </row>
    <row r="3838" spans="1:2" x14ac:dyDescent="0.25">
      <c r="A3838" s="1">
        <v>44301</v>
      </c>
      <c r="B3838">
        <v>2.65</v>
      </c>
    </row>
    <row r="3839" spans="1:2" x14ac:dyDescent="0.25">
      <c r="A3839" s="1">
        <v>44302</v>
      </c>
      <c r="B3839">
        <v>2.65</v>
      </c>
    </row>
    <row r="3840" spans="1:2" x14ac:dyDescent="0.25">
      <c r="A3840" s="1">
        <v>44305</v>
      </c>
      <c r="B3840">
        <v>2.65</v>
      </c>
    </row>
    <row r="3841" spans="1:2" x14ac:dyDescent="0.25">
      <c r="A3841" s="1">
        <v>44306</v>
      </c>
      <c r="B3841">
        <v>2.65</v>
      </c>
    </row>
    <row r="3842" spans="1:2" x14ac:dyDescent="0.25">
      <c r="A3842" s="1">
        <v>44308</v>
      </c>
      <c r="B3842">
        <v>2.65</v>
      </c>
    </row>
    <row r="3843" spans="1:2" x14ac:dyDescent="0.25">
      <c r="A3843" s="1">
        <v>44309</v>
      </c>
      <c r="B3843">
        <v>2.65</v>
      </c>
    </row>
    <row r="3844" spans="1:2" x14ac:dyDescent="0.25">
      <c r="A3844" s="1">
        <v>44312</v>
      </c>
      <c r="B3844">
        <v>2.65</v>
      </c>
    </row>
    <row r="3845" spans="1:2" x14ac:dyDescent="0.25">
      <c r="A3845" s="1">
        <v>44313</v>
      </c>
      <c r="B3845">
        <v>2.65</v>
      </c>
    </row>
    <row r="3846" spans="1:2" x14ac:dyDescent="0.25">
      <c r="A3846" s="1">
        <v>44314</v>
      </c>
      <c r="B3846">
        <v>2.65</v>
      </c>
    </row>
    <row r="3847" spans="1:2" x14ac:dyDescent="0.25">
      <c r="A3847" s="1">
        <v>44315</v>
      </c>
      <c r="B3847">
        <v>2.65</v>
      </c>
    </row>
    <row r="3848" spans="1:2" x14ac:dyDescent="0.25">
      <c r="A3848" s="1">
        <v>44316</v>
      </c>
      <c r="B3848">
        <v>2.65</v>
      </c>
    </row>
    <row r="3849" spans="1:2" x14ac:dyDescent="0.25">
      <c r="A3849" s="1">
        <v>44319</v>
      </c>
      <c r="B3849">
        <v>2.65</v>
      </c>
    </row>
    <row r="3850" spans="1:2" x14ac:dyDescent="0.25">
      <c r="A3850" s="1">
        <v>44320</v>
      </c>
      <c r="B3850">
        <v>2.65</v>
      </c>
    </row>
    <row r="3851" spans="1:2" x14ac:dyDescent="0.25">
      <c r="A3851" s="1">
        <v>44321</v>
      </c>
      <c r="B3851">
        <v>2.65</v>
      </c>
    </row>
    <row r="3852" spans="1:2" x14ac:dyDescent="0.25">
      <c r="A3852" s="1">
        <v>44322</v>
      </c>
      <c r="B3852">
        <v>3.4</v>
      </c>
    </row>
    <row r="3853" spans="1:2" x14ac:dyDescent="0.25">
      <c r="A3853" s="1">
        <v>44323</v>
      </c>
      <c r="B3853">
        <v>3.4</v>
      </c>
    </row>
    <row r="3854" spans="1:2" x14ac:dyDescent="0.25">
      <c r="A3854" s="1">
        <v>44326</v>
      </c>
      <c r="B3854">
        <v>3.4</v>
      </c>
    </row>
    <row r="3855" spans="1:2" x14ac:dyDescent="0.25">
      <c r="A3855" s="1">
        <v>44327</v>
      </c>
      <c r="B3855">
        <v>3.4</v>
      </c>
    </row>
    <row r="3856" spans="1:2" x14ac:dyDescent="0.25">
      <c r="A3856" s="1">
        <v>44328</v>
      </c>
      <c r="B3856">
        <v>3.4</v>
      </c>
    </row>
    <row r="3857" spans="1:2" x14ac:dyDescent="0.25">
      <c r="A3857" s="1">
        <v>44329</v>
      </c>
      <c r="B3857">
        <v>3.4</v>
      </c>
    </row>
    <row r="3858" spans="1:2" x14ac:dyDescent="0.25">
      <c r="A3858" s="1">
        <v>44330</v>
      </c>
      <c r="B3858">
        <v>3.4</v>
      </c>
    </row>
    <row r="3859" spans="1:2" x14ac:dyDescent="0.25">
      <c r="A3859" s="1">
        <v>44333</v>
      </c>
      <c r="B3859">
        <v>3.4</v>
      </c>
    </row>
    <row r="3860" spans="1:2" x14ac:dyDescent="0.25">
      <c r="A3860" s="1">
        <v>44334</v>
      </c>
      <c r="B3860">
        <v>3.4</v>
      </c>
    </row>
    <row r="3861" spans="1:2" x14ac:dyDescent="0.25">
      <c r="A3861" s="1">
        <v>44335</v>
      </c>
      <c r="B3861">
        <v>3.4</v>
      </c>
    </row>
    <row r="3862" spans="1:2" x14ac:dyDescent="0.25">
      <c r="A3862" s="1">
        <v>44336</v>
      </c>
      <c r="B3862">
        <v>3.4</v>
      </c>
    </row>
    <row r="3863" spans="1:2" x14ac:dyDescent="0.25">
      <c r="A3863" s="1">
        <v>44337</v>
      </c>
      <c r="B3863">
        <v>3.4</v>
      </c>
    </row>
    <row r="3864" spans="1:2" x14ac:dyDescent="0.25">
      <c r="A3864" s="1">
        <v>44340</v>
      </c>
      <c r="B3864">
        <v>3.4</v>
      </c>
    </row>
    <row r="3865" spans="1:2" x14ac:dyDescent="0.25">
      <c r="A3865" s="1">
        <v>44341</v>
      </c>
      <c r="B3865">
        <v>3.4</v>
      </c>
    </row>
    <row r="3866" spans="1:2" x14ac:dyDescent="0.25">
      <c r="A3866" s="1">
        <v>44342</v>
      </c>
      <c r="B3866">
        <v>3.4</v>
      </c>
    </row>
    <row r="3867" spans="1:2" x14ac:dyDescent="0.25">
      <c r="A3867" s="1">
        <v>44343</v>
      </c>
      <c r="B3867">
        <v>3.4</v>
      </c>
    </row>
    <row r="3868" spans="1:2" x14ac:dyDescent="0.25">
      <c r="A3868" s="1">
        <v>44344</v>
      </c>
      <c r="B3868">
        <v>3.4</v>
      </c>
    </row>
    <row r="3869" spans="1:2" x14ac:dyDescent="0.25">
      <c r="A3869" s="1">
        <v>44347</v>
      </c>
      <c r="B3869">
        <v>3.4</v>
      </c>
    </row>
    <row r="3870" spans="1:2" x14ac:dyDescent="0.25">
      <c r="A3870" s="1">
        <v>44348</v>
      </c>
      <c r="B3870">
        <v>3.4</v>
      </c>
    </row>
    <row r="3871" spans="1:2" x14ac:dyDescent="0.25">
      <c r="A3871" s="1">
        <v>44349</v>
      </c>
      <c r="B3871">
        <v>3.4</v>
      </c>
    </row>
    <row r="3872" spans="1:2" x14ac:dyDescent="0.25">
      <c r="A3872" s="1">
        <v>44351</v>
      </c>
      <c r="B3872">
        <v>3.4</v>
      </c>
    </row>
    <row r="3873" spans="1:2" x14ac:dyDescent="0.25">
      <c r="A3873" s="1">
        <v>44354</v>
      </c>
      <c r="B3873">
        <v>3.4</v>
      </c>
    </row>
    <row r="3874" spans="1:2" x14ac:dyDescent="0.25">
      <c r="A3874" s="1">
        <v>44355</v>
      </c>
      <c r="B3874">
        <v>3.4</v>
      </c>
    </row>
    <row r="3875" spans="1:2" x14ac:dyDescent="0.25">
      <c r="A3875" s="1">
        <v>44356</v>
      </c>
      <c r="B3875">
        <v>3.4</v>
      </c>
    </row>
    <row r="3876" spans="1:2" x14ac:dyDescent="0.25">
      <c r="A3876" s="1">
        <v>44357</v>
      </c>
      <c r="B3876">
        <v>3.4</v>
      </c>
    </row>
    <row r="3877" spans="1:2" x14ac:dyDescent="0.25">
      <c r="A3877" s="1">
        <v>44358</v>
      </c>
      <c r="B3877">
        <v>3.4</v>
      </c>
    </row>
    <row r="3878" spans="1:2" x14ac:dyDescent="0.25">
      <c r="A3878" s="1">
        <v>44361</v>
      </c>
      <c r="B3878">
        <v>3.4</v>
      </c>
    </row>
    <row r="3879" spans="1:2" x14ac:dyDescent="0.25">
      <c r="A3879" s="1">
        <v>44362</v>
      </c>
      <c r="B3879">
        <v>3.4</v>
      </c>
    </row>
    <row r="3880" spans="1:2" x14ac:dyDescent="0.25">
      <c r="A3880" s="1">
        <v>44363</v>
      </c>
      <c r="B3880">
        <v>3.4</v>
      </c>
    </row>
    <row r="3881" spans="1:2" x14ac:dyDescent="0.25">
      <c r="A3881" s="1">
        <v>44364</v>
      </c>
      <c r="B3881">
        <v>4.1500000000000004</v>
      </c>
    </row>
    <row r="3882" spans="1:2" x14ac:dyDescent="0.25">
      <c r="A3882" s="1">
        <v>44365</v>
      </c>
      <c r="B3882">
        <v>4.1500000000000004</v>
      </c>
    </row>
    <row r="3883" spans="1:2" x14ac:dyDescent="0.25">
      <c r="A3883" s="1">
        <v>44368</v>
      </c>
      <c r="B3883">
        <v>4.1500000000000004</v>
      </c>
    </row>
    <row r="3884" spans="1:2" x14ac:dyDescent="0.25">
      <c r="A3884" s="1">
        <v>44369</v>
      </c>
      <c r="B3884">
        <v>4.1500000000000004</v>
      </c>
    </row>
    <row r="3885" spans="1:2" x14ac:dyDescent="0.25">
      <c r="A3885" s="1">
        <v>44370</v>
      </c>
      <c r="B3885">
        <v>4.1500000000000004</v>
      </c>
    </row>
    <row r="3886" spans="1:2" x14ac:dyDescent="0.25">
      <c r="A3886" s="1">
        <v>44371</v>
      </c>
      <c r="B3886">
        <v>4.1500000000000004</v>
      </c>
    </row>
    <row r="3887" spans="1:2" x14ac:dyDescent="0.25">
      <c r="A3887" s="1">
        <v>44372</v>
      </c>
      <c r="B3887">
        <v>4.1500000000000004</v>
      </c>
    </row>
    <row r="3888" spans="1:2" x14ac:dyDescent="0.25">
      <c r="A3888" s="1">
        <v>44375</v>
      </c>
      <c r="B3888">
        <v>4.1500000000000004</v>
      </c>
    </row>
    <row r="3889" spans="1:2" x14ac:dyDescent="0.25">
      <c r="A3889" s="1">
        <v>44376</v>
      </c>
      <c r="B3889">
        <v>4.1500000000000004</v>
      </c>
    </row>
    <row r="3890" spans="1:2" x14ac:dyDescent="0.25">
      <c r="A3890" s="1">
        <v>44377</v>
      </c>
      <c r="B3890">
        <v>4.1500000000000004</v>
      </c>
    </row>
    <row r="3891" spans="1:2" x14ac:dyDescent="0.25">
      <c r="A3891" s="1">
        <v>44378</v>
      </c>
      <c r="B3891">
        <v>4.1500000000000004</v>
      </c>
    </row>
    <row r="3892" spans="1:2" x14ac:dyDescent="0.25">
      <c r="A3892" s="1">
        <v>44379</v>
      </c>
      <c r="B3892">
        <v>4.1500000000000004</v>
      </c>
    </row>
    <row r="3893" spans="1:2" x14ac:dyDescent="0.25">
      <c r="A3893" s="1">
        <v>44382</v>
      </c>
      <c r="B3893">
        <v>4.1500000000000004</v>
      </c>
    </row>
    <row r="3894" spans="1:2" x14ac:dyDescent="0.25">
      <c r="A3894" s="1">
        <v>44383</v>
      </c>
      <c r="B3894">
        <v>4.1500000000000004</v>
      </c>
    </row>
    <row r="3895" spans="1:2" x14ac:dyDescent="0.25">
      <c r="A3895" s="1">
        <v>44384</v>
      </c>
      <c r="B3895">
        <v>4.1500000000000004</v>
      </c>
    </row>
    <row r="3896" spans="1:2" x14ac:dyDescent="0.25">
      <c r="A3896" s="1">
        <v>44385</v>
      </c>
      <c r="B3896">
        <v>4.1500000000000004</v>
      </c>
    </row>
    <row r="3897" spans="1:2" x14ac:dyDescent="0.25">
      <c r="A3897" s="1">
        <v>44386</v>
      </c>
      <c r="B3897">
        <v>4.1500000000000004</v>
      </c>
    </row>
    <row r="3898" spans="1:2" x14ac:dyDescent="0.25">
      <c r="A3898" s="1">
        <v>44389</v>
      </c>
      <c r="B3898">
        <v>4.1500000000000004</v>
      </c>
    </row>
    <row r="3899" spans="1:2" x14ac:dyDescent="0.25">
      <c r="A3899" s="1">
        <v>44390</v>
      </c>
      <c r="B3899">
        <v>4.1500000000000004</v>
      </c>
    </row>
    <row r="3900" spans="1:2" x14ac:dyDescent="0.25">
      <c r="A3900" s="1">
        <v>44391</v>
      </c>
      <c r="B3900">
        <v>4.1500000000000004</v>
      </c>
    </row>
    <row r="3901" spans="1:2" x14ac:dyDescent="0.25">
      <c r="A3901" s="1">
        <v>44392</v>
      </c>
      <c r="B3901">
        <v>4.1500000000000004</v>
      </c>
    </row>
    <row r="3902" spans="1:2" x14ac:dyDescent="0.25">
      <c r="A3902" s="1">
        <v>44393</v>
      </c>
      <c r="B3902">
        <v>4.1500000000000004</v>
      </c>
    </row>
    <row r="3903" spans="1:2" x14ac:dyDescent="0.25">
      <c r="A3903" s="1">
        <v>44396</v>
      </c>
      <c r="B3903">
        <v>4.1500000000000004</v>
      </c>
    </row>
    <row r="3904" spans="1:2" x14ac:dyDescent="0.25">
      <c r="A3904" s="1">
        <v>44397</v>
      </c>
      <c r="B3904">
        <v>4.1500000000000004</v>
      </c>
    </row>
    <row r="3905" spans="1:2" x14ac:dyDescent="0.25">
      <c r="A3905" s="1">
        <v>44398</v>
      </c>
      <c r="B3905">
        <v>4.1500000000000004</v>
      </c>
    </row>
    <row r="3906" spans="1:2" x14ac:dyDescent="0.25">
      <c r="A3906" s="1">
        <v>44399</v>
      </c>
      <c r="B3906">
        <v>4.1500000000000004</v>
      </c>
    </row>
    <row r="3907" spans="1:2" x14ac:dyDescent="0.25">
      <c r="A3907" s="1">
        <v>44400</v>
      </c>
      <c r="B3907">
        <v>4.1500000000000004</v>
      </c>
    </row>
    <row r="3908" spans="1:2" x14ac:dyDescent="0.25">
      <c r="A3908" s="1">
        <v>44403</v>
      </c>
      <c r="B3908">
        <v>4.1500000000000004</v>
      </c>
    </row>
    <row r="3909" spans="1:2" x14ac:dyDescent="0.25">
      <c r="A3909" s="1">
        <v>44404</v>
      </c>
      <c r="B3909">
        <v>4.1500000000000004</v>
      </c>
    </row>
    <row r="3910" spans="1:2" x14ac:dyDescent="0.25">
      <c r="A3910" s="1">
        <v>44405</v>
      </c>
      <c r="B3910">
        <v>4.1500000000000004</v>
      </c>
    </row>
    <row r="3911" spans="1:2" x14ac:dyDescent="0.25">
      <c r="A3911" s="1">
        <v>44406</v>
      </c>
      <c r="B3911">
        <v>4.1500000000000004</v>
      </c>
    </row>
    <row r="3912" spans="1:2" x14ac:dyDescent="0.25">
      <c r="A3912" s="1">
        <v>44407</v>
      </c>
      <c r="B3912">
        <v>4.1500000000000004</v>
      </c>
    </row>
    <row r="3913" spans="1:2" x14ac:dyDescent="0.25">
      <c r="A3913" s="1">
        <v>44410</v>
      </c>
      <c r="B3913">
        <v>4.1500000000000004</v>
      </c>
    </row>
    <row r="3914" spans="1:2" x14ac:dyDescent="0.25">
      <c r="A3914" s="1">
        <v>44411</v>
      </c>
      <c r="B3914">
        <v>4.1500000000000004</v>
      </c>
    </row>
    <row r="3915" spans="1:2" x14ac:dyDescent="0.25">
      <c r="A3915" s="1">
        <v>44412</v>
      </c>
      <c r="B3915">
        <v>4.1500000000000004</v>
      </c>
    </row>
    <row r="3916" spans="1:2" x14ac:dyDescent="0.25">
      <c r="A3916" s="1">
        <v>44413</v>
      </c>
      <c r="B3916">
        <v>5.15</v>
      </c>
    </row>
    <row r="3917" spans="1:2" x14ac:dyDescent="0.25">
      <c r="A3917" s="1">
        <v>44414</v>
      </c>
      <c r="B3917">
        <v>5.15</v>
      </c>
    </row>
    <row r="3918" spans="1:2" x14ac:dyDescent="0.25">
      <c r="A3918" s="1">
        <v>44417</v>
      </c>
      <c r="B3918">
        <v>5.15</v>
      </c>
    </row>
    <row r="3919" spans="1:2" x14ac:dyDescent="0.25">
      <c r="A3919" s="1">
        <v>44418</v>
      </c>
      <c r="B3919">
        <v>5.15</v>
      </c>
    </row>
    <row r="3920" spans="1:2" x14ac:dyDescent="0.25">
      <c r="A3920" s="1">
        <v>44419</v>
      </c>
      <c r="B3920">
        <v>5.15</v>
      </c>
    </row>
    <row r="3921" spans="1:2" x14ac:dyDescent="0.25">
      <c r="A3921" s="1">
        <v>44420</v>
      </c>
      <c r="B3921">
        <v>5.15</v>
      </c>
    </row>
    <row r="3922" spans="1:2" x14ac:dyDescent="0.25">
      <c r="A3922" s="1">
        <v>44421</v>
      </c>
      <c r="B3922">
        <v>5.15</v>
      </c>
    </row>
    <row r="3923" spans="1:2" x14ac:dyDescent="0.25">
      <c r="A3923" s="1">
        <v>44424</v>
      </c>
      <c r="B3923">
        <v>5.15</v>
      </c>
    </row>
    <row r="3924" spans="1:2" x14ac:dyDescent="0.25">
      <c r="A3924" s="1">
        <v>44425</v>
      </c>
      <c r="B3924">
        <v>5.15</v>
      </c>
    </row>
    <row r="3925" spans="1:2" x14ac:dyDescent="0.25">
      <c r="A3925" s="1">
        <v>44426</v>
      </c>
      <c r="B3925">
        <v>5.15</v>
      </c>
    </row>
    <row r="3926" spans="1:2" x14ac:dyDescent="0.25">
      <c r="A3926" s="1">
        <v>44427</v>
      </c>
      <c r="B3926">
        <v>5.15</v>
      </c>
    </row>
    <row r="3927" spans="1:2" x14ac:dyDescent="0.25">
      <c r="A3927" s="1">
        <v>44428</v>
      </c>
      <c r="B3927">
        <v>5.15</v>
      </c>
    </row>
    <row r="3928" spans="1:2" x14ac:dyDescent="0.25">
      <c r="A3928" s="1">
        <v>44431</v>
      </c>
      <c r="B3928">
        <v>5.15</v>
      </c>
    </row>
    <row r="3929" spans="1:2" x14ac:dyDescent="0.25">
      <c r="A3929" s="1">
        <v>44432</v>
      </c>
      <c r="B3929">
        <v>5.15</v>
      </c>
    </row>
    <row r="3930" spans="1:2" x14ac:dyDescent="0.25">
      <c r="A3930" s="1">
        <v>44433</v>
      </c>
      <c r="B3930">
        <v>5.15</v>
      </c>
    </row>
    <row r="3931" spans="1:2" x14ac:dyDescent="0.25">
      <c r="A3931" s="1">
        <v>44434</v>
      </c>
      <c r="B3931">
        <v>5.15</v>
      </c>
    </row>
    <row r="3932" spans="1:2" x14ac:dyDescent="0.25">
      <c r="A3932" s="1">
        <v>44435</v>
      </c>
      <c r="B3932">
        <v>5.15</v>
      </c>
    </row>
    <row r="3933" spans="1:2" x14ac:dyDescent="0.25">
      <c r="A3933" s="1">
        <v>44438</v>
      </c>
      <c r="B3933">
        <v>5.15</v>
      </c>
    </row>
    <row r="3934" spans="1:2" x14ac:dyDescent="0.25">
      <c r="A3934" s="1">
        <v>44439</v>
      </c>
      <c r="B3934">
        <v>5.15</v>
      </c>
    </row>
    <row r="3935" spans="1:2" x14ac:dyDescent="0.25">
      <c r="A3935" s="1">
        <v>44440</v>
      </c>
      <c r="B3935">
        <v>5.15</v>
      </c>
    </row>
    <row r="3936" spans="1:2" x14ac:dyDescent="0.25">
      <c r="A3936" s="1">
        <v>44441</v>
      </c>
      <c r="B3936">
        <v>5.15</v>
      </c>
    </row>
    <row r="3937" spans="1:2" x14ac:dyDescent="0.25">
      <c r="A3937" s="1">
        <v>44442</v>
      </c>
      <c r="B3937">
        <v>5.15</v>
      </c>
    </row>
    <row r="3938" spans="1:2" x14ac:dyDescent="0.25">
      <c r="A3938" s="1">
        <v>44445</v>
      </c>
      <c r="B3938">
        <v>5.15</v>
      </c>
    </row>
    <row r="3939" spans="1:2" x14ac:dyDescent="0.25">
      <c r="A3939" s="1">
        <v>44447</v>
      </c>
      <c r="B3939">
        <v>5.15</v>
      </c>
    </row>
    <row r="3940" spans="1:2" x14ac:dyDescent="0.25">
      <c r="A3940" s="1">
        <v>44448</v>
      </c>
      <c r="B3940">
        <v>5.15</v>
      </c>
    </row>
    <row r="3941" spans="1:2" x14ac:dyDescent="0.25">
      <c r="A3941" s="1">
        <v>44449</v>
      </c>
      <c r="B3941">
        <v>5.15</v>
      </c>
    </row>
    <row r="3942" spans="1:2" x14ac:dyDescent="0.25">
      <c r="A3942" s="1">
        <v>44452</v>
      </c>
      <c r="B3942">
        <v>5.15</v>
      </c>
    </row>
    <row r="3943" spans="1:2" x14ac:dyDescent="0.25">
      <c r="A3943" s="1">
        <v>44453</v>
      </c>
      <c r="B3943">
        <v>5.15</v>
      </c>
    </row>
    <row r="3944" spans="1:2" x14ac:dyDescent="0.25">
      <c r="A3944" s="1">
        <v>44454</v>
      </c>
      <c r="B3944">
        <v>5.15</v>
      </c>
    </row>
    <row r="3945" spans="1:2" x14ac:dyDescent="0.25">
      <c r="A3945" s="1">
        <v>44455</v>
      </c>
      <c r="B3945">
        <v>5.15</v>
      </c>
    </row>
    <row r="3946" spans="1:2" x14ac:dyDescent="0.25">
      <c r="A3946" s="1">
        <v>44456</v>
      </c>
      <c r="B3946">
        <v>5.15</v>
      </c>
    </row>
    <row r="3947" spans="1:2" x14ac:dyDescent="0.25">
      <c r="A3947" s="1">
        <v>44459</v>
      </c>
      <c r="B3947">
        <v>5.15</v>
      </c>
    </row>
    <row r="3948" spans="1:2" x14ac:dyDescent="0.25">
      <c r="A3948" s="1">
        <v>44460</v>
      </c>
      <c r="B3948">
        <v>5.15</v>
      </c>
    </row>
    <row r="3949" spans="1:2" x14ac:dyDescent="0.25">
      <c r="A3949" s="1">
        <v>44461</v>
      </c>
      <c r="B3949">
        <v>5.15</v>
      </c>
    </row>
    <row r="3950" spans="1:2" x14ac:dyDescent="0.25">
      <c r="A3950" s="1">
        <v>44462</v>
      </c>
      <c r="B3950">
        <v>6.15</v>
      </c>
    </row>
    <row r="3951" spans="1:2" x14ac:dyDescent="0.25">
      <c r="A3951" s="1">
        <v>44463</v>
      </c>
      <c r="B3951">
        <v>6.15</v>
      </c>
    </row>
    <row r="3952" spans="1:2" x14ac:dyDescent="0.25">
      <c r="A3952" s="1">
        <v>44466</v>
      </c>
      <c r="B3952">
        <v>6.15</v>
      </c>
    </row>
    <row r="3953" spans="1:2" x14ac:dyDescent="0.25">
      <c r="A3953" s="1">
        <v>44467</v>
      </c>
      <c r="B3953">
        <v>6.15</v>
      </c>
    </row>
    <row r="3954" spans="1:2" x14ac:dyDescent="0.25">
      <c r="A3954" s="1">
        <v>44468</v>
      </c>
      <c r="B3954">
        <v>6.15</v>
      </c>
    </row>
    <row r="3955" spans="1:2" x14ac:dyDescent="0.25">
      <c r="A3955" s="1">
        <v>44469</v>
      </c>
      <c r="B3955">
        <v>6.15</v>
      </c>
    </row>
    <row r="3956" spans="1:2" x14ac:dyDescent="0.25">
      <c r="A3956" s="1">
        <v>44470</v>
      </c>
      <c r="B3956">
        <v>6.15</v>
      </c>
    </row>
    <row r="3957" spans="1:2" x14ac:dyDescent="0.25">
      <c r="A3957" s="1">
        <v>44473</v>
      </c>
      <c r="B3957">
        <v>6.15</v>
      </c>
    </row>
    <row r="3958" spans="1:2" x14ac:dyDescent="0.25">
      <c r="A3958" s="1">
        <v>44474</v>
      </c>
      <c r="B3958">
        <v>6.15</v>
      </c>
    </row>
    <row r="3959" spans="1:2" x14ac:dyDescent="0.25">
      <c r="A3959" s="1">
        <v>44475</v>
      </c>
      <c r="B3959">
        <v>6.15</v>
      </c>
    </row>
    <row r="3960" spans="1:2" x14ac:dyDescent="0.25">
      <c r="A3960" s="1">
        <v>44476</v>
      </c>
      <c r="B3960">
        <v>6.15</v>
      </c>
    </row>
    <row r="3961" spans="1:2" x14ac:dyDescent="0.25">
      <c r="A3961" s="1">
        <v>44477</v>
      </c>
      <c r="B3961">
        <v>6.15</v>
      </c>
    </row>
    <row r="3962" spans="1:2" x14ac:dyDescent="0.25">
      <c r="A3962" s="1">
        <v>44480</v>
      </c>
      <c r="B3962">
        <v>6.15</v>
      </c>
    </row>
    <row r="3963" spans="1:2" x14ac:dyDescent="0.25">
      <c r="A3963" s="1">
        <v>44482</v>
      </c>
      <c r="B3963">
        <v>6.15</v>
      </c>
    </row>
    <row r="3964" spans="1:2" x14ac:dyDescent="0.25">
      <c r="A3964" s="1">
        <v>44483</v>
      </c>
      <c r="B3964">
        <v>6.15</v>
      </c>
    </row>
    <row r="3965" spans="1:2" x14ac:dyDescent="0.25">
      <c r="A3965" s="1">
        <v>44484</v>
      </c>
      <c r="B3965">
        <v>6.15</v>
      </c>
    </row>
    <row r="3966" spans="1:2" x14ac:dyDescent="0.25">
      <c r="A3966" s="1">
        <v>44487</v>
      </c>
      <c r="B3966">
        <v>6.15</v>
      </c>
    </row>
    <row r="3967" spans="1:2" x14ac:dyDescent="0.25">
      <c r="A3967" s="1">
        <v>44488</v>
      </c>
      <c r="B3967">
        <v>6.15</v>
      </c>
    </row>
    <row r="3968" spans="1:2" x14ac:dyDescent="0.25">
      <c r="A3968" s="1">
        <v>44489</v>
      </c>
      <c r="B3968">
        <v>6.15</v>
      </c>
    </row>
    <row r="3969" spans="1:2" x14ac:dyDescent="0.25">
      <c r="A3969" s="1">
        <v>44490</v>
      </c>
      <c r="B3969">
        <v>6.15</v>
      </c>
    </row>
    <row r="3970" spans="1:2" x14ac:dyDescent="0.25">
      <c r="A3970" s="1">
        <v>44491</v>
      </c>
      <c r="B3970">
        <v>6.15</v>
      </c>
    </row>
    <row r="3971" spans="1:2" x14ac:dyDescent="0.25">
      <c r="A3971" s="1">
        <v>44494</v>
      </c>
      <c r="B3971">
        <v>6.15</v>
      </c>
    </row>
    <row r="3972" spans="1:2" x14ac:dyDescent="0.25">
      <c r="A3972" s="1">
        <v>44495</v>
      </c>
      <c r="B3972">
        <v>6.15</v>
      </c>
    </row>
    <row r="3973" spans="1:2" x14ac:dyDescent="0.25">
      <c r="A3973" s="1">
        <v>44496</v>
      </c>
      <c r="B3973">
        <v>6.15</v>
      </c>
    </row>
    <row r="3974" spans="1:2" x14ac:dyDescent="0.25">
      <c r="A3974" s="1">
        <v>44497</v>
      </c>
      <c r="B3974">
        <v>7.65</v>
      </c>
    </row>
    <row r="3975" spans="1:2" x14ac:dyDescent="0.25">
      <c r="A3975" s="1">
        <v>44498</v>
      </c>
      <c r="B3975">
        <v>7.65</v>
      </c>
    </row>
    <row r="3976" spans="1:2" x14ac:dyDescent="0.25">
      <c r="A3976" s="1">
        <v>44501</v>
      </c>
      <c r="B3976">
        <v>7.65</v>
      </c>
    </row>
    <row r="3977" spans="1:2" x14ac:dyDescent="0.25">
      <c r="A3977" s="1">
        <v>44503</v>
      </c>
      <c r="B3977">
        <v>7.65</v>
      </c>
    </row>
    <row r="3978" spans="1:2" x14ac:dyDescent="0.25">
      <c r="A3978" s="1">
        <v>44504</v>
      </c>
      <c r="B3978">
        <v>7.65</v>
      </c>
    </row>
    <row r="3979" spans="1:2" x14ac:dyDescent="0.25">
      <c r="A3979" s="1">
        <v>44505</v>
      </c>
      <c r="B3979">
        <v>7.65</v>
      </c>
    </row>
    <row r="3980" spans="1:2" x14ac:dyDescent="0.25">
      <c r="A3980" s="1">
        <v>44508</v>
      </c>
      <c r="B3980">
        <v>7.65</v>
      </c>
    </row>
    <row r="3981" spans="1:2" x14ac:dyDescent="0.25">
      <c r="A3981" s="1">
        <v>44509</v>
      </c>
      <c r="B3981">
        <v>7.65</v>
      </c>
    </row>
    <row r="3982" spans="1:2" x14ac:dyDescent="0.25">
      <c r="A3982" s="1">
        <v>44510</v>
      </c>
      <c r="B3982">
        <v>7.65</v>
      </c>
    </row>
    <row r="3983" spans="1:2" x14ac:dyDescent="0.25">
      <c r="A3983" s="1">
        <v>44511</v>
      </c>
      <c r="B3983">
        <v>7.65</v>
      </c>
    </row>
    <row r="3984" spans="1:2" x14ac:dyDescent="0.25">
      <c r="A3984" s="1">
        <v>44512</v>
      </c>
      <c r="B3984">
        <v>7.65</v>
      </c>
    </row>
    <row r="3985" spans="1:2" x14ac:dyDescent="0.25">
      <c r="A3985" s="1">
        <v>44516</v>
      </c>
      <c r="B3985">
        <v>7.65</v>
      </c>
    </row>
    <row r="3986" spans="1:2" x14ac:dyDescent="0.25">
      <c r="A3986" s="1">
        <v>44517</v>
      </c>
      <c r="B3986">
        <v>7.65</v>
      </c>
    </row>
    <row r="3987" spans="1:2" x14ac:dyDescent="0.25">
      <c r="A3987" s="1">
        <v>44518</v>
      </c>
      <c r="B3987">
        <v>7.65</v>
      </c>
    </row>
    <row r="3988" spans="1:2" x14ac:dyDescent="0.25">
      <c r="A3988" s="1">
        <v>44519</v>
      </c>
      <c r="B3988">
        <v>7.65</v>
      </c>
    </row>
    <row r="3989" spans="1:2" x14ac:dyDescent="0.25">
      <c r="A3989" s="1">
        <v>44522</v>
      </c>
      <c r="B3989">
        <v>7.65</v>
      </c>
    </row>
    <row r="3990" spans="1:2" x14ac:dyDescent="0.25">
      <c r="A3990" s="1">
        <v>44523</v>
      </c>
      <c r="B3990">
        <v>7.65</v>
      </c>
    </row>
    <row r="3991" spans="1:2" x14ac:dyDescent="0.25">
      <c r="A3991" s="1">
        <v>44524</v>
      </c>
      <c r="B3991">
        <v>7.65</v>
      </c>
    </row>
    <row r="3992" spans="1:2" x14ac:dyDescent="0.25">
      <c r="A3992" s="1">
        <v>44525</v>
      </c>
      <c r="B3992">
        <v>7.65</v>
      </c>
    </row>
    <row r="3993" spans="1:2" x14ac:dyDescent="0.25">
      <c r="A3993" s="1">
        <v>44526</v>
      </c>
      <c r="B3993">
        <v>7.65</v>
      </c>
    </row>
    <row r="3994" spans="1:2" x14ac:dyDescent="0.25">
      <c r="A3994" s="1">
        <v>44529</v>
      </c>
      <c r="B3994">
        <v>7.65</v>
      </c>
    </row>
    <row r="3995" spans="1:2" x14ac:dyDescent="0.25">
      <c r="A3995" s="1">
        <v>44530</v>
      </c>
      <c r="B3995">
        <v>7.65</v>
      </c>
    </row>
    <row r="3996" spans="1:2" x14ac:dyDescent="0.25">
      <c r="A3996" s="1">
        <v>44531</v>
      </c>
      <c r="B3996">
        <v>7.65</v>
      </c>
    </row>
    <row r="3997" spans="1:2" x14ac:dyDescent="0.25">
      <c r="A3997" s="1">
        <v>44532</v>
      </c>
      <c r="B3997">
        <v>7.65</v>
      </c>
    </row>
    <row r="3998" spans="1:2" x14ac:dyDescent="0.25">
      <c r="A3998" s="1">
        <v>44533</v>
      </c>
      <c r="B3998">
        <v>7.65</v>
      </c>
    </row>
    <row r="3999" spans="1:2" x14ac:dyDescent="0.25">
      <c r="A3999" s="1">
        <v>44536</v>
      </c>
      <c r="B3999">
        <v>7.65</v>
      </c>
    </row>
    <row r="4000" spans="1:2" x14ac:dyDescent="0.25">
      <c r="A4000" s="1">
        <v>44537</v>
      </c>
      <c r="B4000">
        <v>7.65</v>
      </c>
    </row>
    <row r="4001" spans="1:2" x14ac:dyDescent="0.25">
      <c r="A4001" s="1">
        <v>44538</v>
      </c>
      <c r="B4001">
        <v>7.65</v>
      </c>
    </row>
    <row r="4002" spans="1:2" x14ac:dyDescent="0.25">
      <c r="A4002" s="1">
        <v>44539</v>
      </c>
      <c r="B4002">
        <v>9.15</v>
      </c>
    </row>
    <row r="4003" spans="1:2" x14ac:dyDescent="0.25">
      <c r="A4003" s="1">
        <v>44540</v>
      </c>
      <c r="B4003">
        <v>9.15</v>
      </c>
    </row>
    <row r="4004" spans="1:2" x14ac:dyDescent="0.25">
      <c r="A4004" s="1">
        <v>44543</v>
      </c>
      <c r="B4004">
        <v>9.15</v>
      </c>
    </row>
    <row r="4005" spans="1:2" x14ac:dyDescent="0.25">
      <c r="A4005" s="1">
        <v>44544</v>
      </c>
      <c r="B4005">
        <v>9.15</v>
      </c>
    </row>
    <row r="4006" spans="1:2" x14ac:dyDescent="0.25">
      <c r="A4006" s="1">
        <v>44545</v>
      </c>
      <c r="B4006">
        <v>9.15</v>
      </c>
    </row>
    <row r="4007" spans="1:2" x14ac:dyDescent="0.25">
      <c r="A4007" s="1">
        <v>44546</v>
      </c>
      <c r="B4007">
        <v>9.15</v>
      </c>
    </row>
    <row r="4008" spans="1:2" x14ac:dyDescent="0.25">
      <c r="A4008" s="1">
        <v>44547</v>
      </c>
      <c r="B4008">
        <v>9.15</v>
      </c>
    </row>
    <row r="4009" spans="1:2" x14ac:dyDescent="0.25">
      <c r="A4009" s="1">
        <v>44550</v>
      </c>
      <c r="B4009">
        <v>9.15</v>
      </c>
    </row>
    <row r="4010" spans="1:2" x14ac:dyDescent="0.25">
      <c r="A4010" s="1">
        <v>44551</v>
      </c>
      <c r="B4010">
        <v>9.15</v>
      </c>
    </row>
    <row r="4011" spans="1:2" x14ac:dyDescent="0.25">
      <c r="A4011" s="1">
        <v>44552</v>
      </c>
      <c r="B4011">
        <v>9.15</v>
      </c>
    </row>
    <row r="4012" spans="1:2" x14ac:dyDescent="0.25">
      <c r="A4012" s="1">
        <v>44553</v>
      </c>
      <c r="B4012">
        <v>9.15</v>
      </c>
    </row>
    <row r="4013" spans="1:2" x14ac:dyDescent="0.25">
      <c r="A4013" s="1">
        <v>44554</v>
      </c>
      <c r="B4013">
        <v>9.15</v>
      </c>
    </row>
    <row r="4014" spans="1:2" x14ac:dyDescent="0.25">
      <c r="A4014" s="1">
        <v>44557</v>
      </c>
      <c r="B4014">
        <v>9.15</v>
      </c>
    </row>
    <row r="4015" spans="1:2" x14ac:dyDescent="0.25">
      <c r="A4015" s="1">
        <v>44558</v>
      </c>
      <c r="B4015">
        <v>9.15</v>
      </c>
    </row>
    <row r="4016" spans="1:2" x14ac:dyDescent="0.25">
      <c r="A4016" s="1">
        <v>44559</v>
      </c>
      <c r="B4016">
        <v>9.15</v>
      </c>
    </row>
    <row r="4017" spans="1:2" x14ac:dyDescent="0.25">
      <c r="A4017" s="1">
        <v>44560</v>
      </c>
      <c r="B4017">
        <v>9.15</v>
      </c>
    </row>
    <row r="4018" spans="1:2" x14ac:dyDescent="0.25">
      <c r="A4018" s="1">
        <v>44561</v>
      </c>
      <c r="B4018">
        <v>9.15</v>
      </c>
    </row>
    <row r="4019" spans="1:2" x14ac:dyDescent="0.25">
      <c r="A4019" s="1">
        <v>44564</v>
      </c>
      <c r="B4019">
        <v>9.15</v>
      </c>
    </row>
    <row r="4020" spans="1:2" x14ac:dyDescent="0.25">
      <c r="A4020" s="1">
        <v>44565</v>
      </c>
      <c r="B4020">
        <v>9.15</v>
      </c>
    </row>
    <row r="4021" spans="1:2" x14ac:dyDescent="0.25">
      <c r="A4021" s="1">
        <v>44566</v>
      </c>
      <c r="B4021">
        <v>9.15</v>
      </c>
    </row>
    <row r="4022" spans="1:2" x14ac:dyDescent="0.25">
      <c r="A4022" s="1">
        <v>44567</v>
      </c>
      <c r="B4022">
        <v>9.15</v>
      </c>
    </row>
    <row r="4023" spans="1:2" x14ac:dyDescent="0.25">
      <c r="A4023" s="1">
        <v>44568</v>
      </c>
      <c r="B4023">
        <v>9.15</v>
      </c>
    </row>
    <row r="4024" spans="1:2" x14ac:dyDescent="0.25">
      <c r="A4024" s="1">
        <v>44571</v>
      </c>
      <c r="B4024">
        <v>9.15</v>
      </c>
    </row>
    <row r="4025" spans="1:2" x14ac:dyDescent="0.25">
      <c r="A4025" s="1">
        <v>44572</v>
      </c>
      <c r="B4025">
        <v>9.15</v>
      </c>
    </row>
    <row r="4026" spans="1:2" x14ac:dyDescent="0.25">
      <c r="A4026" s="1">
        <v>44573</v>
      </c>
      <c r="B4026">
        <v>9.15</v>
      </c>
    </row>
    <row r="4027" spans="1:2" x14ac:dyDescent="0.25">
      <c r="A4027" s="1">
        <v>44574</v>
      </c>
      <c r="B4027">
        <v>9.15</v>
      </c>
    </row>
    <row r="4028" spans="1:2" x14ac:dyDescent="0.25">
      <c r="A4028" s="1">
        <v>44575</v>
      </c>
      <c r="B4028">
        <v>9.15</v>
      </c>
    </row>
    <row r="4029" spans="1:2" x14ac:dyDescent="0.25">
      <c r="A4029" s="1">
        <v>44578</v>
      </c>
      <c r="B4029">
        <v>9.15</v>
      </c>
    </row>
    <row r="4030" spans="1:2" x14ac:dyDescent="0.25">
      <c r="A4030" s="1">
        <v>44579</v>
      </c>
      <c r="B4030">
        <v>9.15</v>
      </c>
    </row>
    <row r="4031" spans="1:2" x14ac:dyDescent="0.25">
      <c r="A4031" s="1">
        <v>44580</v>
      </c>
      <c r="B4031">
        <v>9.15</v>
      </c>
    </row>
    <row r="4032" spans="1:2" x14ac:dyDescent="0.25">
      <c r="A4032" s="1">
        <v>44581</v>
      </c>
      <c r="B4032">
        <v>9.15</v>
      </c>
    </row>
    <row r="4033" spans="1:2" x14ac:dyDescent="0.25">
      <c r="A4033" s="1">
        <v>44582</v>
      </c>
      <c r="B4033">
        <v>9.15</v>
      </c>
    </row>
    <row r="4034" spans="1:2" x14ac:dyDescent="0.25">
      <c r="A4034" s="1">
        <v>44585</v>
      </c>
      <c r="B4034">
        <v>9.15</v>
      </c>
    </row>
    <row r="4035" spans="1:2" x14ac:dyDescent="0.25">
      <c r="A4035" s="1">
        <v>44586</v>
      </c>
      <c r="B4035">
        <v>9.15</v>
      </c>
    </row>
    <row r="4036" spans="1:2" x14ac:dyDescent="0.25">
      <c r="A4036" s="1">
        <v>44587</v>
      </c>
      <c r="B4036">
        <v>9.15</v>
      </c>
    </row>
    <row r="4037" spans="1:2" x14ac:dyDescent="0.25">
      <c r="A4037" s="1">
        <v>44588</v>
      </c>
      <c r="B4037">
        <v>9.15</v>
      </c>
    </row>
    <row r="4038" spans="1:2" x14ac:dyDescent="0.25">
      <c r="A4038" s="1">
        <v>44589</v>
      </c>
      <c r="B4038">
        <v>9.15</v>
      </c>
    </row>
    <row r="4039" spans="1:2" x14ac:dyDescent="0.25">
      <c r="A4039" s="1">
        <v>44592</v>
      </c>
      <c r="B4039">
        <v>9.15</v>
      </c>
    </row>
    <row r="4040" spans="1:2" x14ac:dyDescent="0.25">
      <c r="A4040" s="1">
        <v>44593</v>
      </c>
      <c r="B4040">
        <v>9.15</v>
      </c>
    </row>
    <row r="4041" spans="1:2" x14ac:dyDescent="0.25">
      <c r="A4041" s="1">
        <v>44594</v>
      </c>
      <c r="B4041">
        <v>9.15</v>
      </c>
    </row>
    <row r="4042" spans="1:2" x14ac:dyDescent="0.25">
      <c r="A4042" s="1">
        <v>44595</v>
      </c>
      <c r="B4042">
        <v>10.65</v>
      </c>
    </row>
    <row r="4043" spans="1:2" x14ac:dyDescent="0.25">
      <c r="A4043" s="1">
        <v>44596</v>
      </c>
      <c r="B4043">
        <v>10.65</v>
      </c>
    </row>
    <row r="4044" spans="1:2" x14ac:dyDescent="0.25">
      <c r="A4044" s="1">
        <v>44599</v>
      </c>
      <c r="B4044">
        <v>10.65</v>
      </c>
    </row>
    <row r="4045" spans="1:2" x14ac:dyDescent="0.25">
      <c r="A4045" s="1">
        <v>44600</v>
      </c>
      <c r="B4045">
        <v>10.65</v>
      </c>
    </row>
    <row r="4046" spans="1:2" x14ac:dyDescent="0.25">
      <c r="A4046" s="1">
        <v>44601</v>
      </c>
      <c r="B4046">
        <v>10.65</v>
      </c>
    </row>
    <row r="4047" spans="1:2" x14ac:dyDescent="0.25">
      <c r="A4047" s="1">
        <v>44602</v>
      </c>
      <c r="B4047">
        <v>10.65</v>
      </c>
    </row>
    <row r="4048" spans="1:2" x14ac:dyDescent="0.25">
      <c r="A4048" s="1">
        <v>44603</v>
      </c>
      <c r="B4048">
        <v>10.65</v>
      </c>
    </row>
    <row r="4049" spans="1:2" x14ac:dyDescent="0.25">
      <c r="A4049" s="1">
        <v>44606</v>
      </c>
      <c r="B4049">
        <v>10.65</v>
      </c>
    </row>
    <row r="4050" spans="1:2" x14ac:dyDescent="0.25">
      <c r="A4050" s="1">
        <v>44607</v>
      </c>
      <c r="B4050">
        <v>10.65</v>
      </c>
    </row>
    <row r="4051" spans="1:2" x14ac:dyDescent="0.25">
      <c r="A4051" s="1">
        <v>44608</v>
      </c>
      <c r="B4051">
        <v>10.65</v>
      </c>
    </row>
    <row r="4052" spans="1:2" x14ac:dyDescent="0.25">
      <c r="A4052" s="1">
        <v>44609</v>
      </c>
      <c r="B4052">
        <v>10.65</v>
      </c>
    </row>
    <row r="4053" spans="1:2" x14ac:dyDescent="0.25">
      <c r="A4053" s="1">
        <v>44610</v>
      </c>
      <c r="B4053">
        <v>10.65</v>
      </c>
    </row>
    <row r="4054" spans="1:2" x14ac:dyDescent="0.25">
      <c r="A4054" s="1">
        <v>44613</v>
      </c>
      <c r="B4054">
        <v>10.65</v>
      </c>
    </row>
    <row r="4055" spans="1:2" x14ac:dyDescent="0.25">
      <c r="A4055" s="1">
        <v>44614</v>
      </c>
      <c r="B4055">
        <v>10.65</v>
      </c>
    </row>
    <row r="4056" spans="1:2" x14ac:dyDescent="0.25">
      <c r="A4056" s="1">
        <v>44615</v>
      </c>
      <c r="B4056">
        <v>10.65</v>
      </c>
    </row>
    <row r="4057" spans="1:2" x14ac:dyDescent="0.25">
      <c r="A4057" s="1">
        <v>44616</v>
      </c>
      <c r="B4057">
        <v>10.65</v>
      </c>
    </row>
    <row r="4058" spans="1:2" x14ac:dyDescent="0.25">
      <c r="A4058" s="1">
        <v>44617</v>
      </c>
      <c r="B4058">
        <v>10.65</v>
      </c>
    </row>
    <row r="4059" spans="1:2" x14ac:dyDescent="0.25">
      <c r="A4059" s="1">
        <v>44622</v>
      </c>
      <c r="B4059">
        <v>10.65</v>
      </c>
    </row>
    <row r="4060" spans="1:2" x14ac:dyDescent="0.25">
      <c r="A4060" s="1">
        <v>44623</v>
      </c>
      <c r="B4060">
        <v>10.65</v>
      </c>
    </row>
    <row r="4061" spans="1:2" x14ac:dyDescent="0.25">
      <c r="A4061" s="1">
        <v>44624</v>
      </c>
      <c r="B4061">
        <v>10.65</v>
      </c>
    </row>
    <row r="4062" spans="1:2" x14ac:dyDescent="0.25">
      <c r="A4062" s="1">
        <v>44627</v>
      </c>
      <c r="B4062">
        <v>10.65</v>
      </c>
    </row>
    <row r="4063" spans="1:2" x14ac:dyDescent="0.25">
      <c r="A4063" s="1">
        <v>44628</v>
      </c>
      <c r="B4063">
        <v>10.65</v>
      </c>
    </row>
    <row r="4064" spans="1:2" x14ac:dyDescent="0.25">
      <c r="A4064" s="1">
        <v>44629</v>
      </c>
      <c r="B4064">
        <v>10.65</v>
      </c>
    </row>
    <row r="4065" spans="1:2" x14ac:dyDescent="0.25">
      <c r="A4065" s="1">
        <v>44630</v>
      </c>
      <c r="B4065">
        <v>10.65</v>
      </c>
    </row>
    <row r="4066" spans="1:2" x14ac:dyDescent="0.25">
      <c r="A4066" s="1">
        <v>44631</v>
      </c>
      <c r="B4066">
        <v>10.65</v>
      </c>
    </row>
    <row r="4067" spans="1:2" x14ac:dyDescent="0.25">
      <c r="A4067" s="1">
        <v>44634</v>
      </c>
      <c r="B4067">
        <v>10.65</v>
      </c>
    </row>
    <row r="4068" spans="1:2" x14ac:dyDescent="0.25">
      <c r="A4068" s="1">
        <v>44635</v>
      </c>
      <c r="B4068">
        <v>10.65</v>
      </c>
    </row>
    <row r="4069" spans="1:2" x14ac:dyDescent="0.25">
      <c r="A4069" s="1">
        <v>44636</v>
      </c>
      <c r="B4069">
        <v>10.65</v>
      </c>
    </row>
    <row r="4070" spans="1:2" x14ac:dyDescent="0.25">
      <c r="A4070" s="1">
        <v>44637</v>
      </c>
      <c r="B4070">
        <v>11.65</v>
      </c>
    </row>
    <row r="4071" spans="1:2" x14ac:dyDescent="0.25">
      <c r="A4071" s="1">
        <v>44638</v>
      </c>
      <c r="B4071">
        <v>11.65</v>
      </c>
    </row>
    <row r="4072" spans="1:2" x14ac:dyDescent="0.25">
      <c r="A4072" s="1">
        <v>44641</v>
      </c>
      <c r="B4072">
        <v>11.65</v>
      </c>
    </row>
    <row r="4073" spans="1:2" x14ac:dyDescent="0.25">
      <c r="A4073" s="1">
        <v>44642</v>
      </c>
      <c r="B4073">
        <v>11.65</v>
      </c>
    </row>
    <row r="4074" spans="1:2" x14ac:dyDescent="0.25">
      <c r="A4074" s="1">
        <v>44643</v>
      </c>
      <c r="B4074">
        <v>11.65</v>
      </c>
    </row>
    <row r="4075" spans="1:2" x14ac:dyDescent="0.25">
      <c r="A4075" s="1">
        <v>44644</v>
      </c>
      <c r="B4075">
        <v>11.65</v>
      </c>
    </row>
    <row r="4076" spans="1:2" x14ac:dyDescent="0.25">
      <c r="A4076" s="1">
        <v>44645</v>
      </c>
      <c r="B4076">
        <v>11.65</v>
      </c>
    </row>
    <row r="4077" spans="1:2" x14ac:dyDescent="0.25">
      <c r="A4077" s="1">
        <v>44648</v>
      </c>
      <c r="B4077">
        <v>11.65</v>
      </c>
    </row>
    <row r="4078" spans="1:2" x14ac:dyDescent="0.25">
      <c r="A4078" s="1">
        <v>44649</v>
      </c>
      <c r="B4078">
        <v>11.65</v>
      </c>
    </row>
    <row r="4079" spans="1:2" x14ac:dyDescent="0.25">
      <c r="A4079" s="1">
        <v>44650</v>
      </c>
      <c r="B4079">
        <v>11.65</v>
      </c>
    </row>
    <row r="4080" spans="1:2" x14ac:dyDescent="0.25">
      <c r="A4080" s="1">
        <v>44651</v>
      </c>
      <c r="B4080">
        <v>11.65</v>
      </c>
    </row>
    <row r="4081" spans="1:2" x14ac:dyDescent="0.25">
      <c r="A4081" s="1">
        <v>44652</v>
      </c>
      <c r="B4081">
        <v>11.65</v>
      </c>
    </row>
    <row r="4082" spans="1:2" x14ac:dyDescent="0.25">
      <c r="A4082" s="1">
        <v>44655</v>
      </c>
      <c r="B4082">
        <v>11.65</v>
      </c>
    </row>
    <row r="4083" spans="1:2" x14ac:dyDescent="0.25">
      <c r="A4083" s="1">
        <v>44656</v>
      </c>
      <c r="B4083">
        <v>11.65</v>
      </c>
    </row>
    <row r="4084" spans="1:2" x14ac:dyDescent="0.25">
      <c r="A4084" s="1">
        <v>44657</v>
      </c>
      <c r="B4084">
        <v>11.65</v>
      </c>
    </row>
    <row r="4085" spans="1:2" x14ac:dyDescent="0.25">
      <c r="A4085" s="1">
        <v>44658</v>
      </c>
      <c r="B4085">
        <v>11.65</v>
      </c>
    </row>
    <row r="4086" spans="1:2" x14ac:dyDescent="0.25">
      <c r="A4086" s="1">
        <v>44659</v>
      </c>
      <c r="B4086">
        <v>11.65</v>
      </c>
    </row>
    <row r="4087" spans="1:2" x14ac:dyDescent="0.25">
      <c r="A4087" s="1">
        <v>44662</v>
      </c>
      <c r="B4087">
        <v>11.65</v>
      </c>
    </row>
    <row r="4088" spans="1:2" x14ac:dyDescent="0.25">
      <c r="A4088" s="1">
        <v>44663</v>
      </c>
      <c r="B4088">
        <v>11.65</v>
      </c>
    </row>
    <row r="4089" spans="1:2" x14ac:dyDescent="0.25">
      <c r="A4089" s="1">
        <v>44664</v>
      </c>
      <c r="B4089">
        <v>11.65</v>
      </c>
    </row>
    <row r="4090" spans="1:2" x14ac:dyDescent="0.25">
      <c r="A4090" s="1">
        <v>44665</v>
      </c>
      <c r="B4090">
        <v>11.65</v>
      </c>
    </row>
    <row r="4091" spans="1:2" x14ac:dyDescent="0.25">
      <c r="A4091" s="1">
        <v>44669</v>
      </c>
      <c r="B4091">
        <v>11.65</v>
      </c>
    </row>
    <row r="4092" spans="1:2" x14ac:dyDescent="0.25">
      <c r="A4092" s="1">
        <v>44670</v>
      </c>
      <c r="B4092">
        <v>11.65</v>
      </c>
    </row>
    <row r="4093" spans="1:2" x14ac:dyDescent="0.25">
      <c r="A4093" s="1">
        <v>44671</v>
      </c>
      <c r="B4093">
        <v>11.65</v>
      </c>
    </row>
    <row r="4094" spans="1:2" x14ac:dyDescent="0.25">
      <c r="A4094" s="1">
        <v>44673</v>
      </c>
      <c r="B4094">
        <v>11.65</v>
      </c>
    </row>
    <row r="4095" spans="1:2" x14ac:dyDescent="0.25">
      <c r="A4095" s="1">
        <v>44676</v>
      </c>
      <c r="B4095">
        <v>11.65</v>
      </c>
    </row>
    <row r="4096" spans="1:2" x14ac:dyDescent="0.25">
      <c r="A4096" s="1">
        <v>44677</v>
      </c>
      <c r="B4096">
        <v>11.65</v>
      </c>
    </row>
    <row r="4097" spans="1:2" x14ac:dyDescent="0.25">
      <c r="A4097" s="1">
        <v>44678</v>
      </c>
      <c r="B4097">
        <v>11.65</v>
      </c>
    </row>
    <row r="4098" spans="1:2" x14ac:dyDescent="0.25">
      <c r="A4098" s="1">
        <v>44679</v>
      </c>
      <c r="B4098">
        <v>11.65</v>
      </c>
    </row>
    <row r="4099" spans="1:2" x14ac:dyDescent="0.25">
      <c r="A4099" s="1">
        <v>44680</v>
      </c>
      <c r="B4099">
        <v>11.65</v>
      </c>
    </row>
    <row r="4100" spans="1:2" x14ac:dyDescent="0.25">
      <c r="A4100" s="1">
        <v>44683</v>
      </c>
      <c r="B4100">
        <v>11.65</v>
      </c>
    </row>
    <row r="4101" spans="1:2" x14ac:dyDescent="0.25">
      <c r="A4101" s="1">
        <v>44684</v>
      </c>
      <c r="B4101">
        <v>11.65</v>
      </c>
    </row>
    <row r="4102" spans="1:2" x14ac:dyDescent="0.25">
      <c r="A4102" s="1">
        <v>44685</v>
      </c>
      <c r="B4102">
        <v>11.65</v>
      </c>
    </row>
    <row r="4103" spans="1:2" x14ac:dyDescent="0.25">
      <c r="A4103" s="1">
        <v>44686</v>
      </c>
      <c r="B4103">
        <v>12.65</v>
      </c>
    </row>
    <row r="4104" spans="1:2" x14ac:dyDescent="0.25">
      <c r="A4104" s="1">
        <v>44687</v>
      </c>
      <c r="B4104">
        <v>12.65</v>
      </c>
    </row>
    <row r="4105" spans="1:2" x14ac:dyDescent="0.25">
      <c r="A4105" s="1">
        <v>44690</v>
      </c>
      <c r="B4105">
        <v>12.65</v>
      </c>
    </row>
    <row r="4106" spans="1:2" x14ac:dyDescent="0.25">
      <c r="A4106" s="1">
        <v>44691</v>
      </c>
      <c r="B4106">
        <v>12.65</v>
      </c>
    </row>
    <row r="4107" spans="1:2" x14ac:dyDescent="0.25">
      <c r="A4107" s="1">
        <v>44692</v>
      </c>
      <c r="B4107">
        <v>12.65</v>
      </c>
    </row>
    <row r="4108" spans="1:2" x14ac:dyDescent="0.25">
      <c r="A4108" s="1">
        <v>44693</v>
      </c>
      <c r="B4108">
        <v>12.65</v>
      </c>
    </row>
    <row r="4109" spans="1:2" x14ac:dyDescent="0.25">
      <c r="A4109" s="1">
        <v>44694</v>
      </c>
      <c r="B4109">
        <v>12.65</v>
      </c>
    </row>
    <row r="4110" spans="1:2" x14ac:dyDescent="0.25">
      <c r="A4110" s="1">
        <v>44697</v>
      </c>
      <c r="B4110">
        <v>12.65</v>
      </c>
    </row>
    <row r="4111" spans="1:2" x14ac:dyDescent="0.25">
      <c r="A4111" s="1">
        <v>44698</v>
      </c>
      <c r="B4111">
        <v>12.65</v>
      </c>
    </row>
    <row r="4112" spans="1:2" x14ac:dyDescent="0.25">
      <c r="A4112" s="1">
        <v>44699</v>
      </c>
      <c r="B4112">
        <v>12.65</v>
      </c>
    </row>
    <row r="4113" spans="1:2" x14ac:dyDescent="0.25">
      <c r="A4113" s="1">
        <v>44700</v>
      </c>
      <c r="B4113">
        <v>12.65</v>
      </c>
    </row>
    <row r="4114" spans="1:2" x14ac:dyDescent="0.25">
      <c r="A4114" s="1">
        <v>44701</v>
      </c>
      <c r="B4114">
        <v>12.65</v>
      </c>
    </row>
    <row r="4115" spans="1:2" x14ac:dyDescent="0.25">
      <c r="A4115" s="1">
        <v>44704</v>
      </c>
      <c r="B4115">
        <v>12.65</v>
      </c>
    </row>
    <row r="4116" spans="1:2" x14ac:dyDescent="0.25">
      <c r="A4116" s="1">
        <v>44705</v>
      </c>
      <c r="B4116">
        <v>12.65</v>
      </c>
    </row>
    <row r="4117" spans="1:2" x14ac:dyDescent="0.25">
      <c r="A4117" s="1">
        <v>44706</v>
      </c>
      <c r="B4117">
        <v>12.65</v>
      </c>
    </row>
    <row r="4118" spans="1:2" x14ac:dyDescent="0.25">
      <c r="A4118" s="1">
        <v>44707</v>
      </c>
      <c r="B4118">
        <v>12.65</v>
      </c>
    </row>
    <row r="4119" spans="1:2" x14ac:dyDescent="0.25">
      <c r="A4119" s="1">
        <v>44708</v>
      </c>
      <c r="B4119">
        <v>12.65</v>
      </c>
    </row>
    <row r="4120" spans="1:2" x14ac:dyDescent="0.25">
      <c r="A4120" s="1">
        <v>44711</v>
      </c>
      <c r="B4120">
        <v>12.65</v>
      </c>
    </row>
    <row r="4121" spans="1:2" x14ac:dyDescent="0.25">
      <c r="A4121" s="1">
        <v>44712</v>
      </c>
      <c r="B4121">
        <v>12.65</v>
      </c>
    </row>
    <row r="4122" spans="1:2" x14ac:dyDescent="0.25">
      <c r="A4122" s="1">
        <v>44713</v>
      </c>
      <c r="B4122">
        <v>12.65</v>
      </c>
    </row>
    <row r="4123" spans="1:2" x14ac:dyDescent="0.25">
      <c r="A4123" s="1">
        <v>44714</v>
      </c>
      <c r="B4123">
        <v>12.65</v>
      </c>
    </row>
    <row r="4124" spans="1:2" x14ac:dyDescent="0.25">
      <c r="A4124" s="1">
        <v>44715</v>
      </c>
      <c r="B4124">
        <v>12.65</v>
      </c>
    </row>
    <row r="4125" spans="1:2" x14ac:dyDescent="0.25">
      <c r="A4125" s="1">
        <v>44718</v>
      </c>
      <c r="B4125">
        <v>12.65</v>
      </c>
    </row>
    <row r="4126" spans="1:2" x14ac:dyDescent="0.25">
      <c r="A4126" s="1">
        <v>44719</v>
      </c>
      <c r="B4126">
        <v>12.65</v>
      </c>
    </row>
    <row r="4127" spans="1:2" x14ac:dyDescent="0.25">
      <c r="A4127" s="1">
        <v>44720</v>
      </c>
      <c r="B4127">
        <v>12.65</v>
      </c>
    </row>
    <row r="4128" spans="1:2" x14ac:dyDescent="0.25">
      <c r="A4128" s="1">
        <v>44721</v>
      </c>
      <c r="B4128">
        <v>12.65</v>
      </c>
    </row>
    <row r="4129" spans="1:2" x14ac:dyDescent="0.25">
      <c r="A4129" s="1">
        <v>44722</v>
      </c>
      <c r="B4129">
        <v>12.65</v>
      </c>
    </row>
    <row r="4130" spans="1:2" x14ac:dyDescent="0.25">
      <c r="A4130" s="1">
        <v>44725</v>
      </c>
      <c r="B4130">
        <v>12.65</v>
      </c>
    </row>
    <row r="4131" spans="1:2" x14ac:dyDescent="0.25">
      <c r="A4131" s="1">
        <v>44726</v>
      </c>
      <c r="B4131">
        <v>12.65</v>
      </c>
    </row>
    <row r="4132" spans="1:2" x14ac:dyDescent="0.25">
      <c r="A4132" s="1">
        <v>44727</v>
      </c>
      <c r="B4132">
        <v>12.65</v>
      </c>
    </row>
    <row r="4133" spans="1:2" x14ac:dyDescent="0.25">
      <c r="A4133" s="1">
        <v>44729</v>
      </c>
      <c r="B4133">
        <v>13.15</v>
      </c>
    </row>
    <row r="4134" spans="1:2" x14ac:dyDescent="0.25">
      <c r="A4134" s="1">
        <v>44732</v>
      </c>
      <c r="B4134">
        <v>13.15</v>
      </c>
    </row>
    <row r="4135" spans="1:2" x14ac:dyDescent="0.25">
      <c r="A4135" s="1">
        <v>44733</v>
      </c>
      <c r="B4135">
        <v>13.15</v>
      </c>
    </row>
    <row r="4136" spans="1:2" x14ac:dyDescent="0.25">
      <c r="A4136" s="1">
        <v>44734</v>
      </c>
      <c r="B4136">
        <v>13.15</v>
      </c>
    </row>
    <row r="4137" spans="1:2" x14ac:dyDescent="0.25">
      <c r="A4137" s="1">
        <v>44735</v>
      </c>
      <c r="B4137">
        <v>13.15</v>
      </c>
    </row>
    <row r="4138" spans="1:2" x14ac:dyDescent="0.25">
      <c r="A4138" s="1">
        <v>44736</v>
      </c>
      <c r="B4138">
        <v>13.15</v>
      </c>
    </row>
    <row r="4139" spans="1:2" x14ac:dyDescent="0.25">
      <c r="A4139" s="1">
        <v>44739</v>
      </c>
      <c r="B4139">
        <v>13.15</v>
      </c>
    </row>
    <row r="4140" spans="1:2" x14ac:dyDescent="0.25">
      <c r="A4140" s="1">
        <v>44740</v>
      </c>
      <c r="B4140">
        <v>13.15</v>
      </c>
    </row>
    <row r="4141" spans="1:2" x14ac:dyDescent="0.25">
      <c r="A4141" s="1">
        <v>44741</v>
      </c>
      <c r="B4141">
        <v>13.15</v>
      </c>
    </row>
    <row r="4142" spans="1:2" x14ac:dyDescent="0.25">
      <c r="A4142" s="1">
        <v>44742</v>
      </c>
      <c r="B4142">
        <v>13.15</v>
      </c>
    </row>
    <row r="4143" spans="1:2" x14ac:dyDescent="0.25">
      <c r="A4143" s="1">
        <v>44743</v>
      </c>
      <c r="B4143">
        <v>13.15</v>
      </c>
    </row>
    <row r="4144" spans="1:2" x14ac:dyDescent="0.25">
      <c r="A4144" s="1">
        <v>44746</v>
      </c>
      <c r="B4144">
        <v>13.15</v>
      </c>
    </row>
    <row r="4145" spans="1:2" x14ac:dyDescent="0.25">
      <c r="A4145" s="1">
        <v>44747</v>
      </c>
      <c r="B4145">
        <v>13.15</v>
      </c>
    </row>
    <row r="4146" spans="1:2" x14ac:dyDescent="0.25">
      <c r="A4146" s="1">
        <v>44748</v>
      </c>
      <c r="B4146">
        <v>13.15</v>
      </c>
    </row>
    <row r="4147" spans="1:2" x14ac:dyDescent="0.25">
      <c r="A4147" s="1">
        <v>44749</v>
      </c>
      <c r="B4147">
        <v>13.15</v>
      </c>
    </row>
    <row r="4148" spans="1:2" x14ac:dyDescent="0.25">
      <c r="A4148" s="1">
        <v>44750</v>
      </c>
      <c r="B4148">
        <v>13.15</v>
      </c>
    </row>
    <row r="4149" spans="1:2" x14ac:dyDescent="0.25">
      <c r="A4149" s="1">
        <v>44753</v>
      </c>
      <c r="B4149">
        <v>13.15</v>
      </c>
    </row>
    <row r="4150" spans="1:2" x14ac:dyDescent="0.25">
      <c r="A4150" s="1">
        <v>44754</v>
      </c>
      <c r="B4150">
        <v>13.15</v>
      </c>
    </row>
    <row r="4151" spans="1:2" x14ac:dyDescent="0.25">
      <c r="A4151" s="1">
        <v>44755</v>
      </c>
      <c r="B4151">
        <v>13.15</v>
      </c>
    </row>
    <row r="4152" spans="1:2" x14ac:dyDescent="0.25">
      <c r="A4152" s="1">
        <v>44756</v>
      </c>
      <c r="B4152">
        <v>13.15</v>
      </c>
    </row>
    <row r="4153" spans="1:2" x14ac:dyDescent="0.25">
      <c r="A4153" s="1">
        <v>44757</v>
      </c>
      <c r="B4153">
        <v>13.15</v>
      </c>
    </row>
    <row r="4154" spans="1:2" x14ac:dyDescent="0.25">
      <c r="A4154" s="1">
        <v>44760</v>
      </c>
      <c r="B4154">
        <v>13.15</v>
      </c>
    </row>
    <row r="4155" spans="1:2" x14ac:dyDescent="0.25">
      <c r="A4155" s="1">
        <v>44761</v>
      </c>
      <c r="B4155">
        <v>13.15</v>
      </c>
    </row>
    <row r="4156" spans="1:2" x14ac:dyDescent="0.25">
      <c r="A4156" s="1">
        <v>44762</v>
      </c>
      <c r="B4156">
        <v>13.15</v>
      </c>
    </row>
    <row r="4157" spans="1:2" x14ac:dyDescent="0.25">
      <c r="A4157" s="1">
        <v>44763</v>
      </c>
      <c r="B4157">
        <v>13.15</v>
      </c>
    </row>
    <row r="4158" spans="1:2" x14ac:dyDescent="0.25">
      <c r="A4158" s="1">
        <v>44764</v>
      </c>
      <c r="B4158">
        <v>13.15</v>
      </c>
    </row>
    <row r="4159" spans="1:2" x14ac:dyDescent="0.25">
      <c r="A4159" s="1">
        <v>44767</v>
      </c>
      <c r="B4159">
        <v>13.15</v>
      </c>
    </row>
    <row r="4160" spans="1:2" x14ac:dyDescent="0.25">
      <c r="A4160" s="1">
        <v>44768</v>
      </c>
      <c r="B4160">
        <v>13.15</v>
      </c>
    </row>
    <row r="4161" spans="1:2" x14ac:dyDescent="0.25">
      <c r="A4161" s="1">
        <v>44769</v>
      </c>
      <c r="B4161">
        <v>13.15</v>
      </c>
    </row>
    <row r="4162" spans="1:2" x14ac:dyDescent="0.25">
      <c r="A4162" s="1">
        <v>44770</v>
      </c>
      <c r="B4162">
        <v>13.15</v>
      </c>
    </row>
    <row r="4163" spans="1:2" x14ac:dyDescent="0.25">
      <c r="A4163" s="1">
        <v>44771</v>
      </c>
      <c r="B4163">
        <v>13.15</v>
      </c>
    </row>
    <row r="4164" spans="1:2" x14ac:dyDescent="0.25">
      <c r="A4164" s="1">
        <v>44774</v>
      </c>
      <c r="B4164">
        <v>13.15</v>
      </c>
    </row>
    <row r="4165" spans="1:2" x14ac:dyDescent="0.25">
      <c r="A4165" s="1">
        <v>44775</v>
      </c>
      <c r="B4165">
        <v>13.15</v>
      </c>
    </row>
    <row r="4166" spans="1:2" x14ac:dyDescent="0.25">
      <c r="A4166" s="1">
        <v>44776</v>
      </c>
      <c r="B4166">
        <v>13.15</v>
      </c>
    </row>
    <row r="4167" spans="1:2" x14ac:dyDescent="0.25">
      <c r="A4167" s="1">
        <v>44777</v>
      </c>
      <c r="B4167">
        <v>13.65</v>
      </c>
    </row>
    <row r="4168" spans="1:2" x14ac:dyDescent="0.25">
      <c r="A4168" s="1">
        <v>44778</v>
      </c>
      <c r="B4168">
        <v>13.65</v>
      </c>
    </row>
    <row r="4169" spans="1:2" x14ac:dyDescent="0.25">
      <c r="A4169" s="1">
        <v>44781</v>
      </c>
      <c r="B4169">
        <v>13.65</v>
      </c>
    </row>
    <row r="4170" spans="1:2" x14ac:dyDescent="0.25">
      <c r="A4170" s="1">
        <v>44782</v>
      </c>
      <c r="B4170">
        <v>13.65</v>
      </c>
    </row>
    <row r="4171" spans="1:2" x14ac:dyDescent="0.25">
      <c r="A4171" s="1">
        <v>44783</v>
      </c>
      <c r="B4171">
        <v>13.65</v>
      </c>
    </row>
    <row r="4172" spans="1:2" x14ac:dyDescent="0.25">
      <c r="A4172" s="1">
        <v>44784</v>
      </c>
      <c r="B4172">
        <v>13.65</v>
      </c>
    </row>
    <row r="4173" spans="1:2" x14ac:dyDescent="0.25">
      <c r="A4173" s="1">
        <v>44785</v>
      </c>
      <c r="B4173">
        <v>13.65</v>
      </c>
    </row>
    <row r="4174" spans="1:2" x14ac:dyDescent="0.25">
      <c r="A4174" s="1">
        <v>44788</v>
      </c>
      <c r="B4174">
        <v>13.65</v>
      </c>
    </row>
    <row r="4175" spans="1:2" x14ac:dyDescent="0.25">
      <c r="A4175" s="1">
        <v>44789</v>
      </c>
      <c r="B4175">
        <v>13.65</v>
      </c>
    </row>
    <row r="4176" spans="1:2" x14ac:dyDescent="0.25">
      <c r="A4176" s="1">
        <v>44790</v>
      </c>
      <c r="B4176">
        <v>13.65</v>
      </c>
    </row>
    <row r="4177" spans="1:2" x14ac:dyDescent="0.25">
      <c r="A4177" s="1">
        <v>44791</v>
      </c>
      <c r="B4177">
        <v>13.65</v>
      </c>
    </row>
    <row r="4178" spans="1:2" x14ac:dyDescent="0.25">
      <c r="A4178" s="1">
        <v>44792</v>
      </c>
      <c r="B4178">
        <v>13.65</v>
      </c>
    </row>
    <row r="4179" spans="1:2" x14ac:dyDescent="0.25">
      <c r="A4179" s="1">
        <v>44795</v>
      </c>
      <c r="B4179">
        <v>13.65</v>
      </c>
    </row>
    <row r="4180" spans="1:2" x14ac:dyDescent="0.25">
      <c r="A4180" s="1">
        <v>44796</v>
      </c>
      <c r="B4180">
        <v>13.65</v>
      </c>
    </row>
    <row r="4181" spans="1:2" x14ac:dyDescent="0.25">
      <c r="A4181" s="1">
        <v>44797</v>
      </c>
      <c r="B4181">
        <v>13.65</v>
      </c>
    </row>
    <row r="4182" spans="1:2" x14ac:dyDescent="0.25">
      <c r="A4182" s="1">
        <v>44798</v>
      </c>
      <c r="B4182">
        <v>13.65</v>
      </c>
    </row>
    <row r="4183" spans="1:2" x14ac:dyDescent="0.25">
      <c r="A4183" s="1">
        <v>44799</v>
      </c>
      <c r="B4183">
        <v>13.65</v>
      </c>
    </row>
    <row r="4184" spans="1:2" x14ac:dyDescent="0.25">
      <c r="A4184" s="1">
        <v>44802</v>
      </c>
      <c r="B4184">
        <v>13.65</v>
      </c>
    </row>
    <row r="4185" spans="1:2" x14ac:dyDescent="0.25">
      <c r="A4185" s="1">
        <v>44803</v>
      </c>
      <c r="B4185">
        <v>13.65</v>
      </c>
    </row>
    <row r="4186" spans="1:2" x14ac:dyDescent="0.25">
      <c r="A4186" s="1">
        <v>44804</v>
      </c>
      <c r="B4186">
        <v>13.65</v>
      </c>
    </row>
    <row r="4187" spans="1:2" x14ac:dyDescent="0.25">
      <c r="A4187" s="1">
        <v>44805</v>
      </c>
      <c r="B4187">
        <v>13.65</v>
      </c>
    </row>
    <row r="4188" spans="1:2" x14ac:dyDescent="0.25">
      <c r="A4188" s="1">
        <v>44806</v>
      </c>
      <c r="B4188">
        <v>13.65</v>
      </c>
    </row>
    <row r="4189" spans="1:2" x14ac:dyDescent="0.25">
      <c r="A4189" s="1">
        <v>44809</v>
      </c>
      <c r="B4189">
        <v>13.65</v>
      </c>
    </row>
    <row r="4190" spans="1:2" x14ac:dyDescent="0.25">
      <c r="A4190" s="1">
        <v>44810</v>
      </c>
      <c r="B4190">
        <v>13.65</v>
      </c>
    </row>
    <row r="4191" spans="1:2" x14ac:dyDescent="0.25">
      <c r="A4191" s="1">
        <v>44812</v>
      </c>
      <c r="B4191">
        <v>13.65</v>
      </c>
    </row>
    <row r="4192" spans="1:2" x14ac:dyDescent="0.25">
      <c r="A4192" s="1">
        <v>44813</v>
      </c>
      <c r="B4192">
        <v>13.65</v>
      </c>
    </row>
    <row r="4193" spans="1:2" x14ac:dyDescent="0.25">
      <c r="A4193" s="1">
        <v>44816</v>
      </c>
      <c r="B4193">
        <v>13.65</v>
      </c>
    </row>
    <row r="4194" spans="1:2" x14ac:dyDescent="0.25">
      <c r="A4194" s="1">
        <v>44817</v>
      </c>
      <c r="B4194">
        <v>13.65</v>
      </c>
    </row>
    <row r="4195" spans="1:2" x14ac:dyDescent="0.25">
      <c r="A4195" s="1">
        <v>44818</v>
      </c>
      <c r="B4195">
        <v>13.65</v>
      </c>
    </row>
    <row r="4196" spans="1:2" x14ac:dyDescent="0.25">
      <c r="A4196" s="1">
        <v>44819</v>
      </c>
      <c r="B4196">
        <v>13.65</v>
      </c>
    </row>
    <row r="4197" spans="1:2" x14ac:dyDescent="0.25">
      <c r="A4197" s="1">
        <v>44820</v>
      </c>
      <c r="B4197">
        <v>13.65</v>
      </c>
    </row>
    <row r="4198" spans="1:2" x14ac:dyDescent="0.25">
      <c r="A4198" s="1">
        <v>44823</v>
      </c>
      <c r="B4198">
        <v>13.65</v>
      </c>
    </row>
    <row r="4199" spans="1:2" x14ac:dyDescent="0.25">
      <c r="A4199" s="1">
        <v>44824</v>
      </c>
      <c r="B4199">
        <v>13.65</v>
      </c>
    </row>
    <row r="4200" spans="1:2" x14ac:dyDescent="0.25">
      <c r="A4200" s="1">
        <v>44825</v>
      </c>
      <c r="B4200">
        <v>13.65</v>
      </c>
    </row>
    <row r="4201" spans="1:2" x14ac:dyDescent="0.25">
      <c r="A4201" s="1">
        <v>44826</v>
      </c>
      <c r="B4201">
        <v>13.65</v>
      </c>
    </row>
    <row r="4202" spans="1:2" x14ac:dyDescent="0.25">
      <c r="A4202" s="1">
        <v>44827</v>
      </c>
      <c r="B4202">
        <v>13.65</v>
      </c>
    </row>
    <row r="4203" spans="1:2" x14ac:dyDescent="0.25">
      <c r="A4203" s="1">
        <v>44830</v>
      </c>
      <c r="B4203">
        <v>13.65</v>
      </c>
    </row>
    <row r="4204" spans="1:2" x14ac:dyDescent="0.25">
      <c r="A4204" s="1">
        <v>44831</v>
      </c>
      <c r="B4204">
        <v>13.65</v>
      </c>
    </row>
    <row r="4205" spans="1:2" x14ac:dyDescent="0.25">
      <c r="A4205" s="1">
        <v>44832</v>
      </c>
      <c r="B4205">
        <v>13.65</v>
      </c>
    </row>
    <row r="4206" spans="1:2" x14ac:dyDescent="0.25">
      <c r="A4206" s="1">
        <v>44833</v>
      </c>
      <c r="B4206">
        <v>13.65</v>
      </c>
    </row>
    <row r="4207" spans="1:2" x14ac:dyDescent="0.25">
      <c r="A4207" s="1">
        <v>44834</v>
      </c>
      <c r="B4207">
        <v>13.65</v>
      </c>
    </row>
    <row r="4208" spans="1:2" x14ac:dyDescent="0.25">
      <c r="A4208" s="1">
        <v>44837</v>
      </c>
      <c r="B4208">
        <v>13.65</v>
      </c>
    </row>
    <row r="4209" spans="1:2" x14ac:dyDescent="0.25">
      <c r="A4209" s="1">
        <v>44838</v>
      </c>
      <c r="B4209">
        <v>13.65</v>
      </c>
    </row>
    <row r="4210" spans="1:2" x14ac:dyDescent="0.25">
      <c r="A4210" s="1">
        <v>44839</v>
      </c>
      <c r="B4210">
        <v>13.65</v>
      </c>
    </row>
    <row r="4211" spans="1:2" x14ac:dyDescent="0.25">
      <c r="A4211" s="1">
        <v>44840</v>
      </c>
      <c r="B4211">
        <v>13.65</v>
      </c>
    </row>
    <row r="4212" spans="1:2" x14ac:dyDescent="0.25">
      <c r="A4212" s="1">
        <v>44841</v>
      </c>
      <c r="B4212">
        <v>13.65</v>
      </c>
    </row>
    <row r="4213" spans="1:2" x14ac:dyDescent="0.25">
      <c r="A4213" s="1">
        <v>44844</v>
      </c>
      <c r="B4213">
        <v>13.65</v>
      </c>
    </row>
    <row r="4214" spans="1:2" x14ac:dyDescent="0.25">
      <c r="A4214" s="1">
        <v>44845</v>
      </c>
      <c r="B4214">
        <v>13.65</v>
      </c>
    </row>
    <row r="4215" spans="1:2" x14ac:dyDescent="0.25">
      <c r="A4215" s="1">
        <v>44847</v>
      </c>
      <c r="B4215">
        <v>13.65</v>
      </c>
    </row>
    <row r="4216" spans="1:2" x14ac:dyDescent="0.25">
      <c r="A4216" s="1">
        <v>44848</v>
      </c>
      <c r="B4216">
        <v>13.65</v>
      </c>
    </row>
    <row r="4217" spans="1:2" x14ac:dyDescent="0.25">
      <c r="A4217" s="1">
        <v>44851</v>
      </c>
      <c r="B4217">
        <v>13.65</v>
      </c>
    </row>
    <row r="4218" spans="1:2" x14ac:dyDescent="0.25">
      <c r="A4218" s="1">
        <v>44852</v>
      </c>
      <c r="B4218">
        <v>13.65</v>
      </c>
    </row>
    <row r="4219" spans="1:2" x14ac:dyDescent="0.25">
      <c r="A4219" s="1">
        <v>44853</v>
      </c>
      <c r="B4219">
        <v>13.65</v>
      </c>
    </row>
    <row r="4220" spans="1:2" x14ac:dyDescent="0.25">
      <c r="A4220" s="1">
        <v>44854</v>
      </c>
      <c r="B4220">
        <v>13.65</v>
      </c>
    </row>
    <row r="4221" spans="1:2" x14ac:dyDescent="0.25">
      <c r="A4221" s="1">
        <v>44855</v>
      </c>
      <c r="B4221">
        <v>13.65</v>
      </c>
    </row>
    <row r="4222" spans="1:2" x14ac:dyDescent="0.25">
      <c r="A4222" s="1">
        <v>44858</v>
      </c>
      <c r="B4222">
        <v>13.65</v>
      </c>
    </row>
    <row r="4223" spans="1:2" x14ac:dyDescent="0.25">
      <c r="A4223" s="1">
        <v>44859</v>
      </c>
      <c r="B4223">
        <v>13.65</v>
      </c>
    </row>
    <row r="4224" spans="1:2" x14ac:dyDescent="0.25">
      <c r="A4224" s="1">
        <v>44860</v>
      </c>
      <c r="B4224">
        <v>13.65</v>
      </c>
    </row>
    <row r="4225" spans="1:2" x14ac:dyDescent="0.25">
      <c r="A4225" s="1">
        <v>44861</v>
      </c>
      <c r="B4225">
        <v>13.65</v>
      </c>
    </row>
    <row r="4226" spans="1:2" x14ac:dyDescent="0.25">
      <c r="A4226" s="1">
        <v>44862</v>
      </c>
      <c r="B4226">
        <v>13.65</v>
      </c>
    </row>
    <row r="4227" spans="1:2" x14ac:dyDescent="0.25">
      <c r="A4227" s="1">
        <v>44865</v>
      </c>
      <c r="B4227">
        <v>13.65</v>
      </c>
    </row>
    <row r="4228" spans="1:2" x14ac:dyDescent="0.25">
      <c r="A4228" s="1">
        <v>44866</v>
      </c>
      <c r="B4228">
        <v>13.65</v>
      </c>
    </row>
    <row r="4229" spans="1:2" x14ac:dyDescent="0.25">
      <c r="A4229" s="1">
        <v>44868</v>
      </c>
      <c r="B4229">
        <v>13.65</v>
      </c>
    </row>
    <row r="4230" spans="1:2" x14ac:dyDescent="0.25">
      <c r="A4230" s="1">
        <v>44869</v>
      </c>
      <c r="B4230">
        <v>13.65</v>
      </c>
    </row>
    <row r="4231" spans="1:2" x14ac:dyDescent="0.25">
      <c r="A4231" s="1">
        <v>44872</v>
      </c>
      <c r="B4231">
        <v>13.65</v>
      </c>
    </row>
    <row r="4232" spans="1:2" x14ac:dyDescent="0.25">
      <c r="A4232" s="1">
        <v>44873</v>
      </c>
      <c r="B4232">
        <v>13.65</v>
      </c>
    </row>
    <row r="4233" spans="1:2" x14ac:dyDescent="0.25">
      <c r="A4233" s="1">
        <v>44874</v>
      </c>
      <c r="B4233">
        <v>13.65</v>
      </c>
    </row>
    <row r="4234" spans="1:2" x14ac:dyDescent="0.25">
      <c r="A4234" s="1">
        <v>44875</v>
      </c>
      <c r="B4234">
        <v>13.65</v>
      </c>
    </row>
    <row r="4235" spans="1:2" x14ac:dyDescent="0.25">
      <c r="A4235" s="1">
        <v>44876</v>
      </c>
      <c r="B4235">
        <v>13.65</v>
      </c>
    </row>
    <row r="4236" spans="1:2" x14ac:dyDescent="0.25">
      <c r="A4236" s="1">
        <v>44879</v>
      </c>
      <c r="B4236">
        <v>13.65</v>
      </c>
    </row>
    <row r="4237" spans="1:2" x14ac:dyDescent="0.25">
      <c r="A4237" s="1">
        <v>44881</v>
      </c>
      <c r="B4237">
        <v>13.65</v>
      </c>
    </row>
    <row r="4238" spans="1:2" x14ac:dyDescent="0.25">
      <c r="A4238" s="1">
        <v>44882</v>
      </c>
      <c r="B4238">
        <v>13.65</v>
      </c>
    </row>
    <row r="4239" spans="1:2" x14ac:dyDescent="0.25">
      <c r="A4239" s="1">
        <v>44883</v>
      </c>
      <c r="B4239">
        <v>13.65</v>
      </c>
    </row>
    <row r="4240" spans="1:2" x14ac:dyDescent="0.25">
      <c r="A4240" s="1">
        <v>44886</v>
      </c>
      <c r="B4240">
        <v>13.65</v>
      </c>
    </row>
    <row r="4241" spans="1:2" x14ac:dyDescent="0.25">
      <c r="A4241" s="1">
        <v>44887</v>
      </c>
      <c r="B4241">
        <v>13.65</v>
      </c>
    </row>
    <row r="4242" spans="1:2" x14ac:dyDescent="0.25">
      <c r="A4242" s="1">
        <v>44888</v>
      </c>
      <c r="B4242">
        <v>13.65</v>
      </c>
    </row>
    <row r="4243" spans="1:2" x14ac:dyDescent="0.25">
      <c r="A4243" s="1">
        <v>44889</v>
      </c>
      <c r="B4243">
        <v>13.65</v>
      </c>
    </row>
    <row r="4244" spans="1:2" x14ac:dyDescent="0.25">
      <c r="A4244" s="1">
        <v>44890</v>
      </c>
      <c r="B4244">
        <v>13.65</v>
      </c>
    </row>
    <row r="4245" spans="1:2" x14ac:dyDescent="0.25">
      <c r="A4245" s="1">
        <v>44893</v>
      </c>
      <c r="B4245">
        <v>13.65</v>
      </c>
    </row>
    <row r="4246" spans="1:2" x14ac:dyDescent="0.25">
      <c r="A4246" s="1">
        <v>44894</v>
      </c>
      <c r="B4246">
        <v>13.65</v>
      </c>
    </row>
    <row r="4247" spans="1:2" x14ac:dyDescent="0.25">
      <c r="A4247" s="1">
        <v>44895</v>
      </c>
      <c r="B4247">
        <v>13.65</v>
      </c>
    </row>
    <row r="4248" spans="1:2" x14ac:dyDescent="0.25">
      <c r="A4248" s="1">
        <v>44896</v>
      </c>
      <c r="B4248">
        <v>13.65</v>
      </c>
    </row>
    <row r="4249" spans="1:2" x14ac:dyDescent="0.25">
      <c r="A4249" s="1">
        <v>44897</v>
      </c>
      <c r="B4249">
        <v>13.65</v>
      </c>
    </row>
    <row r="4250" spans="1:2" x14ac:dyDescent="0.25">
      <c r="A4250" s="1">
        <v>44900</v>
      </c>
      <c r="B4250">
        <v>13.65</v>
      </c>
    </row>
    <row r="4251" spans="1:2" x14ac:dyDescent="0.25">
      <c r="A4251" s="1">
        <v>44901</v>
      </c>
      <c r="B4251">
        <v>13.65</v>
      </c>
    </row>
    <row r="4252" spans="1:2" x14ac:dyDescent="0.25">
      <c r="A4252" s="1">
        <v>44902</v>
      </c>
      <c r="B4252">
        <v>13.65</v>
      </c>
    </row>
    <row r="4253" spans="1:2" x14ac:dyDescent="0.25">
      <c r="A4253" s="1">
        <v>44903</v>
      </c>
      <c r="B4253">
        <v>13.65</v>
      </c>
    </row>
    <row r="4254" spans="1:2" x14ac:dyDescent="0.25">
      <c r="A4254" s="1">
        <v>44904</v>
      </c>
      <c r="B4254">
        <v>13.65</v>
      </c>
    </row>
    <row r="4255" spans="1:2" x14ac:dyDescent="0.25">
      <c r="A4255" s="1">
        <v>44907</v>
      </c>
      <c r="B4255">
        <v>13.65</v>
      </c>
    </row>
    <row r="4256" spans="1:2" x14ac:dyDescent="0.25">
      <c r="A4256" s="1">
        <v>44908</v>
      </c>
      <c r="B4256">
        <v>13.65</v>
      </c>
    </row>
    <row r="4257" spans="1:2" x14ac:dyDescent="0.25">
      <c r="A4257" s="1">
        <v>44909</v>
      </c>
      <c r="B4257">
        <v>13.65</v>
      </c>
    </row>
    <row r="4258" spans="1:2" x14ac:dyDescent="0.25">
      <c r="A4258" s="1">
        <v>44910</v>
      </c>
      <c r="B4258">
        <v>13.65</v>
      </c>
    </row>
    <row r="4259" spans="1:2" x14ac:dyDescent="0.25">
      <c r="A4259" s="1">
        <v>44911</v>
      </c>
      <c r="B4259">
        <v>13.65</v>
      </c>
    </row>
    <row r="4260" spans="1:2" x14ac:dyDescent="0.25">
      <c r="A4260" s="1">
        <v>44914</v>
      </c>
      <c r="B4260">
        <v>13.65</v>
      </c>
    </row>
    <row r="4261" spans="1:2" x14ac:dyDescent="0.25">
      <c r="A4261" s="1">
        <v>44915</v>
      </c>
      <c r="B4261">
        <v>13.65</v>
      </c>
    </row>
    <row r="4262" spans="1:2" x14ac:dyDescent="0.25">
      <c r="A4262" s="1">
        <v>44916</v>
      </c>
      <c r="B4262">
        <v>13.65</v>
      </c>
    </row>
    <row r="4263" spans="1:2" x14ac:dyDescent="0.25">
      <c r="A4263" s="1">
        <v>44917</v>
      </c>
      <c r="B4263">
        <v>13.65</v>
      </c>
    </row>
    <row r="4264" spans="1:2" x14ac:dyDescent="0.25">
      <c r="A4264" s="1">
        <v>44918</v>
      </c>
      <c r="B4264">
        <v>13.65</v>
      </c>
    </row>
    <row r="4265" spans="1:2" x14ac:dyDescent="0.25">
      <c r="A4265" s="1">
        <v>44921</v>
      </c>
      <c r="B4265">
        <v>13.65</v>
      </c>
    </row>
    <row r="4266" spans="1:2" x14ac:dyDescent="0.25">
      <c r="A4266" s="1">
        <v>44922</v>
      </c>
      <c r="B4266">
        <v>13.65</v>
      </c>
    </row>
    <row r="4267" spans="1:2" x14ac:dyDescent="0.25">
      <c r="A4267" s="1">
        <v>44923</v>
      </c>
      <c r="B4267">
        <v>13.65</v>
      </c>
    </row>
    <row r="4268" spans="1:2" x14ac:dyDescent="0.25">
      <c r="A4268" s="1">
        <v>44924</v>
      </c>
      <c r="B4268">
        <v>13.65</v>
      </c>
    </row>
    <row r="4269" spans="1:2" x14ac:dyDescent="0.25">
      <c r="A4269" s="1">
        <v>44925</v>
      </c>
      <c r="B4269">
        <v>13.65</v>
      </c>
    </row>
    <row r="4270" spans="1:2" x14ac:dyDescent="0.25">
      <c r="A4270" s="1">
        <v>44928</v>
      </c>
      <c r="B4270">
        <v>13.65</v>
      </c>
    </row>
    <row r="4271" spans="1:2" x14ac:dyDescent="0.25">
      <c r="A4271" s="1">
        <v>44929</v>
      </c>
      <c r="B4271">
        <v>13.65</v>
      </c>
    </row>
    <row r="4272" spans="1:2" x14ac:dyDescent="0.25">
      <c r="A4272" s="1">
        <v>44930</v>
      </c>
      <c r="B4272">
        <v>13.65</v>
      </c>
    </row>
    <row r="4273" spans="1:2" x14ac:dyDescent="0.25">
      <c r="A4273" s="1">
        <v>44931</v>
      </c>
      <c r="B4273">
        <v>13.65</v>
      </c>
    </row>
    <row r="4274" spans="1:2" x14ac:dyDescent="0.25">
      <c r="A4274" s="1">
        <v>44932</v>
      </c>
      <c r="B4274">
        <v>13.65</v>
      </c>
    </row>
    <row r="4275" spans="1:2" x14ac:dyDescent="0.25">
      <c r="A4275" s="1">
        <v>44935</v>
      </c>
      <c r="B4275">
        <v>13.65</v>
      </c>
    </row>
    <row r="4276" spans="1:2" x14ac:dyDescent="0.25">
      <c r="A4276" s="1">
        <v>44936</v>
      </c>
      <c r="B4276">
        <v>13.65</v>
      </c>
    </row>
    <row r="4277" spans="1:2" x14ac:dyDescent="0.25">
      <c r="A4277" s="1">
        <v>44937</v>
      </c>
      <c r="B4277">
        <v>13.65</v>
      </c>
    </row>
    <row r="4278" spans="1:2" x14ac:dyDescent="0.25">
      <c r="A4278" s="1">
        <v>44938</v>
      </c>
      <c r="B4278">
        <v>13.65</v>
      </c>
    </row>
    <row r="4279" spans="1:2" x14ac:dyDescent="0.25">
      <c r="A4279" s="1">
        <v>44939</v>
      </c>
      <c r="B4279">
        <v>13.65</v>
      </c>
    </row>
    <row r="4280" spans="1:2" x14ac:dyDescent="0.25">
      <c r="A4280" s="1">
        <v>44942</v>
      </c>
      <c r="B4280">
        <v>13.65</v>
      </c>
    </row>
    <row r="4281" spans="1:2" x14ac:dyDescent="0.25">
      <c r="A4281" s="1">
        <v>44943</v>
      </c>
      <c r="B4281">
        <v>13.65</v>
      </c>
    </row>
    <row r="4282" spans="1:2" x14ac:dyDescent="0.25">
      <c r="A4282" s="1">
        <v>44944</v>
      </c>
      <c r="B4282">
        <v>13.65</v>
      </c>
    </row>
    <row r="4283" spans="1:2" x14ac:dyDescent="0.25">
      <c r="A4283" s="1">
        <v>44945</v>
      </c>
      <c r="B4283">
        <v>13.65</v>
      </c>
    </row>
    <row r="4284" spans="1:2" x14ac:dyDescent="0.25">
      <c r="A4284" s="1">
        <v>44946</v>
      </c>
      <c r="B4284">
        <v>13.65</v>
      </c>
    </row>
    <row r="4285" spans="1:2" x14ac:dyDescent="0.25">
      <c r="A4285" s="1">
        <v>44949</v>
      </c>
      <c r="B4285">
        <v>13.65</v>
      </c>
    </row>
    <row r="4286" spans="1:2" x14ac:dyDescent="0.25">
      <c r="A4286" s="1">
        <v>44950</v>
      </c>
      <c r="B4286">
        <v>13.65</v>
      </c>
    </row>
    <row r="4287" spans="1:2" x14ac:dyDescent="0.25">
      <c r="A4287" s="1">
        <v>44951</v>
      </c>
      <c r="B4287">
        <v>13.65</v>
      </c>
    </row>
    <row r="4288" spans="1:2" x14ac:dyDescent="0.25">
      <c r="A4288" s="1">
        <v>44952</v>
      </c>
      <c r="B4288">
        <v>13.65</v>
      </c>
    </row>
    <row r="4289" spans="1:2" x14ac:dyDescent="0.25">
      <c r="A4289" s="1">
        <v>44953</v>
      </c>
      <c r="B4289">
        <v>13.65</v>
      </c>
    </row>
    <row r="4290" spans="1:2" x14ac:dyDescent="0.25">
      <c r="A4290" s="1">
        <v>44956</v>
      </c>
      <c r="B4290">
        <v>13.65</v>
      </c>
    </row>
    <row r="4291" spans="1:2" x14ac:dyDescent="0.25">
      <c r="A4291" s="1">
        <v>44957</v>
      </c>
      <c r="B4291">
        <v>13.65</v>
      </c>
    </row>
    <row r="4292" spans="1:2" x14ac:dyDescent="0.25">
      <c r="A4292" s="1">
        <v>44958</v>
      </c>
      <c r="B4292">
        <v>13.65</v>
      </c>
    </row>
    <row r="4293" spans="1:2" x14ac:dyDescent="0.25">
      <c r="A4293" s="1">
        <v>44959</v>
      </c>
      <c r="B4293">
        <v>13.65</v>
      </c>
    </row>
    <row r="4294" spans="1:2" x14ac:dyDescent="0.25">
      <c r="A4294" s="1">
        <v>44960</v>
      </c>
      <c r="B4294">
        <v>13.65</v>
      </c>
    </row>
    <row r="4295" spans="1:2" x14ac:dyDescent="0.25">
      <c r="A4295" s="1">
        <v>44963</v>
      </c>
      <c r="B4295">
        <v>13.65</v>
      </c>
    </row>
    <row r="4296" spans="1:2" x14ac:dyDescent="0.25">
      <c r="A4296" s="1">
        <v>44964</v>
      </c>
      <c r="B4296">
        <v>13.65</v>
      </c>
    </row>
    <row r="4297" spans="1:2" x14ac:dyDescent="0.25">
      <c r="A4297" s="1">
        <v>44965</v>
      </c>
      <c r="B4297">
        <v>13.65</v>
      </c>
    </row>
    <row r="4298" spans="1:2" x14ac:dyDescent="0.25">
      <c r="A4298" s="1">
        <v>44966</v>
      </c>
      <c r="B4298">
        <v>13.65</v>
      </c>
    </row>
    <row r="4299" spans="1:2" x14ac:dyDescent="0.25">
      <c r="A4299" s="1">
        <v>44967</v>
      </c>
      <c r="B4299">
        <v>13.65</v>
      </c>
    </row>
    <row r="4300" spans="1:2" x14ac:dyDescent="0.25">
      <c r="A4300" s="1">
        <v>44970</v>
      </c>
      <c r="B4300">
        <v>13.65</v>
      </c>
    </row>
    <row r="4301" spans="1:2" x14ac:dyDescent="0.25">
      <c r="A4301" s="1">
        <v>44971</v>
      </c>
      <c r="B4301">
        <v>13.65</v>
      </c>
    </row>
    <row r="4302" spans="1:2" x14ac:dyDescent="0.25">
      <c r="A4302" s="1">
        <v>44972</v>
      </c>
      <c r="B4302">
        <v>13.65</v>
      </c>
    </row>
    <row r="4303" spans="1:2" x14ac:dyDescent="0.25">
      <c r="A4303" s="1">
        <v>44973</v>
      </c>
      <c r="B4303">
        <v>13.65</v>
      </c>
    </row>
    <row r="4304" spans="1:2" x14ac:dyDescent="0.25">
      <c r="A4304" s="1">
        <v>44974</v>
      </c>
      <c r="B4304">
        <v>13.65</v>
      </c>
    </row>
    <row r="4305" spans="1:2" x14ac:dyDescent="0.25">
      <c r="A4305" s="1">
        <v>44979</v>
      </c>
      <c r="B4305">
        <v>13.65</v>
      </c>
    </row>
    <row r="4306" spans="1:2" x14ac:dyDescent="0.25">
      <c r="A4306" s="1">
        <v>44980</v>
      </c>
      <c r="B4306">
        <v>13.65</v>
      </c>
    </row>
    <row r="4307" spans="1:2" x14ac:dyDescent="0.25">
      <c r="A4307" s="1">
        <v>44981</v>
      </c>
      <c r="B4307">
        <v>13.65</v>
      </c>
    </row>
    <row r="4308" spans="1:2" x14ac:dyDescent="0.25">
      <c r="A4308" s="1">
        <v>44984</v>
      </c>
      <c r="B4308">
        <v>13.65</v>
      </c>
    </row>
    <row r="4309" spans="1:2" x14ac:dyDescent="0.25">
      <c r="A4309" s="1">
        <v>44985</v>
      </c>
      <c r="B4309">
        <v>13.65</v>
      </c>
    </row>
    <row r="4310" spans="1:2" x14ac:dyDescent="0.25">
      <c r="A4310" s="1">
        <v>44986</v>
      </c>
      <c r="B4310">
        <v>13.65</v>
      </c>
    </row>
    <row r="4311" spans="1:2" x14ac:dyDescent="0.25">
      <c r="A4311" s="1">
        <v>44987</v>
      </c>
      <c r="B4311">
        <v>13.65</v>
      </c>
    </row>
    <row r="4312" spans="1:2" x14ac:dyDescent="0.25">
      <c r="A4312" s="1">
        <v>44988</v>
      </c>
      <c r="B4312">
        <v>13.65</v>
      </c>
    </row>
    <row r="4313" spans="1:2" x14ac:dyDescent="0.25">
      <c r="A4313" s="1">
        <v>44991</v>
      </c>
      <c r="B4313">
        <v>13.65</v>
      </c>
    </row>
    <row r="4314" spans="1:2" x14ac:dyDescent="0.25">
      <c r="A4314" s="1">
        <v>44992</v>
      </c>
      <c r="B4314">
        <v>13.65</v>
      </c>
    </row>
    <row r="4315" spans="1:2" x14ac:dyDescent="0.25">
      <c r="A4315" s="1">
        <v>44993</v>
      </c>
      <c r="B4315">
        <v>13.65</v>
      </c>
    </row>
    <row r="4316" spans="1:2" x14ac:dyDescent="0.25">
      <c r="A4316" s="1">
        <v>44994</v>
      </c>
      <c r="B4316">
        <v>13.65</v>
      </c>
    </row>
    <row r="4317" spans="1:2" x14ac:dyDescent="0.25">
      <c r="A4317" s="1">
        <v>44995</v>
      </c>
      <c r="B4317">
        <v>13.65</v>
      </c>
    </row>
    <row r="4318" spans="1:2" x14ac:dyDescent="0.25">
      <c r="A4318" s="1">
        <v>44998</v>
      </c>
      <c r="B4318">
        <v>13.65</v>
      </c>
    </row>
    <row r="4319" spans="1:2" x14ac:dyDescent="0.25">
      <c r="A4319" s="1">
        <v>44999</v>
      </c>
      <c r="B4319">
        <v>13.65</v>
      </c>
    </row>
    <row r="4320" spans="1:2" x14ac:dyDescent="0.25">
      <c r="A4320" s="1">
        <v>45000</v>
      </c>
      <c r="B4320">
        <v>13.65</v>
      </c>
    </row>
    <row r="4321" spans="1:2" x14ac:dyDescent="0.25">
      <c r="A4321" s="1">
        <v>45001</v>
      </c>
      <c r="B4321">
        <v>13.65</v>
      </c>
    </row>
    <row r="4322" spans="1:2" x14ac:dyDescent="0.25">
      <c r="A4322" s="1">
        <v>45002</v>
      </c>
      <c r="B4322">
        <v>13.65</v>
      </c>
    </row>
    <row r="4323" spans="1:2" x14ac:dyDescent="0.25">
      <c r="A4323" s="1">
        <v>45005</v>
      </c>
      <c r="B4323">
        <v>13.65</v>
      </c>
    </row>
    <row r="4324" spans="1:2" x14ac:dyDescent="0.25">
      <c r="A4324" s="1">
        <v>45006</v>
      </c>
      <c r="B4324">
        <v>13.65</v>
      </c>
    </row>
    <row r="4325" spans="1:2" x14ac:dyDescent="0.25">
      <c r="A4325" s="1">
        <v>45007</v>
      </c>
      <c r="B4325">
        <v>13.65</v>
      </c>
    </row>
    <row r="4326" spans="1:2" x14ac:dyDescent="0.25">
      <c r="A4326" s="1">
        <v>45008</v>
      </c>
      <c r="B4326">
        <v>13.65</v>
      </c>
    </row>
    <row r="4327" spans="1:2" x14ac:dyDescent="0.25">
      <c r="A4327" s="1">
        <v>45009</v>
      </c>
      <c r="B4327">
        <v>13.65</v>
      </c>
    </row>
    <row r="4328" spans="1:2" x14ac:dyDescent="0.25">
      <c r="A4328" s="1">
        <v>45012</v>
      </c>
      <c r="B4328">
        <v>13.65</v>
      </c>
    </row>
    <row r="4329" spans="1:2" x14ac:dyDescent="0.25">
      <c r="A4329" s="1">
        <v>45013</v>
      </c>
      <c r="B4329">
        <v>13.65</v>
      </c>
    </row>
    <row r="4330" spans="1:2" x14ac:dyDescent="0.25">
      <c r="A4330" s="1">
        <v>45014</v>
      </c>
      <c r="B4330">
        <v>13.65</v>
      </c>
    </row>
    <row r="4331" spans="1:2" x14ac:dyDescent="0.25">
      <c r="A4331" s="1">
        <v>45015</v>
      </c>
      <c r="B4331">
        <v>13.65</v>
      </c>
    </row>
    <row r="4332" spans="1:2" x14ac:dyDescent="0.25">
      <c r="A4332" s="1">
        <v>45016</v>
      </c>
      <c r="B4332">
        <v>13.65</v>
      </c>
    </row>
    <row r="4333" spans="1:2" x14ac:dyDescent="0.25">
      <c r="A4333" s="1">
        <v>45019</v>
      </c>
      <c r="B4333">
        <v>13.65</v>
      </c>
    </row>
    <row r="4334" spans="1:2" x14ac:dyDescent="0.25">
      <c r="A4334" s="1">
        <v>45020</v>
      </c>
      <c r="B4334">
        <v>13.65</v>
      </c>
    </row>
    <row r="4335" spans="1:2" x14ac:dyDescent="0.25">
      <c r="A4335" s="1">
        <v>45021</v>
      </c>
      <c r="B4335">
        <v>13.65</v>
      </c>
    </row>
    <row r="4336" spans="1:2" x14ac:dyDescent="0.25">
      <c r="A4336" s="1">
        <v>45022</v>
      </c>
      <c r="B4336">
        <v>13.65</v>
      </c>
    </row>
    <row r="4337" spans="1:2" x14ac:dyDescent="0.25">
      <c r="A4337" s="1">
        <v>45026</v>
      </c>
      <c r="B4337">
        <v>13.65</v>
      </c>
    </row>
    <row r="4338" spans="1:2" x14ac:dyDescent="0.25">
      <c r="A4338" s="1">
        <v>45027</v>
      </c>
      <c r="B4338">
        <v>13.65</v>
      </c>
    </row>
    <row r="4339" spans="1:2" x14ac:dyDescent="0.25">
      <c r="A4339" s="1">
        <v>45028</v>
      </c>
      <c r="B4339">
        <v>13.65</v>
      </c>
    </row>
    <row r="4340" spans="1:2" x14ac:dyDescent="0.25">
      <c r="A4340" s="1">
        <v>45029</v>
      </c>
      <c r="B4340">
        <v>13.65</v>
      </c>
    </row>
    <row r="4341" spans="1:2" x14ac:dyDescent="0.25">
      <c r="A4341" s="1">
        <v>45030</v>
      </c>
      <c r="B4341">
        <v>13.65</v>
      </c>
    </row>
    <row r="4342" spans="1:2" x14ac:dyDescent="0.25">
      <c r="A4342" s="1">
        <v>45033</v>
      </c>
      <c r="B4342">
        <v>13.65</v>
      </c>
    </row>
    <row r="4343" spans="1:2" x14ac:dyDescent="0.25">
      <c r="A4343" s="1">
        <v>45034</v>
      </c>
      <c r="B4343">
        <v>13.65</v>
      </c>
    </row>
    <row r="4344" spans="1:2" x14ac:dyDescent="0.25">
      <c r="A4344" s="1">
        <v>45035</v>
      </c>
      <c r="B4344">
        <v>13.65</v>
      </c>
    </row>
    <row r="4345" spans="1:2" x14ac:dyDescent="0.25">
      <c r="A4345" s="1">
        <v>45036</v>
      </c>
      <c r="B4345">
        <v>13.65</v>
      </c>
    </row>
    <row r="4346" spans="1:2" x14ac:dyDescent="0.25">
      <c r="A4346" s="1">
        <v>45040</v>
      </c>
      <c r="B4346">
        <v>13.65</v>
      </c>
    </row>
    <row r="4347" spans="1:2" x14ac:dyDescent="0.25">
      <c r="A4347" s="1">
        <v>45041</v>
      </c>
      <c r="B4347">
        <v>13.65</v>
      </c>
    </row>
    <row r="4348" spans="1:2" x14ac:dyDescent="0.25">
      <c r="A4348" s="1">
        <v>45042</v>
      </c>
      <c r="B4348">
        <v>13.65</v>
      </c>
    </row>
    <row r="4349" spans="1:2" x14ac:dyDescent="0.25">
      <c r="A4349" s="1">
        <v>45043</v>
      </c>
      <c r="B4349">
        <v>13.65</v>
      </c>
    </row>
    <row r="4350" spans="1:2" x14ac:dyDescent="0.25">
      <c r="A4350" s="1">
        <v>45044</v>
      </c>
      <c r="B4350">
        <v>13.65</v>
      </c>
    </row>
    <row r="4351" spans="1:2" x14ac:dyDescent="0.25">
      <c r="A4351" s="1">
        <v>45048</v>
      </c>
      <c r="B4351">
        <v>13.65</v>
      </c>
    </row>
    <row r="4352" spans="1:2" x14ac:dyDescent="0.25">
      <c r="A4352" s="1">
        <v>45049</v>
      </c>
      <c r="B4352">
        <v>13.65</v>
      </c>
    </row>
    <row r="4353" spans="1:2" x14ac:dyDescent="0.25">
      <c r="A4353" s="1">
        <v>45050</v>
      </c>
      <c r="B4353">
        <v>13.65</v>
      </c>
    </row>
    <row r="4354" spans="1:2" x14ac:dyDescent="0.25">
      <c r="A4354" s="1">
        <v>45051</v>
      </c>
      <c r="B4354">
        <v>13.65</v>
      </c>
    </row>
    <row r="4355" spans="1:2" x14ac:dyDescent="0.25">
      <c r="A4355" s="1">
        <v>45054</v>
      </c>
      <c r="B4355">
        <v>13.65</v>
      </c>
    </row>
    <row r="4356" spans="1:2" x14ac:dyDescent="0.25">
      <c r="A4356" s="1">
        <v>45055</v>
      </c>
      <c r="B4356">
        <v>13.65</v>
      </c>
    </row>
    <row r="4357" spans="1:2" x14ac:dyDescent="0.25">
      <c r="A4357" s="1">
        <v>45056</v>
      </c>
      <c r="B4357">
        <v>13.65</v>
      </c>
    </row>
    <row r="4358" spans="1:2" x14ac:dyDescent="0.25">
      <c r="A4358" s="1">
        <v>45057</v>
      </c>
      <c r="B4358">
        <v>13.65</v>
      </c>
    </row>
    <row r="4359" spans="1:2" x14ac:dyDescent="0.25">
      <c r="A4359" s="1">
        <v>45058</v>
      </c>
      <c r="B4359">
        <v>13.65</v>
      </c>
    </row>
    <row r="4360" spans="1:2" x14ac:dyDescent="0.25">
      <c r="A4360" s="1">
        <v>45061</v>
      </c>
      <c r="B4360">
        <v>13.65</v>
      </c>
    </row>
    <row r="4361" spans="1:2" x14ac:dyDescent="0.25">
      <c r="A4361" s="1">
        <v>45062</v>
      </c>
      <c r="B4361">
        <v>13.65</v>
      </c>
    </row>
    <row r="4362" spans="1:2" x14ac:dyDescent="0.25">
      <c r="A4362" s="1">
        <v>45063</v>
      </c>
      <c r="B4362">
        <v>13.65</v>
      </c>
    </row>
    <row r="4363" spans="1:2" x14ac:dyDescent="0.25">
      <c r="A4363" s="1">
        <v>45064</v>
      </c>
      <c r="B4363">
        <v>13.65</v>
      </c>
    </row>
    <row r="4364" spans="1:2" x14ac:dyDescent="0.25">
      <c r="A4364" s="1">
        <v>45065</v>
      </c>
      <c r="B4364">
        <v>13.65</v>
      </c>
    </row>
    <row r="4365" spans="1:2" x14ac:dyDescent="0.25">
      <c r="A4365" s="1">
        <v>45068</v>
      </c>
      <c r="B4365">
        <v>13.65</v>
      </c>
    </row>
    <row r="4366" spans="1:2" x14ac:dyDescent="0.25">
      <c r="A4366" s="1">
        <v>45069</v>
      </c>
      <c r="B4366">
        <v>13.65</v>
      </c>
    </row>
    <row r="4367" spans="1:2" x14ac:dyDescent="0.25">
      <c r="A4367" s="1">
        <v>45070</v>
      </c>
      <c r="B4367">
        <v>13.65</v>
      </c>
    </row>
    <row r="4368" spans="1:2" x14ac:dyDescent="0.25">
      <c r="A4368" s="1">
        <v>45071</v>
      </c>
      <c r="B4368">
        <v>13.65</v>
      </c>
    </row>
    <row r="4369" spans="1:2" x14ac:dyDescent="0.25">
      <c r="A4369" s="1">
        <v>45072</v>
      </c>
      <c r="B4369">
        <v>13.65</v>
      </c>
    </row>
    <row r="4370" spans="1:2" x14ac:dyDescent="0.25">
      <c r="A4370" s="1">
        <v>45075</v>
      </c>
      <c r="B4370">
        <v>13.65</v>
      </c>
    </row>
    <row r="4371" spans="1:2" x14ac:dyDescent="0.25">
      <c r="A4371" s="1">
        <v>45076</v>
      </c>
      <c r="B4371">
        <v>13.65</v>
      </c>
    </row>
    <row r="4372" spans="1:2" x14ac:dyDescent="0.25">
      <c r="A4372" s="1">
        <v>45077</v>
      </c>
      <c r="B4372">
        <v>13.65</v>
      </c>
    </row>
    <row r="4373" spans="1:2" x14ac:dyDescent="0.25">
      <c r="A4373" s="1">
        <v>45078</v>
      </c>
      <c r="B4373">
        <v>13.65</v>
      </c>
    </row>
    <row r="4374" spans="1:2" x14ac:dyDescent="0.25">
      <c r="A4374" s="1">
        <v>45079</v>
      </c>
      <c r="B4374">
        <v>13.65</v>
      </c>
    </row>
    <row r="4375" spans="1:2" x14ac:dyDescent="0.25">
      <c r="A4375" s="1">
        <v>45082</v>
      </c>
      <c r="B4375">
        <v>13.65</v>
      </c>
    </row>
    <row r="4376" spans="1:2" x14ac:dyDescent="0.25">
      <c r="A4376" s="1">
        <v>45083</v>
      </c>
      <c r="B4376">
        <v>13.65</v>
      </c>
    </row>
    <row r="4377" spans="1:2" x14ac:dyDescent="0.25">
      <c r="A4377" s="1">
        <v>45084</v>
      </c>
      <c r="B4377">
        <v>13.65</v>
      </c>
    </row>
    <row r="4378" spans="1:2" x14ac:dyDescent="0.25">
      <c r="A4378" s="1">
        <v>45086</v>
      </c>
      <c r="B4378">
        <v>13.65</v>
      </c>
    </row>
    <row r="4379" spans="1:2" x14ac:dyDescent="0.25">
      <c r="A4379" s="1">
        <v>45089</v>
      </c>
      <c r="B4379">
        <v>13.65</v>
      </c>
    </row>
    <row r="4380" spans="1:2" x14ac:dyDescent="0.25">
      <c r="A4380" s="1">
        <v>45090</v>
      </c>
      <c r="B4380">
        <v>13.65</v>
      </c>
    </row>
    <row r="4381" spans="1:2" x14ac:dyDescent="0.25">
      <c r="A4381" s="1">
        <v>45091</v>
      </c>
      <c r="B4381">
        <v>13.65</v>
      </c>
    </row>
    <row r="4382" spans="1:2" x14ac:dyDescent="0.25">
      <c r="A4382" s="1">
        <v>45092</v>
      </c>
      <c r="B4382">
        <v>13.65</v>
      </c>
    </row>
    <row r="4383" spans="1:2" x14ac:dyDescent="0.25">
      <c r="A4383" s="1">
        <v>45093</v>
      </c>
      <c r="B4383">
        <v>13.65</v>
      </c>
    </row>
    <row r="4384" spans="1:2" x14ac:dyDescent="0.25">
      <c r="A4384" s="1">
        <v>45096</v>
      </c>
      <c r="B4384">
        <v>13.65</v>
      </c>
    </row>
    <row r="4385" spans="1:2" x14ac:dyDescent="0.25">
      <c r="A4385" s="1">
        <v>45097</v>
      </c>
      <c r="B4385">
        <v>13.65</v>
      </c>
    </row>
    <row r="4386" spans="1:2" x14ac:dyDescent="0.25">
      <c r="A4386" s="1">
        <v>45098</v>
      </c>
      <c r="B4386">
        <v>13.65</v>
      </c>
    </row>
    <row r="4387" spans="1:2" x14ac:dyDescent="0.25">
      <c r="A4387" s="1">
        <v>45099</v>
      </c>
      <c r="B4387">
        <v>13.65</v>
      </c>
    </row>
    <row r="4388" spans="1:2" x14ac:dyDescent="0.25">
      <c r="A4388" s="1">
        <v>45100</v>
      </c>
      <c r="B4388">
        <v>13.65</v>
      </c>
    </row>
    <row r="4389" spans="1:2" x14ac:dyDescent="0.25">
      <c r="A4389" s="1">
        <v>45103</v>
      </c>
      <c r="B4389">
        <v>13.65</v>
      </c>
    </row>
    <row r="4390" spans="1:2" x14ac:dyDescent="0.25">
      <c r="A4390" s="1">
        <v>45104</v>
      </c>
      <c r="B4390">
        <v>13.65</v>
      </c>
    </row>
    <row r="4391" spans="1:2" x14ac:dyDescent="0.25">
      <c r="A4391" s="1">
        <v>45105</v>
      </c>
      <c r="B4391">
        <v>13.65</v>
      </c>
    </row>
    <row r="4392" spans="1:2" x14ac:dyDescent="0.25">
      <c r="A4392" s="1">
        <v>45106</v>
      </c>
      <c r="B4392">
        <v>13.65</v>
      </c>
    </row>
    <row r="4393" spans="1:2" x14ac:dyDescent="0.25">
      <c r="A4393" s="1">
        <v>45107</v>
      </c>
      <c r="B4393">
        <v>13.65</v>
      </c>
    </row>
    <row r="4394" spans="1:2" x14ac:dyDescent="0.25">
      <c r="A4394" s="1">
        <v>45110</v>
      </c>
      <c r="B4394">
        <v>13.65</v>
      </c>
    </row>
    <row r="4395" spans="1:2" x14ac:dyDescent="0.25">
      <c r="A4395" s="1">
        <v>45111</v>
      </c>
      <c r="B4395">
        <v>13.65</v>
      </c>
    </row>
    <row r="4396" spans="1:2" x14ac:dyDescent="0.25">
      <c r="A4396" s="1">
        <v>45112</v>
      </c>
      <c r="B4396">
        <v>13.65</v>
      </c>
    </row>
    <row r="4397" spans="1:2" x14ac:dyDescent="0.25">
      <c r="A4397" s="1">
        <v>45113</v>
      </c>
      <c r="B4397">
        <v>13.65</v>
      </c>
    </row>
    <row r="4398" spans="1:2" x14ac:dyDescent="0.25">
      <c r="A4398" s="1">
        <v>45114</v>
      </c>
      <c r="B4398">
        <v>13.65</v>
      </c>
    </row>
    <row r="4399" spans="1:2" x14ac:dyDescent="0.25">
      <c r="A4399" s="1">
        <v>45117</v>
      </c>
      <c r="B4399">
        <v>13.65</v>
      </c>
    </row>
    <row r="4400" spans="1:2" x14ac:dyDescent="0.25">
      <c r="A4400" s="1">
        <v>45118</v>
      </c>
      <c r="B4400">
        <v>13.65</v>
      </c>
    </row>
    <row r="4401" spans="1:2" x14ac:dyDescent="0.25">
      <c r="A4401" s="1">
        <v>45119</v>
      </c>
      <c r="B4401">
        <v>13.65</v>
      </c>
    </row>
    <row r="4402" spans="1:2" x14ac:dyDescent="0.25">
      <c r="A4402" s="1">
        <v>45120</v>
      </c>
      <c r="B4402">
        <v>13.65</v>
      </c>
    </row>
    <row r="4403" spans="1:2" x14ac:dyDescent="0.25">
      <c r="A4403" s="1">
        <v>45121</v>
      </c>
      <c r="B4403">
        <v>13.65</v>
      </c>
    </row>
    <row r="4404" spans="1:2" x14ac:dyDescent="0.25">
      <c r="A4404" s="1">
        <v>45124</v>
      </c>
      <c r="B4404">
        <v>13.65</v>
      </c>
    </row>
    <row r="4405" spans="1:2" x14ac:dyDescent="0.25">
      <c r="A4405" s="1">
        <v>45125</v>
      </c>
      <c r="B4405">
        <v>13.65</v>
      </c>
    </row>
    <row r="4406" spans="1:2" x14ac:dyDescent="0.25">
      <c r="A4406" s="1">
        <v>45126</v>
      </c>
      <c r="B4406">
        <v>13.65</v>
      </c>
    </row>
    <row r="4407" spans="1:2" x14ac:dyDescent="0.25">
      <c r="A4407" s="1">
        <v>45127</v>
      </c>
      <c r="B4407">
        <v>13.65</v>
      </c>
    </row>
    <row r="4408" spans="1:2" x14ac:dyDescent="0.25">
      <c r="A4408" s="1">
        <v>45128</v>
      </c>
      <c r="B4408">
        <v>13.65</v>
      </c>
    </row>
    <row r="4409" spans="1:2" x14ac:dyDescent="0.25">
      <c r="A4409" s="1">
        <v>45131</v>
      </c>
      <c r="B4409">
        <v>13.65</v>
      </c>
    </row>
    <row r="4410" spans="1:2" x14ac:dyDescent="0.25">
      <c r="A4410" s="1">
        <v>45132</v>
      </c>
      <c r="B4410">
        <v>13.65</v>
      </c>
    </row>
    <row r="4411" spans="1:2" x14ac:dyDescent="0.25">
      <c r="A4411" s="1">
        <v>45133</v>
      </c>
      <c r="B4411">
        <v>13.65</v>
      </c>
    </row>
    <row r="4412" spans="1:2" x14ac:dyDescent="0.25">
      <c r="A4412" s="1">
        <v>45134</v>
      </c>
      <c r="B4412">
        <v>13.65</v>
      </c>
    </row>
    <row r="4413" spans="1:2" x14ac:dyDescent="0.25">
      <c r="A4413" s="1">
        <v>45135</v>
      </c>
      <c r="B4413">
        <v>13.65</v>
      </c>
    </row>
    <row r="4414" spans="1:2" x14ac:dyDescent="0.25">
      <c r="A4414" s="1">
        <v>45138</v>
      </c>
      <c r="B4414">
        <v>13.65</v>
      </c>
    </row>
    <row r="4415" spans="1:2" x14ac:dyDescent="0.25">
      <c r="A4415" s="1">
        <v>45139</v>
      </c>
      <c r="B4415">
        <v>13.65</v>
      </c>
    </row>
    <row r="4416" spans="1:2" x14ac:dyDescent="0.25">
      <c r="A4416" s="1">
        <v>45140</v>
      </c>
      <c r="B4416">
        <v>13.65</v>
      </c>
    </row>
    <row r="4417" spans="1:2" x14ac:dyDescent="0.25">
      <c r="A4417" s="1">
        <v>45141</v>
      </c>
      <c r="B4417">
        <v>13.15</v>
      </c>
    </row>
    <row r="4418" spans="1:2" x14ac:dyDescent="0.25">
      <c r="A4418" s="1">
        <v>45142</v>
      </c>
      <c r="B4418">
        <v>13.15</v>
      </c>
    </row>
    <row r="4419" spans="1:2" x14ac:dyDescent="0.25">
      <c r="A4419" s="1">
        <v>45145</v>
      </c>
      <c r="B4419">
        <v>13.15</v>
      </c>
    </row>
    <row r="4420" spans="1:2" x14ac:dyDescent="0.25">
      <c r="A4420" s="1">
        <v>45146</v>
      </c>
      <c r="B4420">
        <v>13.15</v>
      </c>
    </row>
    <row r="4421" spans="1:2" x14ac:dyDescent="0.25">
      <c r="A4421" s="1">
        <v>45147</v>
      </c>
      <c r="B4421">
        <v>13.15</v>
      </c>
    </row>
    <row r="4422" spans="1:2" x14ac:dyDescent="0.25">
      <c r="A4422" s="1">
        <v>45148</v>
      </c>
      <c r="B4422">
        <v>13.15</v>
      </c>
    </row>
    <row r="4423" spans="1:2" x14ac:dyDescent="0.25">
      <c r="A4423" s="1">
        <v>45149</v>
      </c>
      <c r="B4423">
        <v>13.15</v>
      </c>
    </row>
    <row r="4424" spans="1:2" x14ac:dyDescent="0.25">
      <c r="A4424" s="1">
        <v>45152</v>
      </c>
      <c r="B4424">
        <v>13.15</v>
      </c>
    </row>
    <row r="4425" spans="1:2" x14ac:dyDescent="0.25">
      <c r="A4425" s="1">
        <v>45153</v>
      </c>
      <c r="B4425">
        <v>13.15</v>
      </c>
    </row>
    <row r="4426" spans="1:2" x14ac:dyDescent="0.25">
      <c r="A4426" s="1">
        <v>45154</v>
      </c>
      <c r="B4426">
        <v>13.15</v>
      </c>
    </row>
    <row r="4427" spans="1:2" x14ac:dyDescent="0.25">
      <c r="A4427" s="1">
        <v>45155</v>
      </c>
      <c r="B4427">
        <v>13.15</v>
      </c>
    </row>
    <row r="4428" spans="1:2" x14ac:dyDescent="0.25">
      <c r="A4428" s="1">
        <v>45156</v>
      </c>
      <c r="B4428">
        <v>13.15</v>
      </c>
    </row>
    <row r="4429" spans="1:2" x14ac:dyDescent="0.25">
      <c r="A4429" s="1">
        <v>45159</v>
      </c>
      <c r="B4429">
        <v>13.15</v>
      </c>
    </row>
    <row r="4430" spans="1:2" x14ac:dyDescent="0.25">
      <c r="A4430" s="1">
        <v>45160</v>
      </c>
      <c r="B4430">
        <v>13.15</v>
      </c>
    </row>
    <row r="4431" spans="1:2" x14ac:dyDescent="0.25">
      <c r="A4431" s="1">
        <v>45161</v>
      </c>
      <c r="B4431">
        <v>13.15</v>
      </c>
    </row>
    <row r="4432" spans="1:2" x14ac:dyDescent="0.25">
      <c r="A4432" s="1">
        <v>45162</v>
      </c>
      <c r="B4432">
        <v>13.15</v>
      </c>
    </row>
    <row r="4433" spans="1:2" x14ac:dyDescent="0.25">
      <c r="A4433" s="1">
        <v>45163</v>
      </c>
      <c r="B4433">
        <v>13.15</v>
      </c>
    </row>
    <row r="4434" spans="1:2" x14ac:dyDescent="0.25">
      <c r="A4434" s="1">
        <v>45166</v>
      </c>
      <c r="B4434">
        <v>13.15</v>
      </c>
    </row>
    <row r="4435" spans="1:2" x14ac:dyDescent="0.25">
      <c r="A4435" s="1">
        <v>45167</v>
      </c>
      <c r="B4435">
        <v>13.15</v>
      </c>
    </row>
    <row r="4436" spans="1:2" x14ac:dyDescent="0.25">
      <c r="A4436" s="1">
        <v>45168</v>
      </c>
      <c r="B4436">
        <v>13.15</v>
      </c>
    </row>
    <row r="4437" spans="1:2" x14ac:dyDescent="0.25">
      <c r="A4437" s="1">
        <v>45169</v>
      </c>
      <c r="B4437">
        <v>13.15</v>
      </c>
    </row>
    <row r="4438" spans="1:2" x14ac:dyDescent="0.25">
      <c r="A4438" s="1">
        <v>45170</v>
      </c>
      <c r="B4438">
        <v>13.15</v>
      </c>
    </row>
    <row r="4439" spans="1:2" x14ac:dyDescent="0.25">
      <c r="A4439" s="1">
        <v>45173</v>
      </c>
      <c r="B4439">
        <v>13.15</v>
      </c>
    </row>
    <row r="4440" spans="1:2" x14ac:dyDescent="0.25">
      <c r="A4440" s="1">
        <v>45174</v>
      </c>
      <c r="B4440">
        <v>13.15</v>
      </c>
    </row>
    <row r="4441" spans="1:2" x14ac:dyDescent="0.25">
      <c r="A4441" s="1">
        <v>45175</v>
      </c>
      <c r="B4441">
        <v>13.15</v>
      </c>
    </row>
    <row r="4442" spans="1:2" x14ac:dyDescent="0.25">
      <c r="A4442" s="1">
        <v>45177</v>
      </c>
      <c r="B4442">
        <v>13.15</v>
      </c>
    </row>
    <row r="4443" spans="1:2" x14ac:dyDescent="0.25">
      <c r="A4443" s="1">
        <v>45180</v>
      </c>
      <c r="B4443">
        <v>13.15</v>
      </c>
    </row>
    <row r="4444" spans="1:2" x14ac:dyDescent="0.25">
      <c r="A4444" s="1">
        <v>45181</v>
      </c>
      <c r="B4444">
        <v>13.15</v>
      </c>
    </row>
    <row r="4445" spans="1:2" x14ac:dyDescent="0.25">
      <c r="A4445" s="1">
        <v>45182</v>
      </c>
      <c r="B4445">
        <v>13.15</v>
      </c>
    </row>
    <row r="4446" spans="1:2" x14ac:dyDescent="0.25">
      <c r="A4446" s="1">
        <v>45183</v>
      </c>
      <c r="B4446">
        <v>13.15</v>
      </c>
    </row>
    <row r="4447" spans="1:2" x14ac:dyDescent="0.25">
      <c r="A4447" s="1">
        <v>45184</v>
      </c>
      <c r="B4447">
        <v>13.15</v>
      </c>
    </row>
    <row r="4448" spans="1:2" x14ac:dyDescent="0.25">
      <c r="A4448" s="1">
        <v>45187</v>
      </c>
      <c r="B4448">
        <v>13.15</v>
      </c>
    </row>
    <row r="4449" spans="1:2" x14ac:dyDescent="0.25">
      <c r="A4449" s="1">
        <v>45188</v>
      </c>
      <c r="B4449">
        <v>13.15</v>
      </c>
    </row>
    <row r="4450" spans="1:2" x14ac:dyDescent="0.25">
      <c r="A4450" s="1">
        <v>45189</v>
      </c>
      <c r="B4450">
        <v>13.15</v>
      </c>
    </row>
    <row r="4451" spans="1:2" x14ac:dyDescent="0.25">
      <c r="A4451" s="1">
        <v>45190</v>
      </c>
      <c r="B4451">
        <v>12.65</v>
      </c>
    </row>
    <row r="4452" spans="1:2" x14ac:dyDescent="0.25">
      <c r="A4452" s="1">
        <v>45191</v>
      </c>
      <c r="B4452">
        <v>12.65</v>
      </c>
    </row>
    <row r="4453" spans="1:2" x14ac:dyDescent="0.25">
      <c r="A4453" s="1">
        <v>45194</v>
      </c>
      <c r="B4453">
        <v>12.65</v>
      </c>
    </row>
    <row r="4454" spans="1:2" x14ac:dyDescent="0.25">
      <c r="A4454" s="1">
        <v>45195</v>
      </c>
      <c r="B4454">
        <v>12.65</v>
      </c>
    </row>
    <row r="4455" spans="1:2" x14ac:dyDescent="0.25">
      <c r="A4455" s="1">
        <v>45196</v>
      </c>
      <c r="B4455">
        <v>12.65</v>
      </c>
    </row>
    <row r="4456" spans="1:2" x14ac:dyDescent="0.25">
      <c r="A4456" s="1">
        <v>45197</v>
      </c>
      <c r="B4456">
        <v>12.65</v>
      </c>
    </row>
    <row r="4457" spans="1:2" x14ac:dyDescent="0.25">
      <c r="A4457" s="1">
        <v>45198</v>
      </c>
      <c r="B4457">
        <v>12.65</v>
      </c>
    </row>
    <row r="4458" spans="1:2" x14ac:dyDescent="0.25">
      <c r="A4458" s="1">
        <v>45201</v>
      </c>
      <c r="B4458">
        <v>12.65</v>
      </c>
    </row>
    <row r="4459" spans="1:2" x14ac:dyDescent="0.25">
      <c r="A4459" s="1">
        <v>45202</v>
      </c>
      <c r="B4459">
        <v>12.65</v>
      </c>
    </row>
    <row r="4460" spans="1:2" x14ac:dyDescent="0.25">
      <c r="A4460" s="1">
        <v>45203</v>
      </c>
      <c r="B4460">
        <v>12.65</v>
      </c>
    </row>
    <row r="4461" spans="1:2" x14ac:dyDescent="0.25">
      <c r="A4461" s="1">
        <v>45204</v>
      </c>
      <c r="B4461">
        <v>12.65</v>
      </c>
    </row>
    <row r="4462" spans="1:2" x14ac:dyDescent="0.25">
      <c r="A4462" s="1">
        <v>45205</v>
      </c>
      <c r="B4462">
        <v>12.65</v>
      </c>
    </row>
    <row r="4463" spans="1:2" x14ac:dyDescent="0.25">
      <c r="A4463" s="1">
        <v>45208</v>
      </c>
      <c r="B4463">
        <v>12.65</v>
      </c>
    </row>
    <row r="4464" spans="1:2" x14ac:dyDescent="0.25">
      <c r="A4464" s="1">
        <v>45209</v>
      </c>
      <c r="B4464">
        <v>12.65</v>
      </c>
    </row>
    <row r="4465" spans="1:2" x14ac:dyDescent="0.25">
      <c r="A4465" s="1">
        <v>45210</v>
      </c>
      <c r="B4465">
        <v>12.65</v>
      </c>
    </row>
    <row r="4466" spans="1:2" x14ac:dyDescent="0.25">
      <c r="A4466" s="1">
        <v>45212</v>
      </c>
      <c r="B4466">
        <v>12.65</v>
      </c>
    </row>
    <row r="4467" spans="1:2" x14ac:dyDescent="0.25">
      <c r="A4467" s="1">
        <v>45215</v>
      </c>
      <c r="B4467">
        <v>12.65</v>
      </c>
    </row>
    <row r="4468" spans="1:2" x14ac:dyDescent="0.25">
      <c r="A4468" s="1">
        <v>45216</v>
      </c>
      <c r="B4468">
        <v>12.65</v>
      </c>
    </row>
    <row r="4469" spans="1:2" x14ac:dyDescent="0.25">
      <c r="A4469" s="1">
        <v>45217</v>
      </c>
      <c r="B4469">
        <v>12.65</v>
      </c>
    </row>
    <row r="4470" spans="1:2" x14ac:dyDescent="0.25">
      <c r="A4470" s="1">
        <v>45218</v>
      </c>
      <c r="B4470">
        <v>12.65</v>
      </c>
    </row>
    <row r="4471" spans="1:2" x14ac:dyDescent="0.25">
      <c r="A4471" s="1">
        <v>45219</v>
      </c>
      <c r="B4471">
        <v>12.65</v>
      </c>
    </row>
    <row r="4472" spans="1:2" x14ac:dyDescent="0.25">
      <c r="A4472" s="1">
        <v>45222</v>
      </c>
      <c r="B4472">
        <v>12.65</v>
      </c>
    </row>
    <row r="4473" spans="1:2" x14ac:dyDescent="0.25">
      <c r="A4473" s="1">
        <v>45223</v>
      </c>
      <c r="B4473">
        <v>12.65</v>
      </c>
    </row>
    <row r="4474" spans="1:2" x14ac:dyDescent="0.25">
      <c r="A4474" s="1">
        <v>45224</v>
      </c>
      <c r="B4474">
        <v>12.65</v>
      </c>
    </row>
    <row r="4475" spans="1:2" x14ac:dyDescent="0.25">
      <c r="A4475" s="1">
        <v>45225</v>
      </c>
      <c r="B4475">
        <v>12.65</v>
      </c>
    </row>
    <row r="4476" spans="1:2" x14ac:dyDescent="0.25">
      <c r="A4476" s="1">
        <v>45226</v>
      </c>
      <c r="B4476">
        <v>12.65</v>
      </c>
    </row>
    <row r="4477" spans="1:2" x14ac:dyDescent="0.25">
      <c r="A4477" s="1">
        <v>45229</v>
      </c>
      <c r="B4477">
        <v>12.65</v>
      </c>
    </row>
    <row r="4478" spans="1:2" x14ac:dyDescent="0.25">
      <c r="A4478" s="1">
        <v>45230</v>
      </c>
      <c r="B4478">
        <v>12.65</v>
      </c>
    </row>
    <row r="4479" spans="1:2" x14ac:dyDescent="0.25">
      <c r="A4479" s="1">
        <v>45231</v>
      </c>
      <c r="B4479">
        <v>12.65</v>
      </c>
    </row>
    <row r="4480" spans="1:2" x14ac:dyDescent="0.25">
      <c r="A4480" s="1">
        <v>45233</v>
      </c>
      <c r="B4480">
        <v>12.15</v>
      </c>
    </row>
    <row r="4481" spans="1:2" x14ac:dyDescent="0.25">
      <c r="A4481" s="1">
        <v>45236</v>
      </c>
      <c r="B4481">
        <v>12.15</v>
      </c>
    </row>
    <row r="4482" spans="1:2" x14ac:dyDescent="0.25">
      <c r="A4482" s="1">
        <v>45237</v>
      </c>
      <c r="B4482">
        <v>12.15</v>
      </c>
    </row>
    <row r="4483" spans="1:2" x14ac:dyDescent="0.25">
      <c r="A4483" s="1">
        <v>45238</v>
      </c>
      <c r="B4483">
        <v>12.15</v>
      </c>
    </row>
    <row r="4484" spans="1:2" x14ac:dyDescent="0.25">
      <c r="A4484" s="1">
        <v>45239</v>
      </c>
      <c r="B4484">
        <v>12.15</v>
      </c>
    </row>
    <row r="4485" spans="1:2" x14ac:dyDescent="0.25">
      <c r="A4485" s="1">
        <v>45240</v>
      </c>
      <c r="B4485">
        <v>12.15</v>
      </c>
    </row>
    <row r="4486" spans="1:2" x14ac:dyDescent="0.25">
      <c r="A4486" s="1">
        <v>45243</v>
      </c>
      <c r="B4486">
        <v>12.15</v>
      </c>
    </row>
    <row r="4487" spans="1:2" x14ac:dyDescent="0.25">
      <c r="A4487" s="1">
        <v>45244</v>
      </c>
      <c r="B4487">
        <v>12.15</v>
      </c>
    </row>
    <row r="4488" spans="1:2" x14ac:dyDescent="0.25">
      <c r="A4488" s="1">
        <v>45246</v>
      </c>
      <c r="B4488">
        <v>12.15</v>
      </c>
    </row>
    <row r="4489" spans="1:2" x14ac:dyDescent="0.25">
      <c r="A4489" s="1">
        <v>45247</v>
      </c>
      <c r="B4489">
        <v>12.15</v>
      </c>
    </row>
    <row r="4490" spans="1:2" x14ac:dyDescent="0.25">
      <c r="A4490" s="1">
        <v>45250</v>
      </c>
      <c r="B4490">
        <v>12.15</v>
      </c>
    </row>
    <row r="4491" spans="1:2" x14ac:dyDescent="0.25">
      <c r="A4491" s="1">
        <v>45251</v>
      </c>
      <c r="B4491">
        <v>12.15</v>
      </c>
    </row>
    <row r="4492" spans="1:2" x14ac:dyDescent="0.25">
      <c r="A4492" s="1">
        <v>45252</v>
      </c>
      <c r="B4492">
        <v>12.15</v>
      </c>
    </row>
    <row r="4493" spans="1:2" x14ac:dyDescent="0.25">
      <c r="A4493" s="1">
        <v>45253</v>
      </c>
      <c r="B4493">
        <v>12.15</v>
      </c>
    </row>
    <row r="4494" spans="1:2" x14ac:dyDescent="0.25">
      <c r="A4494" s="1">
        <v>45254</v>
      </c>
      <c r="B4494">
        <v>12.15</v>
      </c>
    </row>
    <row r="4495" spans="1:2" x14ac:dyDescent="0.25">
      <c r="A4495" s="1">
        <v>45257</v>
      </c>
      <c r="B4495">
        <v>12.15</v>
      </c>
    </row>
    <row r="4496" spans="1:2" x14ac:dyDescent="0.25">
      <c r="A4496" s="1">
        <v>45258</v>
      </c>
      <c r="B4496">
        <v>12.15</v>
      </c>
    </row>
    <row r="4497" spans="1:2" x14ac:dyDescent="0.25">
      <c r="A4497" s="1">
        <v>45259</v>
      </c>
      <c r="B4497">
        <v>12.15</v>
      </c>
    </row>
    <row r="4498" spans="1:2" x14ac:dyDescent="0.25">
      <c r="A4498" s="1">
        <v>45260</v>
      </c>
      <c r="B4498">
        <v>12.15</v>
      </c>
    </row>
    <row r="4499" spans="1:2" x14ac:dyDescent="0.25">
      <c r="A4499" s="1">
        <v>45261</v>
      </c>
      <c r="B4499">
        <v>12.15</v>
      </c>
    </row>
    <row r="4500" spans="1:2" x14ac:dyDescent="0.25">
      <c r="A4500" s="1">
        <v>45264</v>
      </c>
      <c r="B4500">
        <v>12.15</v>
      </c>
    </row>
    <row r="4501" spans="1:2" x14ac:dyDescent="0.25">
      <c r="A4501" s="1">
        <v>45265</v>
      </c>
      <c r="B4501">
        <v>12.15</v>
      </c>
    </row>
    <row r="4502" spans="1:2" x14ac:dyDescent="0.25">
      <c r="A4502" s="1">
        <v>45266</v>
      </c>
      <c r="B4502">
        <v>12.15</v>
      </c>
    </row>
    <row r="4503" spans="1:2" x14ac:dyDescent="0.25">
      <c r="A4503" s="1">
        <v>45267</v>
      </c>
      <c r="B4503">
        <v>12.15</v>
      </c>
    </row>
    <row r="4504" spans="1:2" x14ac:dyDescent="0.25">
      <c r="A4504" s="1">
        <v>45268</v>
      </c>
      <c r="B4504">
        <v>12.15</v>
      </c>
    </row>
    <row r="4505" spans="1:2" x14ac:dyDescent="0.25">
      <c r="A4505" s="1">
        <v>45271</v>
      </c>
      <c r="B4505">
        <v>12.15</v>
      </c>
    </row>
    <row r="4506" spans="1:2" x14ac:dyDescent="0.25">
      <c r="A4506" s="1">
        <v>45272</v>
      </c>
      <c r="B4506">
        <v>12.15</v>
      </c>
    </row>
    <row r="4507" spans="1:2" x14ac:dyDescent="0.25">
      <c r="A4507" s="1">
        <v>45273</v>
      </c>
      <c r="B4507">
        <v>12.15</v>
      </c>
    </row>
    <row r="4508" spans="1:2" x14ac:dyDescent="0.25">
      <c r="A4508" s="1">
        <v>45274</v>
      </c>
      <c r="B4508">
        <v>11.65</v>
      </c>
    </row>
    <row r="4509" spans="1:2" x14ac:dyDescent="0.25">
      <c r="A4509" s="1">
        <v>45275</v>
      </c>
      <c r="B4509">
        <v>11.65</v>
      </c>
    </row>
    <row r="4510" spans="1:2" x14ac:dyDescent="0.25">
      <c r="A4510" s="1">
        <v>45278</v>
      </c>
      <c r="B4510">
        <v>11.65</v>
      </c>
    </row>
    <row r="4511" spans="1:2" x14ac:dyDescent="0.25">
      <c r="A4511" s="1">
        <v>45279</v>
      </c>
      <c r="B4511">
        <v>11.65</v>
      </c>
    </row>
    <row r="4512" spans="1:2" x14ac:dyDescent="0.25">
      <c r="A4512" s="1">
        <v>45280</v>
      </c>
      <c r="B4512">
        <v>11.65</v>
      </c>
    </row>
    <row r="4513" spans="1:2" x14ac:dyDescent="0.25">
      <c r="A4513" s="1">
        <v>45281</v>
      </c>
      <c r="B4513">
        <v>11.65</v>
      </c>
    </row>
    <row r="4514" spans="1:2" x14ac:dyDescent="0.25">
      <c r="A4514" s="1">
        <v>45282</v>
      </c>
      <c r="B4514">
        <v>11.65</v>
      </c>
    </row>
    <row r="4515" spans="1:2" x14ac:dyDescent="0.25">
      <c r="A4515" s="1">
        <v>45286</v>
      </c>
      <c r="B4515">
        <v>11.65</v>
      </c>
    </row>
    <row r="4516" spans="1:2" x14ac:dyDescent="0.25">
      <c r="A4516" s="1">
        <v>45287</v>
      </c>
      <c r="B4516">
        <v>11.65</v>
      </c>
    </row>
    <row r="4517" spans="1:2" x14ac:dyDescent="0.25">
      <c r="A4517" s="1">
        <v>45288</v>
      </c>
      <c r="B4517">
        <v>11.65</v>
      </c>
    </row>
    <row r="4518" spans="1:2" x14ac:dyDescent="0.25">
      <c r="A4518" s="1">
        <v>45289</v>
      </c>
      <c r="B4518">
        <v>11.65</v>
      </c>
    </row>
    <row r="4519" spans="1:2" x14ac:dyDescent="0.25">
      <c r="A4519" s="1">
        <v>45293</v>
      </c>
      <c r="B4519">
        <v>11.65</v>
      </c>
    </row>
    <row r="4520" spans="1:2" x14ac:dyDescent="0.25">
      <c r="A4520" s="1">
        <v>45294</v>
      </c>
      <c r="B4520">
        <v>11.65</v>
      </c>
    </row>
    <row r="4521" spans="1:2" x14ac:dyDescent="0.25">
      <c r="A4521" s="1">
        <v>45295</v>
      </c>
      <c r="B4521">
        <v>11.65</v>
      </c>
    </row>
    <row r="4522" spans="1:2" x14ac:dyDescent="0.25">
      <c r="A4522" s="1">
        <v>45296</v>
      </c>
      <c r="B4522">
        <v>11.65</v>
      </c>
    </row>
    <row r="4523" spans="1:2" x14ac:dyDescent="0.25">
      <c r="A4523" s="1">
        <v>45299</v>
      </c>
      <c r="B4523">
        <v>11.65</v>
      </c>
    </row>
    <row r="4524" spans="1:2" x14ac:dyDescent="0.25">
      <c r="A4524" s="1">
        <v>45300</v>
      </c>
      <c r="B4524">
        <v>11.65</v>
      </c>
    </row>
    <row r="4525" spans="1:2" x14ac:dyDescent="0.25">
      <c r="A4525" s="1">
        <v>45301</v>
      </c>
      <c r="B4525">
        <v>11.65</v>
      </c>
    </row>
    <row r="4526" spans="1:2" x14ac:dyDescent="0.25">
      <c r="A4526" s="1">
        <v>45302</v>
      </c>
      <c r="B4526">
        <v>11.65</v>
      </c>
    </row>
    <row r="4527" spans="1:2" x14ac:dyDescent="0.25">
      <c r="A4527" s="1">
        <v>45303</v>
      </c>
      <c r="B4527">
        <v>11.65</v>
      </c>
    </row>
    <row r="4528" spans="1:2" x14ac:dyDescent="0.25">
      <c r="A4528" s="1">
        <v>45306</v>
      </c>
      <c r="B4528">
        <v>11.65</v>
      </c>
    </row>
    <row r="4529" spans="1:2" x14ac:dyDescent="0.25">
      <c r="A4529" s="1">
        <v>45307</v>
      </c>
      <c r="B4529">
        <v>11.65</v>
      </c>
    </row>
    <row r="4530" spans="1:2" x14ac:dyDescent="0.25">
      <c r="A4530" s="1">
        <v>45308</v>
      </c>
      <c r="B4530">
        <v>11.65</v>
      </c>
    </row>
    <row r="4531" spans="1:2" x14ac:dyDescent="0.25">
      <c r="A4531" s="1">
        <v>45309</v>
      </c>
      <c r="B4531">
        <v>11.65</v>
      </c>
    </row>
    <row r="4532" spans="1:2" x14ac:dyDescent="0.25">
      <c r="A4532" s="1">
        <v>45310</v>
      </c>
      <c r="B4532">
        <v>11.65</v>
      </c>
    </row>
    <row r="4533" spans="1:2" x14ac:dyDescent="0.25">
      <c r="A4533" s="1">
        <v>45313</v>
      </c>
      <c r="B4533">
        <v>11.65</v>
      </c>
    </row>
    <row r="4534" spans="1:2" x14ac:dyDescent="0.25">
      <c r="A4534" s="1">
        <v>45314</v>
      </c>
      <c r="B4534">
        <v>11.65</v>
      </c>
    </row>
    <row r="4535" spans="1:2" x14ac:dyDescent="0.25">
      <c r="A4535" s="1">
        <v>45315</v>
      </c>
      <c r="B4535">
        <v>11.65</v>
      </c>
    </row>
    <row r="4536" spans="1:2" x14ac:dyDescent="0.25">
      <c r="A4536" s="1">
        <v>45316</v>
      </c>
      <c r="B4536">
        <v>11.65</v>
      </c>
    </row>
    <row r="4537" spans="1:2" x14ac:dyDescent="0.25">
      <c r="A4537" s="1">
        <v>45317</v>
      </c>
      <c r="B4537">
        <v>11.65</v>
      </c>
    </row>
    <row r="4538" spans="1:2" x14ac:dyDescent="0.25">
      <c r="A4538" s="1">
        <v>45320</v>
      </c>
      <c r="B4538">
        <v>11.65</v>
      </c>
    </row>
    <row r="4539" spans="1:2" x14ac:dyDescent="0.25">
      <c r="A4539" s="1">
        <v>45321</v>
      </c>
      <c r="B4539">
        <v>11.65</v>
      </c>
    </row>
    <row r="4540" spans="1:2" x14ac:dyDescent="0.25">
      <c r="A4540" s="1">
        <v>45322</v>
      </c>
      <c r="B4540">
        <v>11.65</v>
      </c>
    </row>
    <row r="4541" spans="1:2" x14ac:dyDescent="0.25">
      <c r="A4541" s="1">
        <v>45323</v>
      </c>
      <c r="B4541">
        <v>11.15</v>
      </c>
    </row>
    <row r="4542" spans="1:2" x14ac:dyDescent="0.25">
      <c r="A4542" s="1">
        <v>45324</v>
      </c>
      <c r="B4542">
        <v>11.15</v>
      </c>
    </row>
    <row r="4543" spans="1:2" x14ac:dyDescent="0.25">
      <c r="A4543" s="1">
        <v>45327</v>
      </c>
      <c r="B4543">
        <v>11.15</v>
      </c>
    </row>
    <row r="4544" spans="1:2" x14ac:dyDescent="0.25">
      <c r="A4544" s="1">
        <v>45328</v>
      </c>
      <c r="B4544">
        <v>11.15</v>
      </c>
    </row>
    <row r="4545" spans="1:2" x14ac:dyDescent="0.25">
      <c r="A4545" s="1">
        <v>45329</v>
      </c>
      <c r="B4545">
        <v>11.15</v>
      </c>
    </row>
    <row r="4546" spans="1:2" x14ac:dyDescent="0.25">
      <c r="A4546" s="1">
        <v>45330</v>
      </c>
      <c r="B4546">
        <v>11.15</v>
      </c>
    </row>
    <row r="4547" spans="1:2" x14ac:dyDescent="0.25">
      <c r="A4547" s="1">
        <v>45331</v>
      </c>
      <c r="B4547">
        <v>11.15</v>
      </c>
    </row>
    <row r="4548" spans="1:2" x14ac:dyDescent="0.25">
      <c r="A4548" s="1">
        <v>45336</v>
      </c>
      <c r="B4548">
        <v>11.15</v>
      </c>
    </row>
    <row r="4549" spans="1:2" x14ac:dyDescent="0.25">
      <c r="A4549" s="1">
        <v>45337</v>
      </c>
      <c r="B4549">
        <v>11.15</v>
      </c>
    </row>
    <row r="4550" spans="1:2" x14ac:dyDescent="0.25">
      <c r="A4550" s="1">
        <v>45338</v>
      </c>
      <c r="B4550">
        <v>11.15</v>
      </c>
    </row>
    <row r="4551" spans="1:2" x14ac:dyDescent="0.25">
      <c r="A4551" s="1">
        <v>45341</v>
      </c>
      <c r="B4551">
        <v>11.15</v>
      </c>
    </row>
    <row r="4552" spans="1:2" x14ac:dyDescent="0.25">
      <c r="A4552" s="1">
        <v>45342</v>
      </c>
      <c r="B4552">
        <v>11.15</v>
      </c>
    </row>
    <row r="4553" spans="1:2" x14ac:dyDescent="0.25">
      <c r="A4553" s="1">
        <v>45343</v>
      </c>
      <c r="B4553">
        <v>11.15</v>
      </c>
    </row>
    <row r="4554" spans="1:2" x14ac:dyDescent="0.25">
      <c r="A4554" s="1">
        <v>45344</v>
      </c>
      <c r="B4554">
        <v>11.15</v>
      </c>
    </row>
    <row r="4555" spans="1:2" x14ac:dyDescent="0.25">
      <c r="A4555" s="1">
        <v>45345</v>
      </c>
      <c r="B4555">
        <v>11.15</v>
      </c>
    </row>
    <row r="4556" spans="1:2" x14ac:dyDescent="0.25">
      <c r="A4556" s="1">
        <v>45348</v>
      </c>
      <c r="B4556">
        <v>11.15</v>
      </c>
    </row>
    <row r="4557" spans="1:2" x14ac:dyDescent="0.25">
      <c r="A4557" s="1">
        <v>45349</v>
      </c>
      <c r="B4557">
        <v>11.15</v>
      </c>
    </row>
    <row r="4558" spans="1:2" x14ac:dyDescent="0.25">
      <c r="A4558" s="1">
        <v>45350</v>
      </c>
      <c r="B4558">
        <v>11.15</v>
      </c>
    </row>
    <row r="4559" spans="1:2" x14ac:dyDescent="0.25">
      <c r="A4559" s="1">
        <v>45351</v>
      </c>
      <c r="B4559">
        <v>11.15</v>
      </c>
    </row>
    <row r="4560" spans="1:2" x14ac:dyDescent="0.25">
      <c r="A4560" s="1">
        <v>45352</v>
      </c>
      <c r="B4560">
        <v>11.15</v>
      </c>
    </row>
    <row r="4561" spans="1:2" x14ac:dyDescent="0.25">
      <c r="A4561" s="1">
        <v>45355</v>
      </c>
      <c r="B4561">
        <v>11.15</v>
      </c>
    </row>
    <row r="4562" spans="1:2" x14ac:dyDescent="0.25">
      <c r="A4562" s="1">
        <v>45356</v>
      </c>
      <c r="B4562">
        <v>11.15</v>
      </c>
    </row>
    <row r="4563" spans="1:2" x14ac:dyDescent="0.25">
      <c r="A4563" s="1">
        <v>45357</v>
      </c>
      <c r="B4563">
        <v>11.15</v>
      </c>
    </row>
    <row r="4564" spans="1:2" x14ac:dyDescent="0.25">
      <c r="A4564" s="1">
        <v>45358</v>
      </c>
      <c r="B4564">
        <v>11.15</v>
      </c>
    </row>
    <row r="4565" spans="1:2" x14ac:dyDescent="0.25">
      <c r="A4565" s="1">
        <v>45359</v>
      </c>
      <c r="B4565">
        <v>11.15</v>
      </c>
    </row>
    <row r="4566" spans="1:2" x14ac:dyDescent="0.25">
      <c r="A4566" s="1">
        <v>45362</v>
      </c>
      <c r="B4566">
        <v>11.15</v>
      </c>
    </row>
    <row r="4567" spans="1:2" x14ac:dyDescent="0.25">
      <c r="A4567" s="1">
        <v>45363</v>
      </c>
      <c r="B4567">
        <v>11.15</v>
      </c>
    </row>
    <row r="4568" spans="1:2" x14ac:dyDescent="0.25">
      <c r="A4568" s="1">
        <v>45364</v>
      </c>
      <c r="B4568">
        <v>11.15</v>
      </c>
    </row>
    <row r="4569" spans="1:2" x14ac:dyDescent="0.25">
      <c r="A4569" s="1">
        <v>45365</v>
      </c>
      <c r="B4569">
        <v>11.15</v>
      </c>
    </row>
    <row r="4570" spans="1:2" x14ac:dyDescent="0.25">
      <c r="A4570" s="1">
        <v>45366</v>
      </c>
      <c r="B4570">
        <v>11.15</v>
      </c>
    </row>
    <row r="4571" spans="1:2" x14ac:dyDescent="0.25">
      <c r="A4571" s="1">
        <v>45369</v>
      </c>
      <c r="B4571">
        <v>11.15</v>
      </c>
    </row>
    <row r="4572" spans="1:2" x14ac:dyDescent="0.25">
      <c r="A4572" s="1">
        <v>45370</v>
      </c>
      <c r="B4572">
        <v>11.15</v>
      </c>
    </row>
    <row r="4573" spans="1:2" x14ac:dyDescent="0.25">
      <c r="A4573" s="1">
        <v>45371</v>
      </c>
      <c r="B4573">
        <v>11.15</v>
      </c>
    </row>
    <row r="4574" spans="1:2" x14ac:dyDescent="0.25">
      <c r="A4574" s="1">
        <v>45372</v>
      </c>
      <c r="B4574">
        <v>10.65</v>
      </c>
    </row>
    <row r="4575" spans="1:2" x14ac:dyDescent="0.25">
      <c r="A4575" s="1">
        <v>45373</v>
      </c>
      <c r="B4575">
        <v>10.65</v>
      </c>
    </row>
    <row r="4576" spans="1:2" x14ac:dyDescent="0.25">
      <c r="A4576" s="1">
        <v>45376</v>
      </c>
      <c r="B4576">
        <v>10.65</v>
      </c>
    </row>
    <row r="4577" spans="1:2" x14ac:dyDescent="0.25">
      <c r="A4577" s="1">
        <v>45377</v>
      </c>
      <c r="B4577">
        <v>10.65</v>
      </c>
    </row>
    <row r="4578" spans="1:2" x14ac:dyDescent="0.25">
      <c r="A4578" s="1">
        <v>45378</v>
      </c>
      <c r="B4578">
        <v>10.65</v>
      </c>
    </row>
    <row r="4579" spans="1:2" x14ac:dyDescent="0.25">
      <c r="A4579" s="1">
        <v>45379</v>
      </c>
      <c r="B4579">
        <v>10.65</v>
      </c>
    </row>
    <row r="4580" spans="1:2" x14ac:dyDescent="0.25">
      <c r="A4580" s="1">
        <v>45383</v>
      </c>
      <c r="B4580">
        <v>10.65</v>
      </c>
    </row>
    <row r="4581" spans="1:2" x14ac:dyDescent="0.25">
      <c r="A4581" s="1">
        <v>45384</v>
      </c>
      <c r="B4581">
        <v>10.65</v>
      </c>
    </row>
    <row r="4582" spans="1:2" x14ac:dyDescent="0.25">
      <c r="A4582" s="1">
        <v>45385</v>
      </c>
      <c r="B4582">
        <v>10.65</v>
      </c>
    </row>
    <row r="4583" spans="1:2" x14ac:dyDescent="0.25">
      <c r="A4583" s="1">
        <v>45386</v>
      </c>
      <c r="B4583">
        <v>10.65</v>
      </c>
    </row>
    <row r="4584" spans="1:2" x14ac:dyDescent="0.25">
      <c r="A4584" s="1">
        <v>45387</v>
      </c>
      <c r="B4584">
        <v>10.65</v>
      </c>
    </row>
    <row r="4585" spans="1:2" x14ac:dyDescent="0.25">
      <c r="A4585" s="1">
        <v>45390</v>
      </c>
      <c r="B4585">
        <v>10.65</v>
      </c>
    </row>
    <row r="4586" spans="1:2" x14ac:dyDescent="0.25">
      <c r="A4586" s="1">
        <v>45391</v>
      </c>
      <c r="B4586">
        <v>10.65</v>
      </c>
    </row>
    <row r="4587" spans="1:2" x14ac:dyDescent="0.25">
      <c r="A4587" s="1">
        <v>45392</v>
      </c>
      <c r="B4587">
        <v>10.65</v>
      </c>
    </row>
    <row r="4588" spans="1:2" x14ac:dyDescent="0.25">
      <c r="A4588" s="1">
        <v>45393</v>
      </c>
      <c r="B4588">
        <v>10.65</v>
      </c>
    </row>
    <row r="4589" spans="1:2" x14ac:dyDescent="0.25">
      <c r="A4589" s="1">
        <v>45394</v>
      </c>
      <c r="B4589">
        <v>10.65</v>
      </c>
    </row>
    <row r="4590" spans="1:2" x14ac:dyDescent="0.25">
      <c r="A4590" s="1">
        <v>45397</v>
      </c>
      <c r="B4590">
        <v>10.65</v>
      </c>
    </row>
    <row r="4591" spans="1:2" x14ac:dyDescent="0.25">
      <c r="A4591" s="1">
        <v>45398</v>
      </c>
      <c r="B4591">
        <v>10.65</v>
      </c>
    </row>
    <row r="4592" spans="1:2" x14ac:dyDescent="0.25">
      <c r="A4592" s="1">
        <v>45399</v>
      </c>
      <c r="B4592">
        <v>10.65</v>
      </c>
    </row>
    <row r="4593" spans="1:2" x14ac:dyDescent="0.25">
      <c r="A4593" s="1">
        <v>45400</v>
      </c>
      <c r="B4593">
        <v>10.65</v>
      </c>
    </row>
    <row r="4594" spans="1:2" x14ac:dyDescent="0.25">
      <c r="A4594" s="1">
        <v>45401</v>
      </c>
      <c r="B4594">
        <v>10.65</v>
      </c>
    </row>
    <row r="4595" spans="1:2" x14ac:dyDescent="0.25">
      <c r="A4595" s="1">
        <v>45404</v>
      </c>
      <c r="B4595">
        <v>10.65</v>
      </c>
    </row>
    <row r="4596" spans="1:2" x14ac:dyDescent="0.25">
      <c r="A4596" s="1">
        <v>45405</v>
      </c>
      <c r="B4596">
        <v>10.65</v>
      </c>
    </row>
    <row r="4597" spans="1:2" x14ac:dyDescent="0.25">
      <c r="A4597" s="1">
        <v>45406</v>
      </c>
      <c r="B4597">
        <v>10.65</v>
      </c>
    </row>
    <row r="4598" spans="1:2" x14ac:dyDescent="0.25">
      <c r="A4598" s="1">
        <v>45407</v>
      </c>
      <c r="B4598">
        <v>10.65</v>
      </c>
    </row>
    <row r="4599" spans="1:2" x14ac:dyDescent="0.25">
      <c r="A4599" s="1">
        <v>45408</v>
      </c>
      <c r="B4599">
        <v>10.65</v>
      </c>
    </row>
    <row r="4600" spans="1:2" x14ac:dyDescent="0.25">
      <c r="A4600" s="1">
        <v>45411</v>
      </c>
      <c r="B4600">
        <v>10.65</v>
      </c>
    </row>
    <row r="4601" spans="1:2" x14ac:dyDescent="0.25">
      <c r="A4601" s="1">
        <v>45412</v>
      </c>
      <c r="B4601">
        <v>10.65</v>
      </c>
    </row>
    <row r="4602" spans="1:2" x14ac:dyDescent="0.25">
      <c r="A4602" s="1">
        <v>45414</v>
      </c>
      <c r="B4602">
        <v>10.65</v>
      </c>
    </row>
    <row r="4603" spans="1:2" x14ac:dyDescent="0.25">
      <c r="A4603" s="1">
        <v>45415</v>
      </c>
      <c r="B4603">
        <v>10.65</v>
      </c>
    </row>
    <row r="4604" spans="1:2" x14ac:dyDescent="0.25">
      <c r="A4604" s="1">
        <v>45418</v>
      </c>
      <c r="B4604">
        <v>10.65</v>
      </c>
    </row>
    <row r="4605" spans="1:2" x14ac:dyDescent="0.25">
      <c r="A4605" s="1">
        <v>45419</v>
      </c>
      <c r="B4605">
        <v>10.65</v>
      </c>
    </row>
    <row r="4606" spans="1:2" x14ac:dyDescent="0.25">
      <c r="A4606" s="1">
        <v>45420</v>
      </c>
      <c r="B4606">
        <v>10.65</v>
      </c>
    </row>
    <row r="4607" spans="1:2" x14ac:dyDescent="0.25">
      <c r="A4607" s="1">
        <v>45421</v>
      </c>
      <c r="B4607">
        <v>10.4</v>
      </c>
    </row>
    <row r="4608" spans="1:2" x14ac:dyDescent="0.25">
      <c r="A4608" s="1">
        <v>45422</v>
      </c>
      <c r="B4608">
        <v>10.4</v>
      </c>
    </row>
    <row r="4609" spans="1:2" x14ac:dyDescent="0.25">
      <c r="A4609" s="1">
        <v>45425</v>
      </c>
      <c r="B4609">
        <v>10.4</v>
      </c>
    </row>
    <row r="4610" spans="1:2" x14ac:dyDescent="0.25">
      <c r="A4610" s="1">
        <v>45426</v>
      </c>
      <c r="B4610">
        <v>10.4</v>
      </c>
    </row>
    <row r="4611" spans="1:2" x14ac:dyDescent="0.25">
      <c r="A4611" s="1">
        <v>45427</v>
      </c>
      <c r="B4611">
        <v>10.4</v>
      </c>
    </row>
    <row r="4612" spans="1:2" x14ac:dyDescent="0.25">
      <c r="A4612" s="1">
        <v>45428</v>
      </c>
      <c r="B4612">
        <v>10.4</v>
      </c>
    </row>
    <row r="4613" spans="1:2" x14ac:dyDescent="0.25">
      <c r="A4613" s="1">
        <v>45429</v>
      </c>
      <c r="B4613">
        <v>10.4</v>
      </c>
    </row>
    <row r="4614" spans="1:2" x14ac:dyDescent="0.25">
      <c r="A4614" s="1">
        <v>45432</v>
      </c>
      <c r="B4614">
        <v>10.4</v>
      </c>
    </row>
    <row r="4615" spans="1:2" x14ac:dyDescent="0.25">
      <c r="A4615" s="1">
        <v>45433</v>
      </c>
      <c r="B4615">
        <v>10.4</v>
      </c>
    </row>
    <row r="4616" spans="1:2" x14ac:dyDescent="0.25">
      <c r="A4616" s="1">
        <v>45434</v>
      </c>
      <c r="B4616">
        <v>10.4</v>
      </c>
    </row>
    <row r="4617" spans="1:2" x14ac:dyDescent="0.25">
      <c r="A4617" s="1">
        <v>45435</v>
      </c>
      <c r="B4617">
        <v>10.4</v>
      </c>
    </row>
    <row r="4618" spans="1:2" x14ac:dyDescent="0.25">
      <c r="A4618" s="1">
        <v>45436</v>
      </c>
      <c r="B4618">
        <v>10.4</v>
      </c>
    </row>
    <row r="4619" spans="1:2" x14ac:dyDescent="0.25">
      <c r="A4619" s="1">
        <v>45439</v>
      </c>
      <c r="B4619">
        <v>10.4</v>
      </c>
    </row>
    <row r="4620" spans="1:2" x14ac:dyDescent="0.25">
      <c r="A4620" s="1">
        <v>45440</v>
      </c>
      <c r="B4620">
        <v>10.4</v>
      </c>
    </row>
    <row r="4621" spans="1:2" x14ac:dyDescent="0.25">
      <c r="A4621" s="1">
        <v>45441</v>
      </c>
      <c r="B4621">
        <v>10.4</v>
      </c>
    </row>
    <row r="4622" spans="1:2" x14ac:dyDescent="0.25">
      <c r="A4622" s="1">
        <v>45443</v>
      </c>
      <c r="B4622">
        <v>10.4</v>
      </c>
    </row>
    <row r="4623" spans="1:2" x14ac:dyDescent="0.25">
      <c r="A4623" s="1">
        <v>45446</v>
      </c>
      <c r="B4623">
        <v>10.4</v>
      </c>
    </row>
    <row r="4624" spans="1:2" x14ac:dyDescent="0.25">
      <c r="A4624" s="1">
        <v>45447</v>
      </c>
      <c r="B4624">
        <v>10.4</v>
      </c>
    </row>
    <row r="4625" spans="1:2" x14ac:dyDescent="0.25">
      <c r="A4625" s="1">
        <v>45448</v>
      </c>
      <c r="B4625">
        <v>10.4</v>
      </c>
    </row>
    <row r="4626" spans="1:2" x14ac:dyDescent="0.25">
      <c r="A4626" s="1">
        <v>45449</v>
      </c>
      <c r="B4626">
        <v>10.4</v>
      </c>
    </row>
    <row r="4627" spans="1:2" x14ac:dyDescent="0.25">
      <c r="A4627" s="1">
        <v>45450</v>
      </c>
      <c r="B4627">
        <v>10.4</v>
      </c>
    </row>
    <row r="4628" spans="1:2" x14ac:dyDescent="0.25">
      <c r="A4628" s="1">
        <v>45453</v>
      </c>
      <c r="B4628">
        <v>10.4</v>
      </c>
    </row>
    <row r="4629" spans="1:2" x14ac:dyDescent="0.25">
      <c r="A4629" s="1">
        <v>45454</v>
      </c>
      <c r="B4629">
        <v>10.4</v>
      </c>
    </row>
    <row r="4630" spans="1:2" x14ac:dyDescent="0.25">
      <c r="A4630" s="1">
        <v>45455</v>
      </c>
      <c r="B4630">
        <v>10.4</v>
      </c>
    </row>
    <row r="4631" spans="1:2" x14ac:dyDescent="0.25">
      <c r="A4631" s="1">
        <v>45456</v>
      </c>
      <c r="B4631">
        <v>10.4</v>
      </c>
    </row>
    <row r="4632" spans="1:2" x14ac:dyDescent="0.25">
      <c r="A4632" s="1">
        <v>45457</v>
      </c>
      <c r="B4632">
        <v>10.4</v>
      </c>
    </row>
    <row r="4633" spans="1:2" x14ac:dyDescent="0.25">
      <c r="A4633" s="1">
        <v>45460</v>
      </c>
      <c r="B4633">
        <v>10.4</v>
      </c>
    </row>
    <row r="4634" spans="1:2" x14ac:dyDescent="0.25">
      <c r="A4634" s="1">
        <v>45461</v>
      </c>
      <c r="B4634">
        <v>10.4</v>
      </c>
    </row>
    <row r="4635" spans="1:2" x14ac:dyDescent="0.25">
      <c r="A4635" s="1">
        <v>45462</v>
      </c>
      <c r="B4635">
        <v>10.4</v>
      </c>
    </row>
    <row r="4636" spans="1:2" x14ac:dyDescent="0.25">
      <c r="A4636" s="1">
        <v>45463</v>
      </c>
      <c r="B4636">
        <v>10.4</v>
      </c>
    </row>
    <row r="4637" spans="1:2" x14ac:dyDescent="0.25">
      <c r="A4637" s="1">
        <v>45464</v>
      </c>
      <c r="B4637">
        <v>10.4</v>
      </c>
    </row>
    <row r="4638" spans="1:2" x14ac:dyDescent="0.25">
      <c r="A4638" s="1">
        <v>45467</v>
      </c>
      <c r="B4638">
        <v>10.4</v>
      </c>
    </row>
    <row r="4639" spans="1:2" x14ac:dyDescent="0.25">
      <c r="A4639" s="1">
        <v>45468</v>
      </c>
      <c r="B4639">
        <v>10.4</v>
      </c>
    </row>
    <row r="4640" spans="1:2" x14ac:dyDescent="0.25">
      <c r="A4640" s="1">
        <v>45469</v>
      </c>
      <c r="B4640">
        <v>10.4</v>
      </c>
    </row>
    <row r="4641" spans="1:2" x14ac:dyDescent="0.25">
      <c r="A4641" s="1">
        <v>45470</v>
      </c>
      <c r="B4641">
        <v>10.4</v>
      </c>
    </row>
    <row r="4642" spans="1:2" x14ac:dyDescent="0.25">
      <c r="A4642" s="1">
        <v>45471</v>
      </c>
      <c r="B4642">
        <v>10.4</v>
      </c>
    </row>
    <row r="4643" spans="1:2" x14ac:dyDescent="0.25">
      <c r="A4643" s="1">
        <v>45474</v>
      </c>
      <c r="B4643">
        <v>10.4</v>
      </c>
    </row>
    <row r="4644" spans="1:2" x14ac:dyDescent="0.25">
      <c r="A4644" s="1">
        <v>45475</v>
      </c>
      <c r="B4644">
        <v>10.4</v>
      </c>
    </row>
    <row r="4645" spans="1:2" x14ac:dyDescent="0.25">
      <c r="A4645" s="1">
        <v>45476</v>
      </c>
      <c r="B4645">
        <v>10.4</v>
      </c>
    </row>
    <row r="4646" spans="1:2" x14ac:dyDescent="0.25">
      <c r="A4646" s="1">
        <v>45477</v>
      </c>
      <c r="B4646">
        <v>10.4</v>
      </c>
    </row>
    <row r="4647" spans="1:2" x14ac:dyDescent="0.25">
      <c r="A4647" s="1">
        <v>45478</v>
      </c>
      <c r="B4647">
        <v>10.4</v>
      </c>
    </row>
    <row r="4648" spans="1:2" x14ac:dyDescent="0.25">
      <c r="A4648" s="1">
        <v>45481</v>
      </c>
      <c r="B4648">
        <v>10.4</v>
      </c>
    </row>
    <row r="4649" spans="1:2" x14ac:dyDescent="0.25">
      <c r="A4649" s="1">
        <v>45482</v>
      </c>
      <c r="B4649">
        <v>10.4</v>
      </c>
    </row>
    <row r="4650" spans="1:2" x14ac:dyDescent="0.25">
      <c r="A4650" s="1">
        <v>45483</v>
      </c>
      <c r="B4650">
        <v>10.4</v>
      </c>
    </row>
    <row r="4651" spans="1:2" x14ac:dyDescent="0.25">
      <c r="A4651" s="1">
        <v>45484</v>
      </c>
      <c r="B4651">
        <v>10.4</v>
      </c>
    </row>
    <row r="4652" spans="1:2" x14ac:dyDescent="0.25">
      <c r="A4652" s="1">
        <v>45485</v>
      </c>
      <c r="B4652">
        <v>10.4</v>
      </c>
    </row>
    <row r="4653" spans="1:2" x14ac:dyDescent="0.25">
      <c r="A4653" s="1">
        <v>45488</v>
      </c>
      <c r="B4653">
        <v>10.4</v>
      </c>
    </row>
    <row r="4654" spans="1:2" x14ac:dyDescent="0.25">
      <c r="A4654" s="1">
        <v>45489</v>
      </c>
      <c r="B4654">
        <v>10.4</v>
      </c>
    </row>
    <row r="4655" spans="1:2" x14ac:dyDescent="0.25">
      <c r="A4655" s="1">
        <v>45490</v>
      </c>
      <c r="B4655">
        <v>10.4</v>
      </c>
    </row>
    <row r="4656" spans="1:2" x14ac:dyDescent="0.25">
      <c r="A4656" s="1">
        <v>45491</v>
      </c>
      <c r="B4656">
        <v>10.4</v>
      </c>
    </row>
    <row r="4657" spans="1:2" x14ac:dyDescent="0.25">
      <c r="A4657" s="1">
        <v>45492</v>
      </c>
      <c r="B4657">
        <v>10.4</v>
      </c>
    </row>
    <row r="4658" spans="1:2" x14ac:dyDescent="0.25">
      <c r="A4658" s="1">
        <v>45495</v>
      </c>
      <c r="B4658">
        <v>10.4</v>
      </c>
    </row>
    <row r="4659" spans="1:2" x14ac:dyDescent="0.25">
      <c r="A4659" s="1">
        <v>45496</v>
      </c>
      <c r="B4659">
        <v>10.4</v>
      </c>
    </row>
    <row r="4660" spans="1:2" x14ac:dyDescent="0.25">
      <c r="A4660" s="1">
        <v>45497</v>
      </c>
      <c r="B4660">
        <v>10.4</v>
      </c>
    </row>
    <row r="4661" spans="1:2" x14ac:dyDescent="0.25">
      <c r="A4661" s="1">
        <v>45498</v>
      </c>
      <c r="B4661">
        <v>10.4</v>
      </c>
    </row>
    <row r="4662" spans="1:2" x14ac:dyDescent="0.25">
      <c r="A4662" s="1">
        <v>45499</v>
      </c>
      <c r="B4662">
        <v>10.4</v>
      </c>
    </row>
    <row r="4663" spans="1:2" x14ac:dyDescent="0.25">
      <c r="A4663" s="1">
        <v>45502</v>
      </c>
      <c r="B4663">
        <v>10.4</v>
      </c>
    </row>
    <row r="4664" spans="1:2" x14ac:dyDescent="0.25">
      <c r="A4664" s="1">
        <v>45503</v>
      </c>
      <c r="B4664">
        <v>10.4</v>
      </c>
    </row>
    <row r="4665" spans="1:2" x14ac:dyDescent="0.25">
      <c r="A4665" s="1">
        <v>45504</v>
      </c>
      <c r="B4665">
        <v>10.4</v>
      </c>
    </row>
    <row r="4666" spans="1:2" x14ac:dyDescent="0.25">
      <c r="A4666" s="1">
        <v>45505</v>
      </c>
      <c r="B4666">
        <v>10.4</v>
      </c>
    </row>
    <row r="4667" spans="1:2" x14ac:dyDescent="0.25">
      <c r="A4667" s="1">
        <v>45506</v>
      </c>
      <c r="B4667">
        <v>10.4</v>
      </c>
    </row>
    <row r="4668" spans="1:2" x14ac:dyDescent="0.25">
      <c r="A4668" s="1">
        <v>45509</v>
      </c>
      <c r="B4668">
        <v>10.4</v>
      </c>
    </row>
    <row r="4669" spans="1:2" x14ac:dyDescent="0.25">
      <c r="A4669" s="1">
        <v>45510</v>
      </c>
      <c r="B4669">
        <v>10.4</v>
      </c>
    </row>
    <row r="4670" spans="1:2" x14ac:dyDescent="0.25">
      <c r="A4670" s="1">
        <v>45511</v>
      </c>
      <c r="B4670">
        <v>10.4</v>
      </c>
    </row>
    <row r="4671" spans="1:2" x14ac:dyDescent="0.25">
      <c r="A4671" s="1">
        <v>45512</v>
      </c>
      <c r="B4671">
        <v>10.4</v>
      </c>
    </row>
    <row r="4672" spans="1:2" x14ac:dyDescent="0.25">
      <c r="A4672" s="1">
        <v>45513</v>
      </c>
      <c r="B4672">
        <v>10.4</v>
      </c>
    </row>
    <row r="4673" spans="1:2" x14ac:dyDescent="0.25">
      <c r="A4673" s="1">
        <v>45516</v>
      </c>
      <c r="B4673">
        <v>10.4</v>
      </c>
    </row>
    <row r="4674" spans="1:2" x14ac:dyDescent="0.25">
      <c r="A4674" s="1">
        <v>45517</v>
      </c>
      <c r="B4674">
        <v>10.4</v>
      </c>
    </row>
    <row r="4675" spans="1:2" x14ac:dyDescent="0.25">
      <c r="A4675" s="1">
        <v>45518</v>
      </c>
      <c r="B4675">
        <v>10.4</v>
      </c>
    </row>
    <row r="4676" spans="1:2" x14ac:dyDescent="0.25">
      <c r="A4676" s="1">
        <v>45519</v>
      </c>
      <c r="B4676">
        <v>10.4</v>
      </c>
    </row>
    <row r="4677" spans="1:2" x14ac:dyDescent="0.25">
      <c r="A4677" s="1">
        <v>45520</v>
      </c>
      <c r="B4677">
        <v>10.4</v>
      </c>
    </row>
    <row r="4678" spans="1:2" x14ac:dyDescent="0.25">
      <c r="A4678" s="1">
        <v>45523</v>
      </c>
      <c r="B4678">
        <v>10.4</v>
      </c>
    </row>
    <row r="4679" spans="1:2" x14ac:dyDescent="0.25">
      <c r="A4679" s="1">
        <v>45524</v>
      </c>
      <c r="B4679">
        <v>10.4</v>
      </c>
    </row>
    <row r="4680" spans="1:2" x14ac:dyDescent="0.25">
      <c r="A4680" s="1">
        <v>45525</v>
      </c>
      <c r="B4680">
        <v>10.4</v>
      </c>
    </row>
    <row r="4681" spans="1:2" x14ac:dyDescent="0.25">
      <c r="A4681" s="1">
        <v>45526</v>
      </c>
      <c r="B4681">
        <v>10.4</v>
      </c>
    </row>
    <row r="4682" spans="1:2" x14ac:dyDescent="0.25">
      <c r="A4682" s="1">
        <v>45527</v>
      </c>
      <c r="B4682">
        <v>10.4</v>
      </c>
    </row>
    <row r="4683" spans="1:2" x14ac:dyDescent="0.25">
      <c r="A4683" s="1">
        <v>45530</v>
      </c>
      <c r="B4683">
        <v>10.4</v>
      </c>
    </row>
    <row r="4684" spans="1:2" x14ac:dyDescent="0.25">
      <c r="A4684" s="1">
        <v>45531</v>
      </c>
      <c r="B4684">
        <v>10.4</v>
      </c>
    </row>
    <row r="4685" spans="1:2" x14ac:dyDescent="0.25">
      <c r="A4685" s="1">
        <v>45532</v>
      </c>
      <c r="B4685">
        <v>10.4</v>
      </c>
    </row>
    <row r="4686" spans="1:2" x14ac:dyDescent="0.25">
      <c r="A4686" s="1">
        <v>45533</v>
      </c>
      <c r="B4686">
        <v>10.4</v>
      </c>
    </row>
    <row r="4687" spans="1:2" x14ac:dyDescent="0.25">
      <c r="A4687" s="1">
        <v>45534</v>
      </c>
      <c r="B4687">
        <v>10.4</v>
      </c>
    </row>
    <row r="4688" spans="1:2" x14ac:dyDescent="0.25">
      <c r="A4688" s="1">
        <v>45537</v>
      </c>
      <c r="B4688">
        <v>10.4</v>
      </c>
    </row>
    <row r="4689" spans="1:2" x14ac:dyDescent="0.25">
      <c r="A4689" s="1">
        <v>45538</v>
      </c>
      <c r="B4689">
        <v>10.4</v>
      </c>
    </row>
    <row r="4690" spans="1:2" x14ac:dyDescent="0.25">
      <c r="A4690" s="1">
        <v>45539</v>
      </c>
      <c r="B4690">
        <v>10.4</v>
      </c>
    </row>
    <row r="4691" spans="1:2" x14ac:dyDescent="0.25">
      <c r="A4691" s="1">
        <v>45540</v>
      </c>
      <c r="B4691">
        <v>10.4</v>
      </c>
    </row>
    <row r="4692" spans="1:2" x14ac:dyDescent="0.25">
      <c r="A4692" s="1">
        <v>45541</v>
      </c>
      <c r="B4692">
        <v>10.4</v>
      </c>
    </row>
    <row r="4693" spans="1:2" x14ac:dyDescent="0.25">
      <c r="A4693" s="1">
        <v>45544</v>
      </c>
      <c r="B4693">
        <v>10.4</v>
      </c>
    </row>
    <row r="4694" spans="1:2" x14ac:dyDescent="0.25">
      <c r="A4694" s="1">
        <v>45545</v>
      </c>
      <c r="B4694">
        <v>10.4</v>
      </c>
    </row>
    <row r="4695" spans="1:2" x14ac:dyDescent="0.25">
      <c r="A4695" s="1">
        <v>45546</v>
      </c>
      <c r="B4695">
        <v>10.4</v>
      </c>
    </row>
    <row r="4696" spans="1:2" x14ac:dyDescent="0.25">
      <c r="A4696" s="1">
        <v>45547</v>
      </c>
      <c r="B4696">
        <v>10.4</v>
      </c>
    </row>
    <row r="4697" spans="1:2" x14ac:dyDescent="0.25">
      <c r="A4697" s="1">
        <v>45548</v>
      </c>
      <c r="B4697">
        <v>10.4</v>
      </c>
    </row>
    <row r="4698" spans="1:2" x14ac:dyDescent="0.25">
      <c r="A4698" s="1">
        <v>45551</v>
      </c>
      <c r="B4698">
        <v>10.4</v>
      </c>
    </row>
    <row r="4699" spans="1:2" x14ac:dyDescent="0.25">
      <c r="A4699" s="1">
        <v>45552</v>
      </c>
      <c r="B4699">
        <v>10.4</v>
      </c>
    </row>
    <row r="4700" spans="1:2" x14ac:dyDescent="0.25">
      <c r="A4700" s="1">
        <v>45553</v>
      </c>
      <c r="B4700">
        <v>10.4</v>
      </c>
    </row>
    <row r="4701" spans="1:2" x14ac:dyDescent="0.25">
      <c r="A4701" s="1">
        <v>45554</v>
      </c>
      <c r="B4701">
        <v>10.65</v>
      </c>
    </row>
    <row r="4702" spans="1:2" x14ac:dyDescent="0.25">
      <c r="A4702" s="1">
        <v>45555</v>
      </c>
      <c r="B4702">
        <v>10.65</v>
      </c>
    </row>
    <row r="4703" spans="1:2" x14ac:dyDescent="0.25">
      <c r="A4703" s="1">
        <v>45558</v>
      </c>
      <c r="B4703">
        <v>10.65</v>
      </c>
    </row>
    <row r="4704" spans="1:2" x14ac:dyDescent="0.25">
      <c r="A4704" s="1">
        <v>45559</v>
      </c>
      <c r="B4704">
        <v>10.65</v>
      </c>
    </row>
    <row r="4705" spans="1:2" x14ac:dyDescent="0.25">
      <c r="A4705" s="1">
        <v>45560</v>
      </c>
      <c r="B4705">
        <v>10.65</v>
      </c>
    </row>
    <row r="4706" spans="1:2" x14ac:dyDescent="0.25">
      <c r="A4706" s="1">
        <v>45561</v>
      </c>
      <c r="B4706">
        <v>10.65</v>
      </c>
    </row>
    <row r="4707" spans="1:2" x14ac:dyDescent="0.25">
      <c r="A4707" s="1">
        <v>45562</v>
      </c>
      <c r="B4707">
        <v>10.65</v>
      </c>
    </row>
    <row r="4708" spans="1:2" x14ac:dyDescent="0.25">
      <c r="A4708" s="1">
        <v>45565</v>
      </c>
      <c r="B4708">
        <v>10.65</v>
      </c>
    </row>
    <row r="4709" spans="1:2" x14ac:dyDescent="0.25">
      <c r="A4709" s="1">
        <v>45566</v>
      </c>
      <c r="B4709">
        <v>10.65</v>
      </c>
    </row>
    <row r="4710" spans="1:2" x14ac:dyDescent="0.25">
      <c r="A4710" s="1">
        <v>45567</v>
      </c>
      <c r="B4710">
        <v>10.65</v>
      </c>
    </row>
    <row r="4711" spans="1:2" x14ac:dyDescent="0.25">
      <c r="A4711" s="1">
        <v>45568</v>
      </c>
      <c r="B4711">
        <v>10.65</v>
      </c>
    </row>
    <row r="4712" spans="1:2" x14ac:dyDescent="0.25">
      <c r="A4712" s="1">
        <v>45569</v>
      </c>
      <c r="B4712">
        <v>10.65</v>
      </c>
    </row>
    <row r="4713" spans="1:2" x14ac:dyDescent="0.25">
      <c r="A4713" s="1">
        <v>45572</v>
      </c>
      <c r="B4713">
        <v>10.65</v>
      </c>
    </row>
    <row r="4714" spans="1:2" x14ac:dyDescent="0.25">
      <c r="A4714" s="1">
        <v>45573</v>
      </c>
      <c r="B4714">
        <v>10.65</v>
      </c>
    </row>
    <row r="4715" spans="1:2" x14ac:dyDescent="0.25">
      <c r="A4715" s="1">
        <v>45574</v>
      </c>
      <c r="B4715">
        <v>10.65</v>
      </c>
    </row>
    <row r="4716" spans="1:2" x14ac:dyDescent="0.25">
      <c r="A4716" s="1">
        <v>45575</v>
      </c>
      <c r="B4716">
        <v>10.65</v>
      </c>
    </row>
    <row r="4717" spans="1:2" x14ac:dyDescent="0.25">
      <c r="A4717" s="1">
        <v>45576</v>
      </c>
      <c r="B4717">
        <v>10.65</v>
      </c>
    </row>
    <row r="4718" spans="1:2" x14ac:dyDescent="0.25">
      <c r="A4718" s="1">
        <v>45579</v>
      </c>
      <c r="B4718">
        <v>10.65</v>
      </c>
    </row>
    <row r="4719" spans="1:2" x14ac:dyDescent="0.25">
      <c r="A4719" s="1">
        <v>45580</v>
      </c>
      <c r="B4719">
        <v>10.65</v>
      </c>
    </row>
    <row r="4720" spans="1:2" x14ac:dyDescent="0.25">
      <c r="A4720" s="1">
        <v>45581</v>
      </c>
      <c r="B4720">
        <v>10.65</v>
      </c>
    </row>
    <row r="4721" spans="1:2" x14ac:dyDescent="0.25">
      <c r="A4721" s="1">
        <v>45582</v>
      </c>
      <c r="B4721">
        <v>10.65</v>
      </c>
    </row>
    <row r="4722" spans="1:2" x14ac:dyDescent="0.25">
      <c r="A4722" s="1">
        <v>45583</v>
      </c>
      <c r="B4722">
        <v>10.65</v>
      </c>
    </row>
    <row r="4723" spans="1:2" x14ac:dyDescent="0.25">
      <c r="A4723" s="1">
        <v>45586</v>
      </c>
      <c r="B4723">
        <v>10.65</v>
      </c>
    </row>
    <row r="4724" spans="1:2" x14ac:dyDescent="0.25">
      <c r="A4724" s="1">
        <v>45587</v>
      </c>
      <c r="B4724">
        <v>10.65</v>
      </c>
    </row>
    <row r="4725" spans="1:2" x14ac:dyDescent="0.25">
      <c r="A4725" s="1">
        <v>45588</v>
      </c>
      <c r="B4725">
        <v>10.65</v>
      </c>
    </row>
    <row r="4726" spans="1:2" x14ac:dyDescent="0.25">
      <c r="A4726" s="1">
        <v>45589</v>
      </c>
      <c r="B4726">
        <v>10.65</v>
      </c>
    </row>
    <row r="4727" spans="1:2" x14ac:dyDescent="0.25">
      <c r="A4727" s="1">
        <v>45590</v>
      </c>
      <c r="B4727">
        <v>10.65</v>
      </c>
    </row>
    <row r="4728" spans="1:2" x14ac:dyDescent="0.25">
      <c r="A4728" s="1">
        <v>45593</v>
      </c>
      <c r="B4728">
        <v>10.65</v>
      </c>
    </row>
    <row r="4729" spans="1:2" x14ac:dyDescent="0.25">
      <c r="A4729" s="1">
        <v>45594</v>
      </c>
      <c r="B4729">
        <v>10.65</v>
      </c>
    </row>
    <row r="4730" spans="1:2" x14ac:dyDescent="0.25">
      <c r="A4730" s="1">
        <v>45595</v>
      </c>
      <c r="B4730">
        <v>10.65</v>
      </c>
    </row>
    <row r="4731" spans="1:2" x14ac:dyDescent="0.25">
      <c r="A4731" s="1">
        <v>45596</v>
      </c>
      <c r="B4731">
        <v>10.65</v>
      </c>
    </row>
    <row r="4732" spans="1:2" x14ac:dyDescent="0.25">
      <c r="A4732" s="1">
        <v>45597</v>
      </c>
      <c r="B4732">
        <v>10.65</v>
      </c>
    </row>
    <row r="4733" spans="1:2" x14ac:dyDescent="0.25">
      <c r="A4733" s="1">
        <v>45600</v>
      </c>
      <c r="B4733">
        <v>10.65</v>
      </c>
    </row>
    <row r="4734" spans="1:2" x14ac:dyDescent="0.25">
      <c r="A4734" s="1">
        <v>45601</v>
      </c>
      <c r="B4734">
        <v>10.65</v>
      </c>
    </row>
    <row r="4735" spans="1:2" x14ac:dyDescent="0.25">
      <c r="A4735" s="1">
        <v>45602</v>
      </c>
      <c r="B4735">
        <v>10.65</v>
      </c>
    </row>
    <row r="4736" spans="1:2" x14ac:dyDescent="0.25">
      <c r="A4736" s="1">
        <v>45603</v>
      </c>
      <c r="B4736">
        <v>11.15</v>
      </c>
    </row>
    <row r="4737" spans="1:2" x14ac:dyDescent="0.25">
      <c r="A4737" s="1">
        <v>45604</v>
      </c>
      <c r="B4737">
        <v>11.15</v>
      </c>
    </row>
    <row r="4738" spans="1:2" x14ac:dyDescent="0.25">
      <c r="A4738" s="1">
        <v>45607</v>
      </c>
      <c r="B4738">
        <v>11.15</v>
      </c>
    </row>
    <row r="4739" spans="1:2" x14ac:dyDescent="0.25">
      <c r="A4739" s="1">
        <v>45608</v>
      </c>
      <c r="B4739">
        <v>11.15</v>
      </c>
    </row>
    <row r="4740" spans="1:2" x14ac:dyDescent="0.25">
      <c r="A4740" s="1">
        <v>45609</v>
      </c>
      <c r="B4740">
        <v>11.15</v>
      </c>
    </row>
    <row r="4741" spans="1:2" x14ac:dyDescent="0.25">
      <c r="A4741" s="1">
        <v>45610</v>
      </c>
      <c r="B4741">
        <v>11.15</v>
      </c>
    </row>
    <row r="4742" spans="1:2" x14ac:dyDescent="0.25">
      <c r="A4742" s="1">
        <v>45614</v>
      </c>
      <c r="B4742">
        <v>11.15</v>
      </c>
    </row>
    <row r="4743" spans="1:2" x14ac:dyDescent="0.25">
      <c r="A4743" s="1">
        <v>45615</v>
      </c>
      <c r="B4743">
        <v>11.15</v>
      </c>
    </row>
    <row r="4744" spans="1:2" x14ac:dyDescent="0.25">
      <c r="A4744" s="1">
        <v>45617</v>
      </c>
      <c r="B4744">
        <v>11.15</v>
      </c>
    </row>
    <row r="4745" spans="1:2" x14ac:dyDescent="0.25">
      <c r="A4745" s="1">
        <v>45618</v>
      </c>
      <c r="B4745">
        <v>11.15</v>
      </c>
    </row>
    <row r="4746" spans="1:2" x14ac:dyDescent="0.25">
      <c r="A4746" s="1">
        <v>45621</v>
      </c>
      <c r="B4746">
        <v>11.15</v>
      </c>
    </row>
    <row r="4747" spans="1:2" x14ac:dyDescent="0.25">
      <c r="A4747" s="1">
        <v>45622</v>
      </c>
      <c r="B4747">
        <v>11.15</v>
      </c>
    </row>
    <row r="4748" spans="1:2" x14ac:dyDescent="0.25">
      <c r="A4748" s="1">
        <v>45623</v>
      </c>
      <c r="B4748">
        <v>11.15</v>
      </c>
    </row>
    <row r="4749" spans="1:2" x14ac:dyDescent="0.25">
      <c r="A4749" s="1">
        <v>45624</v>
      </c>
      <c r="B4749">
        <v>11.15</v>
      </c>
    </row>
    <row r="4750" spans="1:2" x14ac:dyDescent="0.25">
      <c r="A4750" s="1">
        <v>45625</v>
      </c>
      <c r="B4750">
        <v>11.15</v>
      </c>
    </row>
    <row r="4751" spans="1:2" x14ac:dyDescent="0.25">
      <c r="A4751" s="1">
        <v>45628</v>
      </c>
      <c r="B4751">
        <v>11.15</v>
      </c>
    </row>
    <row r="4752" spans="1:2" x14ac:dyDescent="0.25">
      <c r="A4752" s="1">
        <v>45629</v>
      </c>
      <c r="B4752">
        <v>11.15</v>
      </c>
    </row>
    <row r="4753" spans="1:2" x14ac:dyDescent="0.25">
      <c r="A4753" s="1">
        <v>45630</v>
      </c>
      <c r="B4753">
        <v>11.15</v>
      </c>
    </row>
    <row r="4754" spans="1:2" x14ac:dyDescent="0.25">
      <c r="A4754" s="1">
        <v>45631</v>
      </c>
      <c r="B4754">
        <v>11.15</v>
      </c>
    </row>
    <row r="4755" spans="1:2" x14ac:dyDescent="0.25">
      <c r="A4755" s="1">
        <v>45632</v>
      </c>
      <c r="B4755">
        <v>11.15</v>
      </c>
    </row>
    <row r="4756" spans="1:2" x14ac:dyDescent="0.25">
      <c r="A4756" s="1">
        <v>45635</v>
      </c>
      <c r="B4756">
        <v>11.15</v>
      </c>
    </row>
    <row r="4757" spans="1:2" x14ac:dyDescent="0.25">
      <c r="A4757" s="1">
        <v>45636</v>
      </c>
      <c r="B4757">
        <v>11.15</v>
      </c>
    </row>
    <row r="4758" spans="1:2" x14ac:dyDescent="0.25">
      <c r="A4758" s="1">
        <v>45637</v>
      </c>
      <c r="B4758">
        <v>11.15</v>
      </c>
    </row>
    <row r="4759" spans="1:2" x14ac:dyDescent="0.25">
      <c r="A4759" s="1">
        <v>45638</v>
      </c>
      <c r="B4759">
        <v>12.15</v>
      </c>
    </row>
    <row r="4760" spans="1:2" x14ac:dyDescent="0.25">
      <c r="A4760" s="1">
        <v>45639</v>
      </c>
      <c r="B4760">
        <v>12.15</v>
      </c>
    </row>
    <row r="4761" spans="1:2" x14ac:dyDescent="0.25">
      <c r="A4761" s="1">
        <v>45642</v>
      </c>
      <c r="B4761">
        <v>12.15</v>
      </c>
    </row>
    <row r="4762" spans="1:2" x14ac:dyDescent="0.25">
      <c r="A4762" s="1">
        <v>45643</v>
      </c>
      <c r="B4762">
        <v>12.15</v>
      </c>
    </row>
    <row r="4763" spans="1:2" x14ac:dyDescent="0.25">
      <c r="A4763" s="1">
        <v>45644</v>
      </c>
      <c r="B4763">
        <v>12.15</v>
      </c>
    </row>
    <row r="4764" spans="1:2" x14ac:dyDescent="0.25">
      <c r="A4764" s="1">
        <v>45645</v>
      </c>
      <c r="B4764">
        <v>12.15</v>
      </c>
    </row>
    <row r="4765" spans="1:2" x14ac:dyDescent="0.25">
      <c r="A4765" s="1">
        <v>45646</v>
      </c>
      <c r="B4765">
        <v>12.15</v>
      </c>
    </row>
    <row r="4766" spans="1:2" x14ac:dyDescent="0.25">
      <c r="A4766" s="1">
        <v>45649</v>
      </c>
      <c r="B4766">
        <v>12.15</v>
      </c>
    </row>
    <row r="4767" spans="1:2" x14ac:dyDescent="0.25">
      <c r="A4767" s="1">
        <v>45650</v>
      </c>
      <c r="B4767">
        <v>12.15</v>
      </c>
    </row>
    <row r="4768" spans="1:2" x14ac:dyDescent="0.25">
      <c r="A4768" s="1">
        <v>45652</v>
      </c>
      <c r="B4768">
        <v>12.15</v>
      </c>
    </row>
    <row r="4769" spans="1:2" x14ac:dyDescent="0.25">
      <c r="A4769" s="1">
        <v>45653</v>
      </c>
      <c r="B4769">
        <v>12.15</v>
      </c>
    </row>
    <row r="4770" spans="1:2" x14ac:dyDescent="0.25">
      <c r="A4770" s="1">
        <v>45656</v>
      </c>
      <c r="B4770">
        <v>12.15</v>
      </c>
    </row>
    <row r="4771" spans="1:2" x14ac:dyDescent="0.25">
      <c r="A4771" s="1">
        <v>45657</v>
      </c>
      <c r="B4771">
        <v>12.15</v>
      </c>
    </row>
    <row r="4772" spans="1:2" x14ac:dyDescent="0.25">
      <c r="A4772" s="1">
        <v>45659</v>
      </c>
      <c r="B4772">
        <v>12.15</v>
      </c>
    </row>
    <row r="4773" spans="1:2" x14ac:dyDescent="0.25">
      <c r="A4773" s="1">
        <v>45660</v>
      </c>
      <c r="B4773">
        <v>12.15</v>
      </c>
    </row>
    <row r="4774" spans="1:2" x14ac:dyDescent="0.25">
      <c r="A4774" s="1">
        <v>45663</v>
      </c>
      <c r="B4774">
        <v>12.15</v>
      </c>
    </row>
    <row r="4775" spans="1:2" x14ac:dyDescent="0.25">
      <c r="A4775" s="1">
        <v>45664</v>
      </c>
      <c r="B4775">
        <v>12.15</v>
      </c>
    </row>
    <row r="4776" spans="1:2" x14ac:dyDescent="0.25">
      <c r="A4776" s="1">
        <v>45665</v>
      </c>
      <c r="B4776">
        <v>12.15</v>
      </c>
    </row>
    <row r="4777" spans="1:2" x14ac:dyDescent="0.25">
      <c r="A4777" s="1">
        <v>45666</v>
      </c>
      <c r="B4777">
        <v>12.15</v>
      </c>
    </row>
    <row r="4778" spans="1:2" x14ac:dyDescent="0.25">
      <c r="A4778" s="1">
        <v>45667</v>
      </c>
      <c r="B4778">
        <v>12.15</v>
      </c>
    </row>
    <row r="4779" spans="1:2" x14ac:dyDescent="0.25">
      <c r="A4779" s="1">
        <v>45670</v>
      </c>
      <c r="B4779">
        <v>12.15</v>
      </c>
    </row>
    <row r="4780" spans="1:2" x14ac:dyDescent="0.25">
      <c r="A4780" s="1">
        <v>45671</v>
      </c>
      <c r="B4780">
        <v>12.15</v>
      </c>
    </row>
    <row r="4781" spans="1:2" x14ac:dyDescent="0.25">
      <c r="A4781" s="1">
        <v>45672</v>
      </c>
      <c r="B4781">
        <v>12.15</v>
      </c>
    </row>
    <row r="4782" spans="1:2" x14ac:dyDescent="0.25">
      <c r="A4782" s="1">
        <v>45673</v>
      </c>
      <c r="B4782">
        <v>12.15</v>
      </c>
    </row>
    <row r="4783" spans="1:2" x14ac:dyDescent="0.25">
      <c r="A4783" s="1">
        <v>45674</v>
      </c>
      <c r="B4783">
        <v>12.15</v>
      </c>
    </row>
    <row r="4784" spans="1:2" x14ac:dyDescent="0.25">
      <c r="A4784" s="1">
        <v>45677</v>
      </c>
      <c r="B4784">
        <v>12.15</v>
      </c>
    </row>
    <row r="4785" spans="1:2" x14ac:dyDescent="0.25">
      <c r="A4785" s="1">
        <v>45678</v>
      </c>
      <c r="B4785">
        <v>12.15</v>
      </c>
    </row>
    <row r="4786" spans="1:2" x14ac:dyDescent="0.25">
      <c r="A4786" s="1">
        <v>45679</v>
      </c>
      <c r="B4786">
        <v>12.15</v>
      </c>
    </row>
    <row r="4787" spans="1:2" x14ac:dyDescent="0.25">
      <c r="A4787" s="1">
        <v>45680</v>
      </c>
      <c r="B4787">
        <v>12.15</v>
      </c>
    </row>
    <row r="4788" spans="1:2" x14ac:dyDescent="0.25">
      <c r="A4788" s="1">
        <v>45681</v>
      </c>
      <c r="B4788">
        <v>12.15</v>
      </c>
    </row>
    <row r="4789" spans="1:2" x14ac:dyDescent="0.25">
      <c r="A4789" s="1">
        <v>45684</v>
      </c>
      <c r="B4789">
        <v>12.15</v>
      </c>
    </row>
    <row r="4790" spans="1:2" x14ac:dyDescent="0.25">
      <c r="A4790" s="1">
        <v>45685</v>
      </c>
      <c r="B4790">
        <v>12.15</v>
      </c>
    </row>
    <row r="4791" spans="1:2" x14ac:dyDescent="0.25">
      <c r="A4791" s="1">
        <v>45686</v>
      </c>
      <c r="B4791">
        <v>12.15</v>
      </c>
    </row>
    <row r="4792" spans="1:2" x14ac:dyDescent="0.25">
      <c r="A4792" s="1">
        <v>45687</v>
      </c>
      <c r="B4792">
        <v>13.15</v>
      </c>
    </row>
    <row r="4793" spans="1:2" x14ac:dyDescent="0.25">
      <c r="A4793" s="1">
        <v>45688</v>
      </c>
      <c r="B4793">
        <v>13.15</v>
      </c>
    </row>
    <row r="4794" spans="1:2" x14ac:dyDescent="0.25">
      <c r="A4794" s="1">
        <v>45691</v>
      </c>
      <c r="B4794">
        <v>13.15</v>
      </c>
    </row>
    <row r="4795" spans="1:2" x14ac:dyDescent="0.25">
      <c r="A4795" s="1">
        <v>45692</v>
      </c>
      <c r="B4795">
        <v>13.15</v>
      </c>
    </row>
    <row r="4796" spans="1:2" x14ac:dyDescent="0.25">
      <c r="A4796" s="1">
        <v>45693</v>
      </c>
      <c r="B4796">
        <v>13.15</v>
      </c>
    </row>
    <row r="4797" spans="1:2" x14ac:dyDescent="0.25">
      <c r="A4797" s="1">
        <v>45694</v>
      </c>
      <c r="B4797">
        <v>13.15</v>
      </c>
    </row>
    <row r="4798" spans="1:2" x14ac:dyDescent="0.25">
      <c r="A4798" s="1">
        <v>45695</v>
      </c>
      <c r="B4798">
        <v>13.15</v>
      </c>
    </row>
    <row r="4799" spans="1:2" x14ac:dyDescent="0.25">
      <c r="A4799" s="1">
        <v>45698</v>
      </c>
      <c r="B4799">
        <v>13.15</v>
      </c>
    </row>
    <row r="4800" spans="1:2" x14ac:dyDescent="0.25">
      <c r="A4800" s="1">
        <v>45699</v>
      </c>
      <c r="B4800">
        <v>13.15</v>
      </c>
    </row>
    <row r="4801" spans="1:2" x14ac:dyDescent="0.25">
      <c r="A4801" s="1">
        <v>45700</v>
      </c>
      <c r="B4801">
        <v>13.15</v>
      </c>
    </row>
    <row r="4802" spans="1:2" x14ac:dyDescent="0.25">
      <c r="A4802" s="1">
        <v>45701</v>
      </c>
      <c r="B4802">
        <v>13.15</v>
      </c>
    </row>
    <row r="4803" spans="1:2" x14ac:dyDescent="0.25">
      <c r="A4803" s="1">
        <v>45702</v>
      </c>
      <c r="B4803">
        <v>13.15</v>
      </c>
    </row>
    <row r="4804" spans="1:2" x14ac:dyDescent="0.25">
      <c r="A4804" s="1">
        <v>45705</v>
      </c>
      <c r="B4804">
        <v>13.15</v>
      </c>
    </row>
    <row r="4805" spans="1:2" x14ac:dyDescent="0.25">
      <c r="A4805" s="1">
        <v>45706</v>
      </c>
      <c r="B4805">
        <v>13.15</v>
      </c>
    </row>
    <row r="4806" spans="1:2" x14ac:dyDescent="0.25">
      <c r="A4806" s="1">
        <v>45707</v>
      </c>
      <c r="B4806">
        <v>13.15</v>
      </c>
    </row>
    <row r="4807" spans="1:2" x14ac:dyDescent="0.25">
      <c r="A4807" s="1">
        <v>45708</v>
      </c>
      <c r="B4807">
        <v>13.15</v>
      </c>
    </row>
    <row r="4808" spans="1:2" x14ac:dyDescent="0.25">
      <c r="A4808" s="1">
        <v>45709</v>
      </c>
      <c r="B4808">
        <v>13.15</v>
      </c>
    </row>
    <row r="4809" spans="1:2" x14ac:dyDescent="0.25">
      <c r="A4809" s="1">
        <v>45712</v>
      </c>
      <c r="B4809">
        <v>13.15</v>
      </c>
    </row>
    <row r="4810" spans="1:2" x14ac:dyDescent="0.25">
      <c r="A4810" s="1">
        <v>45713</v>
      </c>
      <c r="B4810">
        <v>13.15</v>
      </c>
    </row>
    <row r="4811" spans="1:2" x14ac:dyDescent="0.25">
      <c r="A4811" s="1">
        <v>45714</v>
      </c>
      <c r="B4811">
        <v>13.15</v>
      </c>
    </row>
    <row r="4812" spans="1:2" x14ac:dyDescent="0.25">
      <c r="A4812" s="1">
        <v>45715</v>
      </c>
      <c r="B4812">
        <v>13.15</v>
      </c>
    </row>
    <row r="4813" spans="1:2" x14ac:dyDescent="0.25">
      <c r="A4813" s="1">
        <v>45716</v>
      </c>
      <c r="B4813">
        <v>13.15</v>
      </c>
    </row>
    <row r="4814" spans="1:2" x14ac:dyDescent="0.25">
      <c r="A4814" s="1">
        <v>45721</v>
      </c>
      <c r="B4814">
        <v>13.15</v>
      </c>
    </row>
    <row r="4815" spans="1:2" x14ac:dyDescent="0.25">
      <c r="A4815" s="1">
        <v>45722</v>
      </c>
      <c r="B4815">
        <v>13.15</v>
      </c>
    </row>
    <row r="4816" spans="1:2" x14ac:dyDescent="0.25">
      <c r="A4816" s="1">
        <v>45723</v>
      </c>
      <c r="B4816">
        <v>13.15</v>
      </c>
    </row>
    <row r="4817" spans="1:2" x14ac:dyDescent="0.25">
      <c r="A4817" s="1">
        <v>45726</v>
      </c>
      <c r="B4817">
        <v>13.15</v>
      </c>
    </row>
    <row r="4818" spans="1:2" x14ac:dyDescent="0.25">
      <c r="A4818" s="1">
        <v>45727</v>
      </c>
      <c r="B4818">
        <v>13.15</v>
      </c>
    </row>
    <row r="4819" spans="1:2" x14ac:dyDescent="0.25">
      <c r="A4819" s="1">
        <v>45728</v>
      </c>
      <c r="B4819">
        <v>13.15</v>
      </c>
    </row>
    <row r="4820" spans="1:2" x14ac:dyDescent="0.25">
      <c r="A4820" s="1">
        <v>45729</v>
      </c>
      <c r="B4820">
        <v>13.15</v>
      </c>
    </row>
    <row r="4821" spans="1:2" x14ac:dyDescent="0.25">
      <c r="A4821" s="1">
        <v>45730</v>
      </c>
      <c r="B4821">
        <v>13.15</v>
      </c>
    </row>
    <row r="4822" spans="1:2" x14ac:dyDescent="0.25">
      <c r="A4822" s="1">
        <v>45733</v>
      </c>
      <c r="B4822">
        <v>13.15</v>
      </c>
    </row>
    <row r="4823" spans="1:2" x14ac:dyDescent="0.25">
      <c r="A4823" s="1">
        <v>45734</v>
      </c>
      <c r="B4823">
        <v>13.15</v>
      </c>
    </row>
    <row r="4824" spans="1:2" x14ac:dyDescent="0.25">
      <c r="A4824" s="1">
        <v>45735</v>
      </c>
      <c r="B4824">
        <v>13.15</v>
      </c>
    </row>
    <row r="4825" spans="1:2" x14ac:dyDescent="0.25">
      <c r="A4825" s="1">
        <v>45736</v>
      </c>
      <c r="B4825">
        <v>14.15</v>
      </c>
    </row>
    <row r="4826" spans="1:2" x14ac:dyDescent="0.25">
      <c r="A4826" s="1">
        <v>45737</v>
      </c>
      <c r="B4826">
        <v>14.15</v>
      </c>
    </row>
    <row r="4827" spans="1:2" x14ac:dyDescent="0.25">
      <c r="A4827" s="1">
        <v>45740</v>
      </c>
      <c r="B4827">
        <v>14.15</v>
      </c>
    </row>
    <row r="4828" spans="1:2" x14ac:dyDescent="0.25">
      <c r="A4828" s="1">
        <v>45741</v>
      </c>
      <c r="B4828">
        <v>14.15</v>
      </c>
    </row>
    <row r="4829" spans="1:2" x14ac:dyDescent="0.25">
      <c r="A4829" s="1">
        <v>45742</v>
      </c>
      <c r="B4829">
        <v>14.15</v>
      </c>
    </row>
    <row r="4830" spans="1:2" x14ac:dyDescent="0.25">
      <c r="A4830" s="1">
        <v>45743</v>
      </c>
      <c r="B4830">
        <v>14.15</v>
      </c>
    </row>
    <row r="4831" spans="1:2" x14ac:dyDescent="0.25">
      <c r="A4831" s="1">
        <v>45744</v>
      </c>
      <c r="B4831">
        <v>14.15</v>
      </c>
    </row>
    <row r="4832" spans="1:2" x14ac:dyDescent="0.25">
      <c r="A4832" s="1">
        <v>45747</v>
      </c>
      <c r="B4832">
        <v>14.15</v>
      </c>
    </row>
    <row r="4833" spans="1:2" x14ac:dyDescent="0.25">
      <c r="A4833" s="1">
        <v>45748</v>
      </c>
      <c r="B4833">
        <v>14.15</v>
      </c>
    </row>
    <row r="4834" spans="1:2" x14ac:dyDescent="0.25">
      <c r="A4834" s="1">
        <v>45749</v>
      </c>
      <c r="B4834">
        <v>14.15</v>
      </c>
    </row>
    <row r="4835" spans="1:2" x14ac:dyDescent="0.25">
      <c r="A4835" s="1">
        <v>45750</v>
      </c>
      <c r="B4835">
        <v>14.15</v>
      </c>
    </row>
    <row r="4836" spans="1:2" x14ac:dyDescent="0.25">
      <c r="A4836" s="1">
        <v>45751</v>
      </c>
      <c r="B4836">
        <v>14.15</v>
      </c>
    </row>
    <row r="4837" spans="1:2" x14ac:dyDescent="0.25">
      <c r="A4837" s="1">
        <v>45754</v>
      </c>
      <c r="B4837">
        <v>14.15</v>
      </c>
    </row>
    <row r="4838" spans="1:2" x14ac:dyDescent="0.25">
      <c r="A4838" s="1">
        <v>45755</v>
      </c>
      <c r="B4838">
        <v>14.15</v>
      </c>
    </row>
    <row r="4839" spans="1:2" x14ac:dyDescent="0.25">
      <c r="A4839" s="1">
        <v>45756</v>
      </c>
      <c r="B4839">
        <v>14.15</v>
      </c>
    </row>
    <row r="4840" spans="1:2" x14ac:dyDescent="0.25">
      <c r="A4840" s="1">
        <v>45757</v>
      </c>
      <c r="B4840">
        <v>14.15</v>
      </c>
    </row>
    <row r="4841" spans="1:2" x14ac:dyDescent="0.25">
      <c r="A4841" s="1">
        <v>45758</v>
      </c>
      <c r="B4841">
        <v>14.15</v>
      </c>
    </row>
    <row r="4842" spans="1:2" x14ac:dyDescent="0.25">
      <c r="A4842" s="1">
        <v>45761</v>
      </c>
      <c r="B4842">
        <v>14.15</v>
      </c>
    </row>
    <row r="4843" spans="1:2" x14ac:dyDescent="0.25">
      <c r="A4843" s="1">
        <v>45762</v>
      </c>
      <c r="B4843">
        <v>14.15</v>
      </c>
    </row>
    <row r="4844" spans="1:2" x14ac:dyDescent="0.25">
      <c r="A4844" s="1">
        <v>45763</v>
      </c>
      <c r="B4844">
        <v>14.15</v>
      </c>
    </row>
    <row r="4845" spans="1:2" x14ac:dyDescent="0.25">
      <c r="A4845" s="1">
        <v>45764</v>
      </c>
      <c r="B4845">
        <v>14.15</v>
      </c>
    </row>
    <row r="4846" spans="1:2" x14ac:dyDescent="0.25">
      <c r="A4846" s="1">
        <v>45769</v>
      </c>
      <c r="B4846">
        <v>14.15</v>
      </c>
    </row>
    <row r="4847" spans="1:2" x14ac:dyDescent="0.25">
      <c r="A4847" s="1">
        <v>45770</v>
      </c>
      <c r="B4847">
        <v>14.15</v>
      </c>
    </row>
    <row r="4848" spans="1:2" x14ac:dyDescent="0.25">
      <c r="A4848" s="1">
        <v>45771</v>
      </c>
      <c r="B4848">
        <v>14.15</v>
      </c>
    </row>
    <row r="4849" spans="1:2" x14ac:dyDescent="0.25">
      <c r="A4849" s="1">
        <v>45772</v>
      </c>
      <c r="B4849">
        <v>14.15</v>
      </c>
    </row>
    <row r="4850" spans="1:2" x14ac:dyDescent="0.25">
      <c r="A4850" s="1">
        <v>45775</v>
      </c>
      <c r="B4850">
        <v>14.15</v>
      </c>
    </row>
    <row r="4851" spans="1:2" x14ac:dyDescent="0.25">
      <c r="A4851" s="1">
        <v>45776</v>
      </c>
      <c r="B4851">
        <v>14.15</v>
      </c>
    </row>
    <row r="4852" spans="1:2" x14ac:dyDescent="0.25">
      <c r="A4852" s="1">
        <v>45777</v>
      </c>
      <c r="B4852">
        <v>14.15</v>
      </c>
    </row>
    <row r="4853" spans="1:2" x14ac:dyDescent="0.25">
      <c r="A4853" s="1">
        <v>45779</v>
      </c>
      <c r="B4853">
        <v>14.15</v>
      </c>
    </row>
    <row r="4854" spans="1:2" x14ac:dyDescent="0.25">
      <c r="A4854" s="1">
        <v>45782</v>
      </c>
      <c r="B4854">
        <v>14.15</v>
      </c>
    </row>
    <row r="4855" spans="1:2" x14ac:dyDescent="0.25">
      <c r="A4855" s="1">
        <v>45783</v>
      </c>
      <c r="B4855">
        <v>14.15</v>
      </c>
    </row>
    <row r="4856" spans="1:2" x14ac:dyDescent="0.25">
      <c r="A4856" s="1">
        <v>45784</v>
      </c>
      <c r="B4856">
        <v>14.15</v>
      </c>
    </row>
    <row r="4857" spans="1:2" x14ac:dyDescent="0.25">
      <c r="A4857" s="1">
        <v>45785</v>
      </c>
      <c r="B4857">
        <v>14.65</v>
      </c>
    </row>
    <row r="4858" spans="1:2" x14ac:dyDescent="0.25">
      <c r="A4858" s="1">
        <v>45786</v>
      </c>
      <c r="B4858">
        <v>14.65</v>
      </c>
    </row>
    <row r="4859" spans="1:2" x14ac:dyDescent="0.25">
      <c r="A4859" s="1">
        <v>45789</v>
      </c>
      <c r="B4859">
        <v>14.65</v>
      </c>
    </row>
    <row r="4860" spans="1:2" x14ac:dyDescent="0.25">
      <c r="A4860" s="1">
        <v>45790</v>
      </c>
      <c r="B4860">
        <v>14.65</v>
      </c>
    </row>
    <row r="4861" spans="1:2" x14ac:dyDescent="0.25">
      <c r="A4861" s="1">
        <v>45791</v>
      </c>
      <c r="B4861">
        <v>14.65</v>
      </c>
    </row>
    <row r="4862" spans="1:2" x14ac:dyDescent="0.25">
      <c r="A4862" s="1">
        <v>45792</v>
      </c>
      <c r="B4862">
        <v>14.65</v>
      </c>
    </row>
    <row r="4863" spans="1:2" x14ac:dyDescent="0.25">
      <c r="A4863" s="1">
        <v>45793</v>
      </c>
      <c r="B4863">
        <v>14.65</v>
      </c>
    </row>
    <row r="4864" spans="1:2" x14ac:dyDescent="0.25">
      <c r="A4864" s="1">
        <v>45796</v>
      </c>
      <c r="B4864">
        <v>14.65</v>
      </c>
    </row>
    <row r="4865" spans="1:2" x14ac:dyDescent="0.25">
      <c r="A4865" s="1">
        <v>45797</v>
      </c>
      <c r="B4865">
        <v>14.65</v>
      </c>
    </row>
    <row r="4866" spans="1:2" x14ac:dyDescent="0.25">
      <c r="A4866" s="1">
        <v>45798</v>
      </c>
      <c r="B4866">
        <v>14.65</v>
      </c>
    </row>
    <row r="4867" spans="1:2" x14ac:dyDescent="0.25">
      <c r="A4867" s="1">
        <v>45799</v>
      </c>
      <c r="B4867">
        <v>14.65</v>
      </c>
    </row>
    <row r="4868" spans="1:2" x14ac:dyDescent="0.25">
      <c r="A4868" s="1">
        <v>45800</v>
      </c>
      <c r="B4868">
        <v>14.65</v>
      </c>
    </row>
    <row r="4869" spans="1:2" x14ac:dyDescent="0.25">
      <c r="A4869" s="1">
        <v>45803</v>
      </c>
      <c r="B4869">
        <v>14.65</v>
      </c>
    </row>
    <row r="4870" spans="1:2" x14ac:dyDescent="0.25">
      <c r="A4870" s="1">
        <v>45804</v>
      </c>
      <c r="B4870">
        <v>14.65</v>
      </c>
    </row>
    <row r="4871" spans="1:2" x14ac:dyDescent="0.25">
      <c r="A4871" s="1">
        <v>45805</v>
      </c>
      <c r="B4871">
        <v>14.65</v>
      </c>
    </row>
    <row r="4872" spans="1:2" x14ac:dyDescent="0.25">
      <c r="A4872" s="1">
        <v>45806</v>
      </c>
      <c r="B4872">
        <v>14.65</v>
      </c>
    </row>
    <row r="4873" spans="1:2" x14ac:dyDescent="0.25">
      <c r="A4873" s="1">
        <v>45807</v>
      </c>
      <c r="B4873">
        <v>14.65</v>
      </c>
    </row>
    <row r="4874" spans="1:2" x14ac:dyDescent="0.25">
      <c r="A4874" s="1">
        <v>45810</v>
      </c>
      <c r="B4874">
        <v>14.65</v>
      </c>
    </row>
    <row r="4875" spans="1:2" x14ac:dyDescent="0.25">
      <c r="A4875" s="1">
        <v>45811</v>
      </c>
      <c r="B4875">
        <v>14.65</v>
      </c>
    </row>
    <row r="4876" spans="1:2" x14ac:dyDescent="0.25">
      <c r="A4876" s="1">
        <v>45812</v>
      </c>
      <c r="B4876">
        <v>14.65</v>
      </c>
    </row>
    <row r="4877" spans="1:2" x14ac:dyDescent="0.25">
      <c r="A4877" s="1">
        <v>45813</v>
      </c>
      <c r="B4877">
        <v>14.65</v>
      </c>
    </row>
    <row r="4878" spans="1:2" x14ac:dyDescent="0.25">
      <c r="A4878" s="1">
        <v>45814</v>
      </c>
      <c r="B4878">
        <v>14.65</v>
      </c>
    </row>
    <row r="4879" spans="1:2" x14ac:dyDescent="0.25">
      <c r="A4879" s="1">
        <v>45817</v>
      </c>
      <c r="B4879">
        <v>14.65</v>
      </c>
    </row>
    <row r="4880" spans="1:2" x14ac:dyDescent="0.25">
      <c r="A4880" s="1">
        <v>45818</v>
      </c>
      <c r="B4880">
        <v>14.65</v>
      </c>
    </row>
    <row r="4881" spans="1:2" x14ac:dyDescent="0.25">
      <c r="A4881" s="1">
        <v>45819</v>
      </c>
      <c r="B4881">
        <v>14.65</v>
      </c>
    </row>
    <row r="4882" spans="1:2" x14ac:dyDescent="0.25">
      <c r="A4882" s="1">
        <v>45820</v>
      </c>
      <c r="B4882">
        <v>14.65</v>
      </c>
    </row>
    <row r="4883" spans="1:2" x14ac:dyDescent="0.25">
      <c r="A4883" s="1">
        <v>45821</v>
      </c>
      <c r="B4883">
        <v>14.65</v>
      </c>
    </row>
    <row r="4884" spans="1:2" x14ac:dyDescent="0.25">
      <c r="A4884" s="1">
        <v>45824</v>
      </c>
      <c r="B4884">
        <v>14.65</v>
      </c>
    </row>
    <row r="4885" spans="1:2" x14ac:dyDescent="0.25">
      <c r="A4885" s="1">
        <v>45825</v>
      </c>
      <c r="B4885">
        <v>14.65</v>
      </c>
    </row>
    <row r="4886" spans="1:2" x14ac:dyDescent="0.25">
      <c r="A4886" s="1">
        <v>45826</v>
      </c>
      <c r="B4886">
        <v>14.65</v>
      </c>
    </row>
    <row r="4887" spans="1:2" x14ac:dyDescent="0.25">
      <c r="A4887" s="1">
        <v>45828</v>
      </c>
      <c r="B4887">
        <v>14.9</v>
      </c>
    </row>
    <row r="4888" spans="1:2" x14ac:dyDescent="0.25">
      <c r="A4888" s="1">
        <v>45831</v>
      </c>
      <c r="B4888">
        <v>14.9</v>
      </c>
    </row>
    <row r="4889" spans="1:2" x14ac:dyDescent="0.25">
      <c r="A4889" s="1">
        <v>45832</v>
      </c>
      <c r="B4889">
        <v>14.9</v>
      </c>
    </row>
    <row r="4890" spans="1:2" x14ac:dyDescent="0.25">
      <c r="A4890" s="1">
        <v>45833</v>
      </c>
      <c r="B4890">
        <v>14.9</v>
      </c>
    </row>
    <row r="4891" spans="1:2" x14ac:dyDescent="0.25">
      <c r="A4891" s="1">
        <v>45834</v>
      </c>
      <c r="B4891">
        <v>14.9</v>
      </c>
    </row>
    <row r="4892" spans="1:2" x14ac:dyDescent="0.25">
      <c r="A4892" s="1">
        <v>45835</v>
      </c>
      <c r="B4892">
        <v>14.9</v>
      </c>
    </row>
    <row r="4893" spans="1:2" x14ac:dyDescent="0.25">
      <c r="A4893" s="1">
        <v>45838</v>
      </c>
      <c r="B4893">
        <v>14.9</v>
      </c>
    </row>
    <row r="4894" spans="1:2" x14ac:dyDescent="0.25">
      <c r="A4894" s="1">
        <v>45839</v>
      </c>
      <c r="B4894">
        <v>14.9</v>
      </c>
    </row>
    <row r="4895" spans="1:2" x14ac:dyDescent="0.25">
      <c r="A4895" s="1">
        <v>45840</v>
      </c>
      <c r="B4895">
        <v>14.9</v>
      </c>
    </row>
    <row r="4896" spans="1:2" x14ac:dyDescent="0.25">
      <c r="A4896" s="1">
        <v>45841</v>
      </c>
      <c r="B4896">
        <v>14.9</v>
      </c>
    </row>
    <row r="4897" spans="1:2" x14ac:dyDescent="0.25">
      <c r="A4897" s="1">
        <v>45842</v>
      </c>
      <c r="B4897">
        <v>14.9</v>
      </c>
    </row>
    <row r="4898" spans="1:2" x14ac:dyDescent="0.25">
      <c r="A4898" s="1">
        <v>45845</v>
      </c>
      <c r="B4898">
        <v>14.9</v>
      </c>
    </row>
    <row r="4899" spans="1:2" x14ac:dyDescent="0.25">
      <c r="A4899" s="1">
        <v>45846</v>
      </c>
      <c r="B4899">
        <v>14.9</v>
      </c>
    </row>
    <row r="4900" spans="1:2" x14ac:dyDescent="0.25">
      <c r="A4900" s="1">
        <v>45847</v>
      </c>
      <c r="B4900">
        <v>14.9</v>
      </c>
    </row>
    <row r="4901" spans="1:2" x14ac:dyDescent="0.25">
      <c r="A4901" s="1">
        <v>45848</v>
      </c>
      <c r="B4901">
        <v>14.9</v>
      </c>
    </row>
    <row r="4902" spans="1:2" x14ac:dyDescent="0.25">
      <c r="A4902" s="1">
        <v>45849</v>
      </c>
      <c r="B4902">
        <v>14.9</v>
      </c>
    </row>
    <row r="4903" spans="1:2" x14ac:dyDescent="0.25">
      <c r="A4903" s="1">
        <v>45852</v>
      </c>
      <c r="B4903">
        <v>14.9</v>
      </c>
    </row>
    <row r="4904" spans="1:2" x14ac:dyDescent="0.25">
      <c r="A4904" s="1">
        <v>45853</v>
      </c>
      <c r="B4904">
        <v>14.9</v>
      </c>
    </row>
    <row r="4905" spans="1:2" x14ac:dyDescent="0.25">
      <c r="A4905" s="1">
        <v>45854</v>
      </c>
      <c r="B4905">
        <v>14.9</v>
      </c>
    </row>
    <row r="4906" spans="1:2" x14ac:dyDescent="0.25">
      <c r="A4906" s="1">
        <v>45855</v>
      </c>
      <c r="B4906">
        <v>14.9</v>
      </c>
    </row>
    <row r="4907" spans="1:2" x14ac:dyDescent="0.25">
      <c r="A4907" s="1">
        <v>45856</v>
      </c>
      <c r="B4907">
        <v>14.9</v>
      </c>
    </row>
    <row r="4908" spans="1:2" x14ac:dyDescent="0.25">
      <c r="A4908" s="1">
        <v>45859</v>
      </c>
      <c r="B4908">
        <v>14.9</v>
      </c>
    </row>
    <row r="4909" spans="1:2" x14ac:dyDescent="0.25">
      <c r="A4909" s="1">
        <v>45860</v>
      </c>
      <c r="B4909">
        <v>14.9</v>
      </c>
    </row>
    <row r="4910" spans="1:2" x14ac:dyDescent="0.25">
      <c r="A4910" s="1">
        <v>45861</v>
      </c>
      <c r="B4910">
        <v>14.9</v>
      </c>
    </row>
    <row r="4911" spans="1:2" x14ac:dyDescent="0.25">
      <c r="A4911" s="1">
        <v>45862</v>
      </c>
      <c r="B4911">
        <v>14.9</v>
      </c>
    </row>
    <row r="4912" spans="1:2" x14ac:dyDescent="0.25">
      <c r="A4912" s="1">
        <v>45863</v>
      </c>
      <c r="B4912">
        <v>14.9</v>
      </c>
    </row>
    <row r="4913" spans="1:2" x14ac:dyDescent="0.25">
      <c r="A4913" s="1">
        <v>45866</v>
      </c>
      <c r="B4913">
        <v>14.9</v>
      </c>
    </row>
    <row r="4914" spans="1:2" x14ac:dyDescent="0.25">
      <c r="A4914" s="1">
        <v>45867</v>
      </c>
      <c r="B4914">
        <v>14.9</v>
      </c>
    </row>
    <row r="4915" spans="1:2" x14ac:dyDescent="0.25">
      <c r="A4915" s="1">
        <v>45868</v>
      </c>
      <c r="B4915">
        <v>14.9</v>
      </c>
    </row>
    <row r="4916" spans="1:2" x14ac:dyDescent="0.25">
      <c r="A4916" s="1">
        <v>45869</v>
      </c>
      <c r="B4916">
        <v>14.9</v>
      </c>
    </row>
    <row r="4917" spans="1:2" x14ac:dyDescent="0.25">
      <c r="A4917" s="1">
        <v>45870</v>
      </c>
      <c r="B4917">
        <v>14.9</v>
      </c>
    </row>
    <row r="4918" spans="1:2" x14ac:dyDescent="0.25">
      <c r="A4918" s="1">
        <v>45873</v>
      </c>
      <c r="B4918">
        <v>14.9</v>
      </c>
    </row>
    <row r="4919" spans="1:2" x14ac:dyDescent="0.25">
      <c r="A4919" s="1">
        <v>45874</v>
      </c>
      <c r="B4919">
        <v>14.9</v>
      </c>
    </row>
    <row r="4920" spans="1:2" x14ac:dyDescent="0.25">
      <c r="A4920" s="1">
        <v>45875</v>
      </c>
      <c r="B4920">
        <v>14.9</v>
      </c>
    </row>
    <row r="4921" spans="1:2" x14ac:dyDescent="0.25">
      <c r="A4921" s="1">
        <v>45876</v>
      </c>
      <c r="B4921">
        <v>14.9</v>
      </c>
    </row>
    <row r="4922" spans="1:2" x14ac:dyDescent="0.25">
      <c r="A4922" s="1">
        <v>45877</v>
      </c>
      <c r="B4922">
        <v>14.9</v>
      </c>
    </row>
    <row r="4923" spans="1:2" x14ac:dyDescent="0.25">
      <c r="A4923" s="1">
        <v>45880</v>
      </c>
      <c r="B4923">
        <v>14.9</v>
      </c>
    </row>
    <row r="4924" spans="1:2" x14ac:dyDescent="0.25">
      <c r="A4924" s="1">
        <v>45881</v>
      </c>
      <c r="B4924">
        <v>14.9</v>
      </c>
    </row>
    <row r="4925" spans="1:2" x14ac:dyDescent="0.25">
      <c r="A4925" s="1">
        <v>45882</v>
      </c>
      <c r="B4925">
        <v>14.9</v>
      </c>
    </row>
    <row r="4926" spans="1:2" x14ac:dyDescent="0.25">
      <c r="A4926" s="1">
        <v>45883</v>
      </c>
      <c r="B4926">
        <v>14.9</v>
      </c>
    </row>
    <row r="4927" spans="1:2" x14ac:dyDescent="0.25">
      <c r="A4927" s="1">
        <v>45884</v>
      </c>
      <c r="B4927">
        <v>14.9</v>
      </c>
    </row>
    <row r="4928" spans="1:2" x14ac:dyDescent="0.25">
      <c r="A4928" s="1">
        <v>45887</v>
      </c>
      <c r="B4928">
        <v>14.9</v>
      </c>
    </row>
    <row r="4929" spans="1:2" x14ac:dyDescent="0.25">
      <c r="A4929" s="1">
        <v>45888</v>
      </c>
      <c r="B4929">
        <v>14.9</v>
      </c>
    </row>
    <row r="4930" spans="1:2" x14ac:dyDescent="0.25">
      <c r="A4930" s="1">
        <v>45889</v>
      </c>
      <c r="B4930">
        <v>14.9</v>
      </c>
    </row>
    <row r="4931" spans="1:2" x14ac:dyDescent="0.25">
      <c r="A4931" s="1">
        <v>45890</v>
      </c>
      <c r="B4931">
        <v>14.9</v>
      </c>
    </row>
    <row r="4932" spans="1:2" x14ac:dyDescent="0.25">
      <c r="A4932" s="1">
        <v>45891</v>
      </c>
      <c r="B4932">
        <v>14.9</v>
      </c>
    </row>
    <row r="4933" spans="1:2" x14ac:dyDescent="0.25">
      <c r="A4933" s="1">
        <v>45894</v>
      </c>
      <c r="B4933">
        <v>14.9</v>
      </c>
    </row>
    <row r="4934" spans="1:2" x14ac:dyDescent="0.25">
      <c r="A4934" s="1">
        <v>45895</v>
      </c>
      <c r="B4934">
        <v>14.9</v>
      </c>
    </row>
    <row r="4935" spans="1:2" x14ac:dyDescent="0.25">
      <c r="A4935" s="1">
        <v>45896</v>
      </c>
      <c r="B4935">
        <v>14.9</v>
      </c>
    </row>
    <row r="4936" spans="1:2" x14ac:dyDescent="0.25">
      <c r="A4936" s="1">
        <v>45897</v>
      </c>
      <c r="B4936">
        <v>14.9</v>
      </c>
    </row>
    <row r="4937" spans="1:2" x14ac:dyDescent="0.25">
      <c r="A4937" s="1">
        <v>45898</v>
      </c>
      <c r="B4937">
        <v>14.9</v>
      </c>
    </row>
    <row r="4938" spans="1:2" x14ac:dyDescent="0.25">
      <c r="A4938" s="1">
        <v>45901</v>
      </c>
      <c r="B4938">
        <v>14.9</v>
      </c>
    </row>
    <row r="4939" spans="1:2" x14ac:dyDescent="0.25">
      <c r="A4939" s="1">
        <v>45902</v>
      </c>
      <c r="B4939">
        <v>14.9</v>
      </c>
    </row>
    <row r="4940" spans="1:2" x14ac:dyDescent="0.25">
      <c r="A4940" s="1">
        <v>45903</v>
      </c>
      <c r="B4940">
        <v>14.9</v>
      </c>
    </row>
    <row r="4941" spans="1:2" x14ac:dyDescent="0.25">
      <c r="A4941" s="1">
        <v>45904</v>
      </c>
      <c r="B4941">
        <v>14.9</v>
      </c>
    </row>
    <row r="4942" spans="1:2" x14ac:dyDescent="0.25">
      <c r="A4942" s="1">
        <v>45905</v>
      </c>
      <c r="B4942">
        <v>14.9</v>
      </c>
    </row>
    <row r="4943" spans="1:2" x14ac:dyDescent="0.25">
      <c r="A4943" s="1">
        <v>45908</v>
      </c>
      <c r="B4943">
        <v>14.9</v>
      </c>
    </row>
    <row r="4944" spans="1:2" x14ac:dyDescent="0.25">
      <c r="A4944" s="1">
        <v>45909</v>
      </c>
      <c r="B4944">
        <v>14.9</v>
      </c>
    </row>
    <row r="4945" spans="1:2" x14ac:dyDescent="0.25">
      <c r="A4945" s="1">
        <v>45910</v>
      </c>
      <c r="B4945">
        <v>14.9</v>
      </c>
    </row>
    <row r="4946" spans="1:2" x14ac:dyDescent="0.25">
      <c r="A4946" s="1">
        <v>45911</v>
      </c>
      <c r="B4946">
        <v>14.9</v>
      </c>
    </row>
    <row r="4947" spans="1:2" x14ac:dyDescent="0.25">
      <c r="A4947" s="1">
        <v>45912</v>
      </c>
      <c r="B4947">
        <v>14.9</v>
      </c>
    </row>
    <row r="4948" spans="1:2" x14ac:dyDescent="0.25">
      <c r="A4948" s="1">
        <v>45915</v>
      </c>
      <c r="B4948">
        <v>14.9</v>
      </c>
    </row>
    <row r="4949" spans="1:2" x14ac:dyDescent="0.25">
      <c r="A4949" s="1">
        <v>45916</v>
      </c>
      <c r="B4949">
        <v>14.9</v>
      </c>
    </row>
    <row r="4950" spans="1:2" x14ac:dyDescent="0.25">
      <c r="A4950" s="1">
        <v>45917</v>
      </c>
      <c r="B4950">
        <v>14.9</v>
      </c>
    </row>
    <row r="4951" spans="1:2" x14ac:dyDescent="0.25">
      <c r="A4951" s="1">
        <v>45918</v>
      </c>
      <c r="B4951">
        <v>14.9</v>
      </c>
    </row>
    <row r="4952" spans="1:2" x14ac:dyDescent="0.25">
      <c r="A4952" s="1">
        <v>45919</v>
      </c>
      <c r="B4952">
        <v>14.9</v>
      </c>
    </row>
    <row r="4953" spans="1:2" x14ac:dyDescent="0.25">
      <c r="A4953" s="1">
        <v>45922</v>
      </c>
      <c r="B4953">
        <v>14.9</v>
      </c>
    </row>
    <row r="4954" spans="1:2" x14ac:dyDescent="0.25">
      <c r="A4954" s="1">
        <v>45923</v>
      </c>
      <c r="B4954">
        <v>14.9</v>
      </c>
    </row>
    <row r="4955" spans="1:2" x14ac:dyDescent="0.25">
      <c r="A4955" s="1">
        <v>45924</v>
      </c>
      <c r="B4955">
        <v>14.9</v>
      </c>
    </row>
    <row r="4956" spans="1:2" x14ac:dyDescent="0.25">
      <c r="A4956" s="1">
        <v>45925</v>
      </c>
      <c r="B4956">
        <v>14.9</v>
      </c>
    </row>
    <row r="4957" spans="1:2" x14ac:dyDescent="0.25">
      <c r="A4957" s="1">
        <v>45926</v>
      </c>
      <c r="B4957">
        <v>14.9</v>
      </c>
    </row>
    <row r="4958" spans="1:2" x14ac:dyDescent="0.25">
      <c r="A4958" s="1">
        <v>45929</v>
      </c>
      <c r="B4958">
        <v>14.9</v>
      </c>
    </row>
    <row r="4959" spans="1:2" x14ac:dyDescent="0.25">
      <c r="A4959" s="1">
        <v>45930</v>
      </c>
      <c r="B4959">
        <v>14.9</v>
      </c>
    </row>
    <row r="4960" spans="1:2" x14ac:dyDescent="0.25">
      <c r="A4960" s="1">
        <v>45931</v>
      </c>
      <c r="B4960">
        <v>14.9</v>
      </c>
    </row>
    <row r="4961" spans="1:2" x14ac:dyDescent="0.25">
      <c r="A4961" s="1">
        <v>45932</v>
      </c>
      <c r="B4961">
        <v>14.9</v>
      </c>
    </row>
    <row r="4962" spans="1:2" x14ac:dyDescent="0.25">
      <c r="A4962" s="1">
        <v>45933</v>
      </c>
      <c r="B4962">
        <v>14.9</v>
      </c>
    </row>
    <row r="4963" spans="1:2" x14ac:dyDescent="0.25">
      <c r="A4963" s="1">
        <v>45936</v>
      </c>
      <c r="B4963">
        <v>14.9</v>
      </c>
    </row>
    <row r="4964" spans="1:2" x14ac:dyDescent="0.25">
      <c r="A4964" s="1">
        <v>45937</v>
      </c>
      <c r="B4964">
        <v>14.9</v>
      </c>
    </row>
    <row r="4965" spans="1:2" x14ac:dyDescent="0.25">
      <c r="A4965" s="1">
        <v>45938</v>
      </c>
      <c r="B4965">
        <v>14.9</v>
      </c>
    </row>
    <row r="4966" spans="1:2" x14ac:dyDescent="0.25">
      <c r="A4966" s="1">
        <v>45939</v>
      </c>
      <c r="B4966">
        <v>14.9</v>
      </c>
    </row>
    <row r="4967" spans="1:2" x14ac:dyDescent="0.25">
      <c r="A4967" s="1">
        <v>45940</v>
      </c>
      <c r="B4967">
        <v>14.9</v>
      </c>
    </row>
    <row r="4968" spans="1:2" x14ac:dyDescent="0.25">
      <c r="A4968" s="1">
        <v>45943</v>
      </c>
      <c r="B4968">
        <v>14.9</v>
      </c>
    </row>
    <row r="4969" spans="1:2" x14ac:dyDescent="0.25">
      <c r="A4969" s="1">
        <v>45944</v>
      </c>
      <c r="B4969">
        <v>14.9</v>
      </c>
    </row>
    <row r="4970" spans="1:2" x14ac:dyDescent="0.25">
      <c r="A4970" s="1">
        <v>45945</v>
      </c>
      <c r="B4970">
        <v>14.9</v>
      </c>
    </row>
    <row r="4971" spans="1:2" x14ac:dyDescent="0.25">
      <c r="A4971" s="1">
        <v>45946</v>
      </c>
      <c r="B4971">
        <v>14.9</v>
      </c>
    </row>
    <row r="4972" spans="1:2" x14ac:dyDescent="0.25">
      <c r="A4972" s="1">
        <v>45947</v>
      </c>
      <c r="B4972">
        <v>14.9</v>
      </c>
    </row>
    <row r="4973" spans="1:2" x14ac:dyDescent="0.25">
      <c r="A4973" s="1">
        <v>45950</v>
      </c>
      <c r="B4973">
        <v>14.9</v>
      </c>
    </row>
    <row r="4974" spans="1:2" x14ac:dyDescent="0.25">
      <c r="A4974" s="1">
        <v>45951</v>
      </c>
      <c r="B4974">
        <v>14.9</v>
      </c>
    </row>
    <row r="4975" spans="1:2" x14ac:dyDescent="0.25">
      <c r="A4975" s="1">
        <v>45952</v>
      </c>
      <c r="B4975">
        <v>14.9</v>
      </c>
    </row>
    <row r="4976" spans="1:2" x14ac:dyDescent="0.25">
      <c r="A4976" s="1">
        <v>45953</v>
      </c>
      <c r="B4976">
        <v>14.9</v>
      </c>
    </row>
    <row r="4977" spans="1:2" x14ac:dyDescent="0.25">
      <c r="A4977" s="1">
        <v>45954</v>
      </c>
      <c r="B4977">
        <v>14.9</v>
      </c>
    </row>
    <row r="4978" spans="1:2" x14ac:dyDescent="0.25">
      <c r="A4978" s="1">
        <v>45957</v>
      </c>
      <c r="B4978">
        <v>14.9</v>
      </c>
    </row>
    <row r="4979" spans="1:2" x14ac:dyDescent="0.25">
      <c r="A4979" s="1">
        <v>45958</v>
      </c>
      <c r="B4979">
        <v>14.9</v>
      </c>
    </row>
    <row r="4980" spans="1:2" x14ac:dyDescent="0.25">
      <c r="A4980" s="1">
        <v>45959</v>
      </c>
      <c r="B4980">
        <v>14.9</v>
      </c>
    </row>
    <row r="4981" spans="1:2" x14ac:dyDescent="0.25">
      <c r="A4981" s="1">
        <v>45960</v>
      </c>
      <c r="B4981">
        <v>14.9</v>
      </c>
    </row>
    <row r="4982" spans="1:2" x14ac:dyDescent="0.25">
      <c r="A4982" s="1">
        <v>45961</v>
      </c>
      <c r="B4982">
        <v>14.9</v>
      </c>
    </row>
    <row r="4983" spans="1:2" x14ac:dyDescent="0.25">
      <c r="A4983" s="1">
        <v>45964</v>
      </c>
      <c r="B4983">
        <v>14.9</v>
      </c>
    </row>
    <row r="4984" spans="1:2" x14ac:dyDescent="0.25">
      <c r="A4984" s="1">
        <v>45965</v>
      </c>
      <c r="B4984">
        <v>14.9</v>
      </c>
    </row>
    <row r="4985" spans="1:2" x14ac:dyDescent="0.25">
      <c r="A4985" s="1">
        <v>45966</v>
      </c>
      <c r="B4985">
        <v>14.9</v>
      </c>
    </row>
    <row r="4986" spans="1:2" x14ac:dyDescent="0.25">
      <c r="A4986" s="1">
        <v>45967</v>
      </c>
      <c r="B4986">
        <v>14.9</v>
      </c>
    </row>
    <row r="4987" spans="1:2" x14ac:dyDescent="0.25">
      <c r="A4987" s="1">
        <v>45968</v>
      </c>
      <c r="B4987">
        <v>14.9</v>
      </c>
    </row>
    <row r="4988" spans="1:2" x14ac:dyDescent="0.25">
      <c r="A4988" s="1">
        <v>45971</v>
      </c>
      <c r="B4988">
        <v>14.9</v>
      </c>
    </row>
    <row r="4989" spans="1:2" x14ac:dyDescent="0.25">
      <c r="A4989" s="1">
        <v>45972</v>
      </c>
      <c r="B4989">
        <v>14.9</v>
      </c>
    </row>
    <row r="4990" spans="1:2" x14ac:dyDescent="0.25">
      <c r="A4990" s="1">
        <v>45973</v>
      </c>
      <c r="B4990">
        <v>14.9</v>
      </c>
    </row>
    <row r="4991" spans="1:2" x14ac:dyDescent="0.25">
      <c r="A4991" s="1">
        <v>45974</v>
      </c>
      <c r="B4991">
        <v>14.9</v>
      </c>
    </row>
    <row r="4992" spans="1:2" x14ac:dyDescent="0.25">
      <c r="A4992" s="1">
        <v>45975</v>
      </c>
      <c r="B4992">
        <v>14.9</v>
      </c>
    </row>
    <row r="4993" spans="1:2" x14ac:dyDescent="0.25">
      <c r="A4993" s="1">
        <v>45978</v>
      </c>
      <c r="B4993">
        <v>14.9</v>
      </c>
    </row>
    <row r="4994" spans="1:2" x14ac:dyDescent="0.25">
      <c r="A4994" s="1">
        <v>45979</v>
      </c>
      <c r="B4994">
        <v>14.9</v>
      </c>
    </row>
    <row r="4995" spans="1:2" x14ac:dyDescent="0.25">
      <c r="A4995" s="1">
        <v>45980</v>
      </c>
      <c r="B4995">
        <v>14.9</v>
      </c>
    </row>
    <row r="4996" spans="1:2" x14ac:dyDescent="0.25">
      <c r="A4996" s="1">
        <v>45982</v>
      </c>
      <c r="B4996">
        <v>14.9</v>
      </c>
    </row>
    <row r="4997" spans="1:2" x14ac:dyDescent="0.25">
      <c r="A4997" s="1">
        <v>45985</v>
      </c>
      <c r="B4997">
        <v>14.9</v>
      </c>
    </row>
    <row r="4998" spans="1:2" x14ac:dyDescent="0.25">
      <c r="A4998" s="1">
        <v>45986</v>
      </c>
      <c r="B4998">
        <v>14.9</v>
      </c>
    </row>
    <row r="4999" spans="1:2" x14ac:dyDescent="0.25">
      <c r="A4999" s="1">
        <v>45987</v>
      </c>
      <c r="B4999">
        <v>14.9</v>
      </c>
    </row>
    <row r="5000" spans="1:2" x14ac:dyDescent="0.25">
      <c r="A5000" s="1">
        <v>45988</v>
      </c>
      <c r="B5000">
        <v>14.9</v>
      </c>
    </row>
    <row r="5001" spans="1:2" x14ac:dyDescent="0.25">
      <c r="A5001" s="1">
        <v>45989</v>
      </c>
      <c r="B5001">
        <v>14.9</v>
      </c>
    </row>
    <row r="5002" spans="1:2" x14ac:dyDescent="0.25">
      <c r="A5002" s="1">
        <v>45992</v>
      </c>
      <c r="B5002">
        <v>14.9</v>
      </c>
    </row>
    <row r="5003" spans="1:2" x14ac:dyDescent="0.25">
      <c r="A5003" s="1">
        <v>45993</v>
      </c>
      <c r="B5003">
        <v>14.9</v>
      </c>
    </row>
    <row r="5004" spans="1:2" x14ac:dyDescent="0.25">
      <c r="A5004" s="1">
        <v>45994</v>
      </c>
      <c r="B5004">
        <v>14.9</v>
      </c>
    </row>
    <row r="5005" spans="1:2" x14ac:dyDescent="0.25">
      <c r="A5005" s="1">
        <v>45995</v>
      </c>
      <c r="B5005">
        <v>14.9</v>
      </c>
    </row>
    <row r="5006" spans="1:2" x14ac:dyDescent="0.25">
      <c r="A5006" s="1">
        <v>45996</v>
      </c>
      <c r="B5006">
        <v>14.9</v>
      </c>
    </row>
    <row r="5007" spans="1:2" x14ac:dyDescent="0.25">
      <c r="A5007" s="1">
        <v>45999</v>
      </c>
      <c r="B5007">
        <v>14.9</v>
      </c>
    </row>
    <row r="5008" spans="1:2" x14ac:dyDescent="0.25">
      <c r="A5008" s="1">
        <v>46000</v>
      </c>
      <c r="B5008">
        <v>14.9</v>
      </c>
    </row>
    <row r="5009" spans="1:2" x14ac:dyDescent="0.25">
      <c r="A5009" s="1">
        <v>46001</v>
      </c>
      <c r="B5009">
        <v>14.9</v>
      </c>
    </row>
    <row r="5010" spans="1:2" x14ac:dyDescent="0.25">
      <c r="A5010" s="1">
        <v>46002</v>
      </c>
      <c r="B5010">
        <v>14.9</v>
      </c>
    </row>
    <row r="5011" spans="1:2" x14ac:dyDescent="0.25">
      <c r="A5011" s="1">
        <v>46003</v>
      </c>
      <c r="B5011">
        <v>14.9</v>
      </c>
    </row>
    <row r="5012" spans="1:2" x14ac:dyDescent="0.25">
      <c r="A5012" s="1">
        <v>46006</v>
      </c>
      <c r="B5012">
        <v>14.9</v>
      </c>
    </row>
    <row r="5013" spans="1:2" x14ac:dyDescent="0.25">
      <c r="A5013" s="1">
        <v>46007</v>
      </c>
      <c r="B5013">
        <v>14.9</v>
      </c>
    </row>
    <row r="5014" spans="1:2" x14ac:dyDescent="0.25">
      <c r="A5014" s="1">
        <v>46008</v>
      </c>
      <c r="B5014">
        <v>14.9</v>
      </c>
    </row>
    <row r="5015" spans="1:2" x14ac:dyDescent="0.25">
      <c r="A5015" s="1">
        <v>46009</v>
      </c>
      <c r="B5015">
        <v>14.9</v>
      </c>
    </row>
    <row r="5016" spans="1:2" x14ac:dyDescent="0.25">
      <c r="A5016" s="1">
        <v>46010</v>
      </c>
      <c r="B5016">
        <v>14.9</v>
      </c>
    </row>
    <row r="5017" spans="1:2" x14ac:dyDescent="0.25">
      <c r="A5017" s="1">
        <v>46013</v>
      </c>
      <c r="B5017">
        <v>14.9</v>
      </c>
    </row>
    <row r="5018" spans="1:2" x14ac:dyDescent="0.25">
      <c r="A5018" s="1">
        <v>46014</v>
      </c>
      <c r="B5018">
        <v>14.9</v>
      </c>
    </row>
    <row r="5019" spans="1:2" x14ac:dyDescent="0.25">
      <c r="A5019" s="1">
        <v>46015</v>
      </c>
      <c r="B5019">
        <v>14.9</v>
      </c>
    </row>
    <row r="5020" spans="1:2" x14ac:dyDescent="0.25">
      <c r="A5020" s="1">
        <v>46017</v>
      </c>
      <c r="B5020">
        <v>14.9</v>
      </c>
    </row>
    <row r="5021" spans="1:2" x14ac:dyDescent="0.25">
      <c r="A5021" s="1">
        <v>46020</v>
      </c>
      <c r="B5021">
        <v>14.9</v>
      </c>
    </row>
    <row r="5022" spans="1:2" x14ac:dyDescent="0.25">
      <c r="A5022" s="1">
        <v>46021</v>
      </c>
      <c r="B5022">
        <v>14.9</v>
      </c>
    </row>
    <row r="5023" spans="1:2" x14ac:dyDescent="0.25">
      <c r="A5023" s="1">
        <v>46022</v>
      </c>
      <c r="B5023">
        <v>14.9</v>
      </c>
    </row>
    <row r="5024" spans="1:2" x14ac:dyDescent="0.25">
      <c r="A5024" s="1">
        <v>46024</v>
      </c>
      <c r="B5024">
        <v>14.9</v>
      </c>
    </row>
    <row r="5025" spans="1:2" x14ac:dyDescent="0.25">
      <c r="A5025" s="1">
        <v>46027</v>
      </c>
      <c r="B5025">
        <v>14.9</v>
      </c>
    </row>
    <row r="5026" spans="1:2" x14ac:dyDescent="0.25">
      <c r="A5026" s="1">
        <v>46028</v>
      </c>
      <c r="B5026">
        <v>14.9</v>
      </c>
    </row>
    <row r="5027" spans="1:2" x14ac:dyDescent="0.25">
      <c r="A5027" s="1">
        <v>46029</v>
      </c>
      <c r="B5027">
        <v>14.9</v>
      </c>
    </row>
    <row r="5028" spans="1:2" x14ac:dyDescent="0.25">
      <c r="A5028" s="1">
        <v>46030</v>
      </c>
      <c r="B5028">
        <v>14.9</v>
      </c>
    </row>
    <row r="5029" spans="1:2" x14ac:dyDescent="0.25">
      <c r="A5029" s="1">
        <v>46031</v>
      </c>
      <c r="B5029">
        <v>14.9</v>
      </c>
    </row>
    <row r="5030" spans="1:2" x14ac:dyDescent="0.25">
      <c r="A5030" s="1">
        <v>46034</v>
      </c>
      <c r="B5030">
        <v>14.9</v>
      </c>
    </row>
    <row r="5031" spans="1:2" x14ac:dyDescent="0.25">
      <c r="A5031" s="1">
        <v>46035</v>
      </c>
      <c r="B5031">
        <v>14.9</v>
      </c>
    </row>
    <row r="5032" spans="1:2" x14ac:dyDescent="0.25">
      <c r="A5032" s="1">
        <v>46036</v>
      </c>
      <c r="B5032">
        <v>14.9</v>
      </c>
    </row>
    <row r="5033" spans="1:2" x14ac:dyDescent="0.25">
      <c r="A5033" s="1">
        <v>46037</v>
      </c>
      <c r="B5033">
        <v>14.9</v>
      </c>
    </row>
    <row r="5034" spans="1:2" x14ac:dyDescent="0.25">
      <c r="A5034" s="1">
        <v>46038</v>
      </c>
      <c r="B5034">
        <v>14.9</v>
      </c>
    </row>
    <row r="5035" spans="1:2" x14ac:dyDescent="0.25">
      <c r="A5035" s="1">
        <v>46041</v>
      </c>
      <c r="B5035">
        <v>14.9</v>
      </c>
    </row>
    <row r="5036" spans="1:2" x14ac:dyDescent="0.25">
      <c r="A5036" s="1">
        <v>46042</v>
      </c>
      <c r="B5036">
        <v>14.9</v>
      </c>
    </row>
    <row r="5037" spans="1:2" x14ac:dyDescent="0.25">
      <c r="A5037" s="1">
        <v>46043</v>
      </c>
      <c r="B5037">
        <v>14.9</v>
      </c>
    </row>
    <row r="5038" spans="1:2" x14ac:dyDescent="0.25">
      <c r="A5038" s="1">
        <v>46044</v>
      </c>
      <c r="B5038">
        <v>14.9</v>
      </c>
    </row>
    <row r="5039" spans="1:2" x14ac:dyDescent="0.25">
      <c r="A5039" s="1">
        <v>46045</v>
      </c>
      <c r="B5039">
        <v>14.9</v>
      </c>
    </row>
    <row r="5040" spans="1:2" x14ac:dyDescent="0.25">
      <c r="A5040" s="1">
        <v>46048</v>
      </c>
      <c r="B5040">
        <v>14.9</v>
      </c>
    </row>
    <row r="5041" spans="1:2" x14ac:dyDescent="0.25">
      <c r="A5041" s="1">
        <v>46049</v>
      </c>
      <c r="B5041">
        <v>14.9</v>
      </c>
    </row>
    <row r="5042" spans="1:2" x14ac:dyDescent="0.25">
      <c r="A5042" s="1">
        <v>46050</v>
      </c>
      <c r="B5042">
        <v>14.9</v>
      </c>
    </row>
    <row r="5043" spans="1:2" x14ac:dyDescent="0.25">
      <c r="A5043" s="1">
        <v>46051</v>
      </c>
      <c r="B5043">
        <v>14.9</v>
      </c>
    </row>
    <row r="5044" spans="1:2" x14ac:dyDescent="0.25">
      <c r="A5044" s="1">
        <v>46052</v>
      </c>
      <c r="B5044">
        <v>14.9</v>
      </c>
    </row>
    <row r="5045" spans="1:2" x14ac:dyDescent="0.25">
      <c r="A5045" s="1">
        <v>46055</v>
      </c>
      <c r="B5045">
        <v>14.9</v>
      </c>
    </row>
    <row r="5046" spans="1:2" x14ac:dyDescent="0.25">
      <c r="A5046" s="1">
        <v>46056</v>
      </c>
      <c r="B5046">
        <v>14.9</v>
      </c>
    </row>
    <row r="5047" spans="1:2" x14ac:dyDescent="0.25">
      <c r="A5047" s="1">
        <v>46057</v>
      </c>
      <c r="B5047">
        <v>14.9</v>
      </c>
    </row>
    <row r="5048" spans="1:2" x14ac:dyDescent="0.25">
      <c r="A5048" s="1">
        <v>46058</v>
      </c>
      <c r="B5048">
        <v>14.9</v>
      </c>
    </row>
    <row r="5049" spans="1:2" x14ac:dyDescent="0.25">
      <c r="A5049" s="1">
        <v>46059</v>
      </c>
      <c r="B5049">
        <v>14.9</v>
      </c>
    </row>
    <row r="5050" spans="1:2" x14ac:dyDescent="0.25">
      <c r="A5050" s="1">
        <v>46062</v>
      </c>
      <c r="B5050">
        <v>14.9</v>
      </c>
    </row>
    <row r="5051" spans="1:2" x14ac:dyDescent="0.25">
      <c r="A5051" s="1">
        <v>46063</v>
      </c>
      <c r="B5051">
        <v>14.9</v>
      </c>
    </row>
    <row r="5052" spans="1:2" x14ac:dyDescent="0.25">
      <c r="A5052" s="1">
        <v>46064</v>
      </c>
      <c r="B5052">
        <v>14.9</v>
      </c>
    </row>
    <row r="5053" spans="1:2" x14ac:dyDescent="0.25">
      <c r="A5053" s="1">
        <v>46065</v>
      </c>
      <c r="B5053">
        <v>14.9</v>
      </c>
    </row>
    <row r="5054" spans="1:2" x14ac:dyDescent="0.25">
      <c r="A5054" s="1">
        <v>46066</v>
      </c>
      <c r="B5054">
        <v>14.9</v>
      </c>
    </row>
    <row r="5055" spans="1:2" x14ac:dyDescent="0.25">
      <c r="A5055" s="1">
        <v>46071</v>
      </c>
      <c r="B5055">
        <v>14.9</v>
      </c>
    </row>
    <row r="5056" spans="1:2" x14ac:dyDescent="0.25">
      <c r="A5056" s="1">
        <v>46072</v>
      </c>
      <c r="B5056">
        <v>14.9</v>
      </c>
    </row>
    <row r="5057" spans="1:2" x14ac:dyDescent="0.25">
      <c r="A5057" s="1">
        <v>46073</v>
      </c>
      <c r="B5057">
        <v>14.9</v>
      </c>
    </row>
    <row r="5058" spans="1:2" x14ac:dyDescent="0.25">
      <c r="A5058" s="1">
        <v>46076</v>
      </c>
      <c r="B5058">
        <v>14.9</v>
      </c>
    </row>
    <row r="5059" spans="1:2" x14ac:dyDescent="0.25">
      <c r="A5059" s="1">
        <v>46077</v>
      </c>
      <c r="B5059">
        <v>14.9</v>
      </c>
    </row>
    <row r="5060" spans="1:2" x14ac:dyDescent="0.25">
      <c r="A5060" s="1">
        <v>46078</v>
      </c>
      <c r="B5060">
        <v>14.9</v>
      </c>
    </row>
    <row r="5061" spans="1:2" x14ac:dyDescent="0.25">
      <c r="A5061" s="1">
        <v>46079</v>
      </c>
      <c r="B5061">
        <v>14.9</v>
      </c>
    </row>
    <row r="5062" spans="1:2" x14ac:dyDescent="0.25">
      <c r="A5062" s="1">
        <v>46080</v>
      </c>
      <c r="B5062">
        <v>14.9</v>
      </c>
    </row>
    <row r="5063" spans="1:2" x14ac:dyDescent="0.25">
      <c r="A5063" s="1">
        <v>46083</v>
      </c>
      <c r="B5063">
        <v>14.9</v>
      </c>
    </row>
    <row r="5064" spans="1:2" x14ac:dyDescent="0.25">
      <c r="A5064" s="1">
        <v>46084</v>
      </c>
      <c r="B5064">
        <v>14.9</v>
      </c>
    </row>
    <row r="5065" spans="1:2" x14ac:dyDescent="0.25">
      <c r="A5065" s="1">
        <v>46085</v>
      </c>
      <c r="B5065">
        <v>14.9</v>
      </c>
    </row>
    <row r="5066" spans="1:2" x14ac:dyDescent="0.25">
      <c r="A5066" s="1">
        <v>46086</v>
      </c>
      <c r="B5066">
        <v>14.9</v>
      </c>
    </row>
    <row r="5067" spans="1:2" x14ac:dyDescent="0.25">
      <c r="A5067" s="1">
        <v>46087</v>
      </c>
      <c r="B5067">
        <v>14.9</v>
      </c>
    </row>
    <row r="5068" spans="1:2" x14ac:dyDescent="0.25">
      <c r="A5068" s="1">
        <v>46090</v>
      </c>
      <c r="B5068">
        <v>14.9</v>
      </c>
    </row>
    <row r="5069" spans="1:2" x14ac:dyDescent="0.25">
      <c r="A5069" s="1">
        <v>46091</v>
      </c>
      <c r="B5069">
        <v>14.9</v>
      </c>
    </row>
    <row r="5070" spans="1:2" x14ac:dyDescent="0.25">
      <c r="A5070" s="1">
        <v>46092</v>
      </c>
      <c r="B5070">
        <v>14.9</v>
      </c>
    </row>
    <row r="5071" spans="1:2" x14ac:dyDescent="0.25">
      <c r="A5071" s="1">
        <v>46093</v>
      </c>
      <c r="B5071">
        <v>14.9</v>
      </c>
    </row>
    <row r="5072" spans="1:2" x14ac:dyDescent="0.25">
      <c r="A5072" s="1">
        <v>46094</v>
      </c>
      <c r="B5072">
        <v>14.9</v>
      </c>
    </row>
    <row r="5073" spans="1:2" x14ac:dyDescent="0.25">
      <c r="A5073" s="1">
        <v>46097</v>
      </c>
      <c r="B5073">
        <v>14.9</v>
      </c>
    </row>
    <row r="5074" spans="1:2" x14ac:dyDescent="0.25">
      <c r="A5074" s="1">
        <v>46098</v>
      </c>
      <c r="B5074">
        <v>14.9</v>
      </c>
    </row>
    <row r="5075" spans="1:2" x14ac:dyDescent="0.25">
      <c r="A5075" s="1">
        <v>46099</v>
      </c>
      <c r="B5075">
        <v>14.9</v>
      </c>
    </row>
    <row r="5076" spans="1:2" x14ac:dyDescent="0.25">
      <c r="A5076" s="1">
        <v>46100</v>
      </c>
      <c r="B5076">
        <v>14.65</v>
      </c>
    </row>
    <row r="5077" spans="1:2" x14ac:dyDescent="0.25">
      <c r="A5077" s="1">
        <v>46101</v>
      </c>
      <c r="B5077">
        <v>14.65</v>
      </c>
    </row>
    <row r="5078" spans="1:2" x14ac:dyDescent="0.25">
      <c r="A5078" s="1">
        <v>46104</v>
      </c>
      <c r="B5078">
        <v>14.65</v>
      </c>
    </row>
    <row r="5079" spans="1:2" x14ac:dyDescent="0.25">
      <c r="A5079" s="1">
        <v>46105</v>
      </c>
      <c r="B5079">
        <v>14.65</v>
      </c>
    </row>
    <row r="5080" spans="1:2" x14ac:dyDescent="0.25">
      <c r="A5080" s="1">
        <v>46106</v>
      </c>
      <c r="B5080">
        <v>14.65</v>
      </c>
    </row>
    <row r="5081" spans="1:2" x14ac:dyDescent="0.25">
      <c r="A5081" s="1">
        <v>46107</v>
      </c>
      <c r="B5081">
        <v>14.65</v>
      </c>
    </row>
    <row r="5082" spans="1:2" x14ac:dyDescent="0.25">
      <c r="A5082" s="1">
        <v>46108</v>
      </c>
      <c r="B5082">
        <v>14.65</v>
      </c>
    </row>
    <row r="5083" spans="1:2" x14ac:dyDescent="0.25">
      <c r="A5083" s="1">
        <v>46111</v>
      </c>
      <c r="B5083">
        <v>14.65</v>
      </c>
    </row>
    <row r="5084" spans="1:2" x14ac:dyDescent="0.25">
      <c r="A5084" s="1">
        <v>46112</v>
      </c>
      <c r="B5084">
        <v>14.65</v>
      </c>
    </row>
    <row r="5085" spans="1:2" x14ac:dyDescent="0.25">
      <c r="A5085" s="1">
        <v>46113</v>
      </c>
      <c r="B5085">
        <v>14.65</v>
      </c>
    </row>
    <row r="5086" spans="1:2" x14ac:dyDescent="0.25">
      <c r="A5086" s="1">
        <v>46114</v>
      </c>
      <c r="B5086">
        <v>14.65</v>
      </c>
    </row>
    <row r="5087" spans="1:2" x14ac:dyDescent="0.25">
      <c r="A5087" s="1">
        <v>46118</v>
      </c>
      <c r="B5087">
        <v>14.65</v>
      </c>
    </row>
    <row r="5088" spans="1:2" x14ac:dyDescent="0.25">
      <c r="A5088" s="1">
        <v>46119</v>
      </c>
      <c r="B5088">
        <v>14.65</v>
      </c>
    </row>
    <row r="5089" spans="1:2" x14ac:dyDescent="0.25">
      <c r="A5089" s="1">
        <v>46120</v>
      </c>
      <c r="B5089">
        <v>14.65</v>
      </c>
    </row>
    <row r="5090" spans="1:2" x14ac:dyDescent="0.25">
      <c r="A5090" s="1">
        <v>46121</v>
      </c>
      <c r="B5090">
        <v>14.65</v>
      </c>
    </row>
    <row r="5091" spans="1:2" x14ac:dyDescent="0.25">
      <c r="A5091" s="1">
        <v>46122</v>
      </c>
      <c r="B5091">
        <v>14.65</v>
      </c>
    </row>
    <row r="5092" spans="1:2" x14ac:dyDescent="0.25">
      <c r="A5092" s="1">
        <v>46125</v>
      </c>
      <c r="B5092">
        <v>14.65</v>
      </c>
    </row>
    <row r="5093" spans="1:2" x14ac:dyDescent="0.25">
      <c r="A5093" s="1">
        <v>46126</v>
      </c>
      <c r="B5093">
        <v>14.65</v>
      </c>
    </row>
    <row r="5094" spans="1:2" x14ac:dyDescent="0.25">
      <c r="A5094" s="1">
        <v>46127</v>
      </c>
      <c r="B5094">
        <v>14.65</v>
      </c>
    </row>
    <row r="5095" spans="1:2" x14ac:dyDescent="0.25">
      <c r="A5095" s="1">
        <v>46128</v>
      </c>
      <c r="B5095">
        <v>14.65</v>
      </c>
    </row>
    <row r="5096" spans="1:2" x14ac:dyDescent="0.25">
      <c r="A5096" s="1">
        <v>46129</v>
      </c>
      <c r="B5096">
        <v>14.65</v>
      </c>
    </row>
    <row r="5097" spans="1:2" x14ac:dyDescent="0.25">
      <c r="A5097" s="1">
        <v>46132</v>
      </c>
      <c r="B5097">
        <v>14.65</v>
      </c>
    </row>
    <row r="5098" spans="1:2" x14ac:dyDescent="0.25">
      <c r="A5098" s="1">
        <v>46134</v>
      </c>
      <c r="B5098">
        <v>14.65</v>
      </c>
    </row>
    <row r="5099" spans="1:2" x14ac:dyDescent="0.25">
      <c r="A5099" s="1">
        <v>46135</v>
      </c>
      <c r="B5099">
        <v>14.65</v>
      </c>
    </row>
    <row r="5100" spans="1:2" x14ac:dyDescent="0.25">
      <c r="A5100" s="1">
        <v>46136</v>
      </c>
      <c r="B5100">
        <v>14.65</v>
      </c>
    </row>
    <row r="5101" spans="1:2" x14ac:dyDescent="0.25">
      <c r="A5101" s="1">
        <v>46139</v>
      </c>
      <c r="B5101">
        <v>14.65</v>
      </c>
    </row>
    <row r="5102" spans="1:2" x14ac:dyDescent="0.25">
      <c r="A5102" s="1">
        <v>46140</v>
      </c>
      <c r="B5102">
        <v>14.65</v>
      </c>
    </row>
    <row r="5103" spans="1:2" x14ac:dyDescent="0.25">
      <c r="A5103" s="1">
        <v>46141</v>
      </c>
      <c r="B5103">
        <v>14.65</v>
      </c>
    </row>
    <row r="5104" spans="1:2" x14ac:dyDescent="0.25">
      <c r="A5104" s="1">
        <v>46142</v>
      </c>
      <c r="B5104">
        <v>14.4</v>
      </c>
    </row>
    <row r="5105" spans="1:2" x14ac:dyDescent="0.25">
      <c r="A5105" s="1">
        <v>46146</v>
      </c>
      <c r="B5105">
        <v>14.4</v>
      </c>
    </row>
    <row r="5106" spans="1:2" x14ac:dyDescent="0.25">
      <c r="A5106" s="1">
        <v>46147</v>
      </c>
      <c r="B5106">
        <v>14.4</v>
      </c>
    </row>
    <row r="5107" spans="1:2" x14ac:dyDescent="0.25">
      <c r="A5107" s="1">
        <v>46148</v>
      </c>
      <c r="B5107">
        <v>14.4</v>
      </c>
    </row>
    <row r="5108" spans="1:2" x14ac:dyDescent="0.25">
      <c r="A5108" s="1">
        <v>46149</v>
      </c>
      <c r="B5108">
        <v>14.4</v>
      </c>
    </row>
    <row r="5109" spans="1:2" x14ac:dyDescent="0.25">
      <c r="A5109" s="1">
        <v>46150</v>
      </c>
      <c r="B5109">
        <v>14.4</v>
      </c>
    </row>
    <row r="5110" spans="1:2" x14ac:dyDescent="0.25">
      <c r="A5110" s="1">
        <v>46153</v>
      </c>
      <c r="B5110">
        <v>14.4</v>
      </c>
    </row>
    <row r="5111" spans="1:2" x14ac:dyDescent="0.25">
      <c r="A5111" s="1">
        <v>46154</v>
      </c>
      <c r="B5111">
        <v>14.4</v>
      </c>
    </row>
    <row r="5112" spans="1:2" x14ac:dyDescent="0.25">
      <c r="A5112" s="1">
        <v>46155</v>
      </c>
      <c r="B5112">
        <v>14.4</v>
      </c>
    </row>
    <row r="5113" spans="1:2" x14ac:dyDescent="0.25">
      <c r="A5113" s="1">
        <v>46156</v>
      </c>
      <c r="B5113">
        <v>14.4</v>
      </c>
    </row>
    <row r="5114" spans="1:2" x14ac:dyDescent="0.25">
      <c r="A5114" s="1">
        <v>46157</v>
      </c>
      <c r="B5114">
        <v>14.4</v>
      </c>
    </row>
    <row r="5115" spans="1:2" x14ac:dyDescent="0.25">
      <c r="A5115" s="1">
        <v>46160</v>
      </c>
      <c r="B5115">
        <v>14.4</v>
      </c>
    </row>
    <row r="5116" spans="1:2" x14ac:dyDescent="0.25">
      <c r="A5116" s="1">
        <v>46161</v>
      </c>
      <c r="B5116">
        <v>14.4</v>
      </c>
    </row>
    <row r="5117" spans="1:2" x14ac:dyDescent="0.25">
      <c r="A5117" s="1">
        <v>46162</v>
      </c>
      <c r="B5117">
        <v>14.4</v>
      </c>
    </row>
    <row r="5118" spans="1:2" x14ac:dyDescent="0.25">
      <c r="A5118" s="1">
        <v>46163</v>
      </c>
      <c r="B5118">
        <v>14.4</v>
      </c>
    </row>
    <row r="5119" spans="1:2" x14ac:dyDescent="0.25">
      <c r="A5119" s="1">
        <v>46164</v>
      </c>
      <c r="B5119">
        <v>14.4</v>
      </c>
    </row>
    <row r="5120" spans="1:2" x14ac:dyDescent="0.25">
      <c r="A5120" s="1">
        <v>46167</v>
      </c>
      <c r="B5120">
        <v>14.4</v>
      </c>
    </row>
    <row r="5121" spans="1:2" x14ac:dyDescent="0.25">
      <c r="A5121" s="1">
        <v>46168</v>
      </c>
      <c r="B5121">
        <v>14.4</v>
      </c>
    </row>
    <row r="5122" spans="1:2" x14ac:dyDescent="0.25">
      <c r="A5122" s="1">
        <v>46169</v>
      </c>
      <c r="B5122">
        <v>14.4</v>
      </c>
    </row>
    <row r="5123" spans="1:2" x14ac:dyDescent="0.25">
      <c r="A5123" s="1">
        <v>46170</v>
      </c>
      <c r="B5123">
        <v>14.4</v>
      </c>
    </row>
    <row r="5124" spans="1:2" x14ac:dyDescent="0.25">
      <c r="A5124" s="1">
        <v>46171</v>
      </c>
      <c r="B5124">
        <v>14.4</v>
      </c>
    </row>
    <row r="5125" spans="1:2" x14ac:dyDescent="0.25">
      <c r="A5125" s="1">
        <v>46174</v>
      </c>
      <c r="B5125">
        <v>14.4</v>
      </c>
    </row>
    <row r="5126" spans="1:2" x14ac:dyDescent="0.25">
      <c r="A5126" s="1">
        <v>46175</v>
      </c>
      <c r="B5126">
        <v>14.4</v>
      </c>
    </row>
    <row r="5127" spans="1:2" x14ac:dyDescent="0.25">
      <c r="A5127" s="1">
        <v>46176</v>
      </c>
      <c r="B5127">
        <v>14.4</v>
      </c>
    </row>
    <row r="5128" spans="1:2" x14ac:dyDescent="0.25">
      <c r="A5128" s="1">
        <v>46178</v>
      </c>
      <c r="B5128">
        <v>14.4</v>
      </c>
    </row>
    <row r="5129" spans="1:2" x14ac:dyDescent="0.25">
      <c r="A5129" s="1">
        <v>46181</v>
      </c>
      <c r="B5129">
        <v>14.4</v>
      </c>
    </row>
    <row r="5130" spans="1:2" x14ac:dyDescent="0.25">
      <c r="A5130" s="1">
        <v>46182</v>
      </c>
      <c r="B5130">
        <v>14.4</v>
      </c>
    </row>
    <row r="5131" spans="1:2" x14ac:dyDescent="0.25">
      <c r="A5131" s="1">
        <v>46183</v>
      </c>
      <c r="B5131">
        <v>14.4</v>
      </c>
    </row>
    <row r="5132" spans="1:2" x14ac:dyDescent="0.25">
      <c r="A5132" s="1">
        <v>46184</v>
      </c>
      <c r="B5132">
        <v>14.4</v>
      </c>
    </row>
    <row r="5133" spans="1:2" x14ac:dyDescent="0.25">
      <c r="A5133" s="1">
        <v>46185</v>
      </c>
      <c r="B5133">
        <v>14.4</v>
      </c>
    </row>
    <row r="5134" spans="1:2" x14ac:dyDescent="0.25">
      <c r="A5134" s="1">
        <v>46188</v>
      </c>
      <c r="B5134">
        <v>14.4</v>
      </c>
    </row>
    <row r="5135" spans="1:2" x14ac:dyDescent="0.25">
      <c r="A5135" s="1">
        <v>46189</v>
      </c>
      <c r="B5135">
        <v>14.4</v>
      </c>
    </row>
    <row r="5136" spans="1:2" x14ac:dyDescent="0.25">
      <c r="A5136" s="1">
        <v>46190</v>
      </c>
      <c r="B5136">
        <v>14.4</v>
      </c>
    </row>
    <row r="5137" spans="1:2" x14ac:dyDescent="0.25">
      <c r="A5137" s="1">
        <v>46191</v>
      </c>
      <c r="B5137">
        <v>14.15</v>
      </c>
    </row>
    <row r="5138" spans="1:2" x14ac:dyDescent="0.25">
      <c r="A5138" s="1">
        <v>46192</v>
      </c>
      <c r="B5138">
        <v>14.15</v>
      </c>
    </row>
    <row r="5139" spans="1:2" x14ac:dyDescent="0.25">
      <c r="A5139" s="1">
        <v>46195</v>
      </c>
      <c r="B5139">
        <v>14.15</v>
      </c>
    </row>
    <row r="5140" spans="1:2" x14ac:dyDescent="0.25">
      <c r="A5140" s="1">
        <v>46196</v>
      </c>
      <c r="B5140">
        <v>14.15</v>
      </c>
    </row>
    <row r="5141" spans="1:2" x14ac:dyDescent="0.25">
      <c r="A5141" s="1">
        <v>46197</v>
      </c>
      <c r="B5141">
        <v>14.15</v>
      </c>
    </row>
    <row r="5142" spans="1:2" x14ac:dyDescent="0.25">
      <c r="A5142" s="1">
        <v>46198</v>
      </c>
      <c r="B5142">
        <v>14.15</v>
      </c>
    </row>
    <row r="5143" spans="1:2" x14ac:dyDescent="0.25">
      <c r="A5143" s="1">
        <v>46199</v>
      </c>
      <c r="B5143">
        <v>14.15</v>
      </c>
    </row>
    <row r="5144" spans="1:2" x14ac:dyDescent="0.25">
      <c r="A5144" s="1">
        <v>46202</v>
      </c>
      <c r="B5144">
        <v>14.15</v>
      </c>
    </row>
    <row r="5145" spans="1:2" x14ac:dyDescent="0.25">
      <c r="A5145" s="1">
        <v>46203</v>
      </c>
      <c r="B5145">
        <v>14.15</v>
      </c>
    </row>
    <row r="5146" spans="1:2" x14ac:dyDescent="0.25">
      <c r="A5146" s="1">
        <v>46204</v>
      </c>
      <c r="B5146">
        <v>14.15</v>
      </c>
    </row>
    <row r="5147" spans="1:2" x14ac:dyDescent="0.25">
      <c r="A5147" s="1">
        <v>46205</v>
      </c>
      <c r="B5147">
        <v>14.15</v>
      </c>
    </row>
    <row r="5148" spans="1:2" x14ac:dyDescent="0.25">
      <c r="A5148" s="1">
        <v>46206</v>
      </c>
      <c r="B5148">
        <v>14.15</v>
      </c>
    </row>
    <row r="5149" spans="1:2" x14ac:dyDescent="0.25">
      <c r="A5149" s="1">
        <v>46209</v>
      </c>
      <c r="B5149">
        <v>14.15</v>
      </c>
    </row>
    <row r="5150" spans="1:2" x14ac:dyDescent="0.25">
      <c r="A5150" s="1">
        <v>46210</v>
      </c>
      <c r="B5150">
        <v>14.15</v>
      </c>
    </row>
    <row r="5151" spans="1:2" x14ac:dyDescent="0.25">
      <c r="A5151" s="1">
        <v>46211</v>
      </c>
      <c r="B5151">
        <v>14.15</v>
      </c>
    </row>
    <row r="5152" spans="1:2" x14ac:dyDescent="0.25">
      <c r="A5152" s="1">
        <v>46212</v>
      </c>
      <c r="B5152">
        <v>14.15</v>
      </c>
    </row>
    <row r="5153" spans="1:2" x14ac:dyDescent="0.25">
      <c r="A5153" s="1">
        <v>46213</v>
      </c>
      <c r="B5153">
        <v>14.15</v>
      </c>
    </row>
    <row r="5154" spans="1:2" x14ac:dyDescent="0.25">
      <c r="A5154" s="1">
        <v>46216</v>
      </c>
      <c r="B5154">
        <v>14.15</v>
      </c>
    </row>
    <row r="5155" spans="1:2" x14ac:dyDescent="0.25">
      <c r="A5155" s="1">
        <v>46217</v>
      </c>
      <c r="B5155">
        <v>14.15</v>
      </c>
    </row>
    <row r="5156" spans="1:2" x14ac:dyDescent="0.25">
      <c r="A5156" s="1">
        <v>46218</v>
      </c>
      <c r="B5156">
        <v>14.15</v>
      </c>
    </row>
    <row r="5157" spans="1:2" x14ac:dyDescent="0.25">
      <c r="A5157" s="1">
        <v>46219</v>
      </c>
      <c r="B5157">
        <v>14.15</v>
      </c>
    </row>
    <row r="5158" spans="1:2" x14ac:dyDescent="0.25">
      <c r="A5158" s="1">
        <v>46220</v>
      </c>
      <c r="B5158">
        <v>14.15</v>
      </c>
    </row>
    <row r="5159" spans="1:2" x14ac:dyDescent="0.25">
      <c r="A5159" s="1">
        <v>46223</v>
      </c>
      <c r="B5159">
        <v>14.15</v>
      </c>
    </row>
    <row r="5160" spans="1:2" x14ac:dyDescent="0.25">
      <c r="A5160" s="1">
        <v>46224</v>
      </c>
      <c r="B5160">
        <v>14.15</v>
      </c>
    </row>
    <row r="5161" spans="1:2" x14ac:dyDescent="0.25">
      <c r="A5161" s="1">
        <v>46225</v>
      </c>
      <c r="B5161">
        <v>14.15</v>
      </c>
    </row>
    <row r="5162" spans="1:2" x14ac:dyDescent="0.25">
      <c r="A5162" s="1">
        <v>46226</v>
      </c>
      <c r="B5162">
        <v>14.15</v>
      </c>
    </row>
    <row r="5163" spans="1:2" x14ac:dyDescent="0.25">
      <c r="A5163" s="1">
        <v>46227</v>
      </c>
      <c r="B5163">
        <v>14.15</v>
      </c>
    </row>
    <row r="5164" spans="1:2" x14ac:dyDescent="0.25">
      <c r="A5164" s="1">
        <v>46230</v>
      </c>
      <c r="B5164">
        <v>14.15</v>
      </c>
    </row>
    <row r="5165" spans="1:2" x14ac:dyDescent="0.25">
      <c r="A5165" s="1">
        <v>46231</v>
      </c>
      <c r="B5165">
        <v>14.15</v>
      </c>
    </row>
    <row r="5166" spans="1:2" x14ac:dyDescent="0.25">
      <c r="A5166" s="1">
        <v>46232</v>
      </c>
      <c r="B5166">
        <v>14.15</v>
      </c>
    </row>
    <row r="5167" spans="1:2" x14ac:dyDescent="0.25">
      <c r="A5167" s="1">
        <v>46233</v>
      </c>
      <c r="B5167">
        <v>14.15</v>
      </c>
    </row>
    <row r="5168" spans="1:2" x14ac:dyDescent="0.25">
      <c r="A5168" s="1">
        <v>46234</v>
      </c>
      <c r="B5168">
        <v>14.15</v>
      </c>
    </row>
    <row r="5169" spans="1:2" x14ac:dyDescent="0.25">
      <c r="A5169" s="1">
        <v>46237</v>
      </c>
      <c r="B5169">
        <v>14.15</v>
      </c>
    </row>
    <row r="5170" spans="1:2" x14ac:dyDescent="0.25">
      <c r="A5170" s="1">
        <v>46238</v>
      </c>
      <c r="B5170">
        <v>14.15</v>
      </c>
    </row>
    <row r="5171" spans="1:2" x14ac:dyDescent="0.25">
      <c r="A5171" s="1">
        <v>46239</v>
      </c>
      <c r="B5171">
        <v>14.15</v>
      </c>
    </row>
    <row r="5172" spans="1:2" x14ac:dyDescent="0.25">
      <c r="A5172" s="1">
        <v>46240</v>
      </c>
      <c r="B5172">
        <v>13.9</v>
      </c>
    </row>
    <row r="5173" spans="1:2" x14ac:dyDescent="0.25">
      <c r="A5173" s="1">
        <v>46241</v>
      </c>
      <c r="B5173">
        <v>13.9</v>
      </c>
    </row>
    <row r="5174" spans="1:2" x14ac:dyDescent="0.25">
      <c r="A5174" s="1">
        <v>46244</v>
      </c>
      <c r="B5174">
        <v>13.9</v>
      </c>
    </row>
    <row r="5175" spans="1:2" x14ac:dyDescent="0.25">
      <c r="A5175" s="1">
        <v>46245</v>
      </c>
      <c r="B5175">
        <v>13.9</v>
      </c>
    </row>
    <row r="5176" spans="1:2" x14ac:dyDescent="0.25">
      <c r="A5176" s="1">
        <v>46246</v>
      </c>
      <c r="B5176">
        <v>13.9</v>
      </c>
    </row>
    <row r="5177" spans="1:2" x14ac:dyDescent="0.25">
      <c r="A5177" s="1">
        <v>46247</v>
      </c>
      <c r="B5177">
        <v>13.9</v>
      </c>
    </row>
    <row r="5178" spans="1:2" x14ac:dyDescent="0.25">
      <c r="A5178" s="1">
        <v>46248</v>
      </c>
      <c r="B5178">
        <v>13.9</v>
      </c>
    </row>
    <row r="5179" spans="1:2" x14ac:dyDescent="0.25">
      <c r="A5179" s="1">
        <v>46251</v>
      </c>
      <c r="B5179">
        <v>13.9</v>
      </c>
    </row>
    <row r="5180" spans="1:2" x14ac:dyDescent="0.25">
      <c r="A5180" s="1">
        <v>46252</v>
      </c>
      <c r="B5180">
        <v>13.9</v>
      </c>
    </row>
    <row r="5181" spans="1:2" x14ac:dyDescent="0.25">
      <c r="A5181" s="1">
        <v>46253</v>
      </c>
      <c r="B5181">
        <v>13.9</v>
      </c>
    </row>
    <row r="5182" spans="1:2" x14ac:dyDescent="0.25">
      <c r="A5182" s="1">
        <v>46254</v>
      </c>
      <c r="B5182">
        <v>13.9</v>
      </c>
    </row>
    <row r="5183" spans="1:2" x14ac:dyDescent="0.25">
      <c r="A5183" s="1">
        <v>46255</v>
      </c>
      <c r="B5183">
        <v>13.9</v>
      </c>
    </row>
    <row r="5184" spans="1:2" x14ac:dyDescent="0.25">
      <c r="A5184" s="1">
        <v>46258</v>
      </c>
      <c r="B5184">
        <v>13.9</v>
      </c>
    </row>
    <row r="5185" spans="1:2" x14ac:dyDescent="0.25">
      <c r="A5185" s="1">
        <v>46259</v>
      </c>
      <c r="B5185">
        <v>13.9</v>
      </c>
    </row>
    <row r="5186" spans="1:2" x14ac:dyDescent="0.25">
      <c r="A5186" s="1">
        <v>46260</v>
      </c>
      <c r="B5186">
        <v>13.9</v>
      </c>
    </row>
    <row r="5187" spans="1:2" x14ac:dyDescent="0.25">
      <c r="A5187" s="1">
        <v>46261</v>
      </c>
      <c r="B5187">
        <v>13.9</v>
      </c>
    </row>
    <row r="5188" spans="1:2" x14ac:dyDescent="0.25">
      <c r="A5188" s="1">
        <v>46262</v>
      </c>
      <c r="B5188">
        <v>13.9</v>
      </c>
    </row>
    <row r="5189" spans="1:2" x14ac:dyDescent="0.25">
      <c r="A5189" s="1">
        <v>46265</v>
      </c>
      <c r="B5189">
        <v>13.9</v>
      </c>
    </row>
    <row r="5190" spans="1:2" x14ac:dyDescent="0.25">
      <c r="A5190" s="1">
        <v>46266</v>
      </c>
      <c r="B5190">
        <v>13.9</v>
      </c>
    </row>
    <row r="5191" spans="1:2" x14ac:dyDescent="0.25">
      <c r="A5191" s="1">
        <v>46267</v>
      </c>
      <c r="B5191">
        <v>13.9</v>
      </c>
    </row>
    <row r="5192" spans="1:2" x14ac:dyDescent="0.25">
      <c r="A5192" s="1">
        <v>46268</v>
      </c>
      <c r="B5192">
        <v>13.9</v>
      </c>
    </row>
    <row r="5193" spans="1:2" x14ac:dyDescent="0.25">
      <c r="A5193" s="1">
        <v>46269</v>
      </c>
      <c r="B5193">
        <v>13.9</v>
      </c>
    </row>
    <row r="5194" spans="1:2" x14ac:dyDescent="0.25">
      <c r="A5194" t="s">
        <v>3</v>
      </c>
      <c r="B5194" t="s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02. DRE</vt:lpstr>
      <vt:lpstr>04. DFC</vt:lpstr>
      <vt:lpstr>08. Investimentos (CAPEX)</vt:lpstr>
      <vt:lpstr>11. Endividamento</vt:lpstr>
      <vt:lpstr>Bovespa Historical Data 2007-20</vt:lpstr>
      <vt:lpstr>Vibra Energia Stock Price Histo</vt:lpstr>
      <vt:lpstr>selic 20 anos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</dc:creator>
  <cp:lastModifiedBy>Vitor Filpo</cp:lastModifiedBy>
  <dcterms:created xsi:type="dcterms:W3CDTF">2015-06-05T18:19:34Z</dcterms:created>
  <dcterms:modified xsi:type="dcterms:W3CDTF">2026-10-02T00:49:37Z</dcterms:modified>
</cp:coreProperties>
</file>